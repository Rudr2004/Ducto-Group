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tcnet-my.sharepoint.com/personal/jamammy_dbbcg_com/Documents/Desktop/"/>
    </mc:Choice>
  </mc:AlternateContent>
  <xr:revisionPtr revIDLastSave="106" documentId="8_{46957BAB-3EEA-4914-9073-81B408B83184}" xr6:coauthVersionLast="47" xr6:coauthVersionMax="47" xr10:uidLastSave="{7C39A1A6-56F5-4D4C-B677-D545406BB791}"/>
  <workbookProtection workbookAlgorithmName="SHA-512" workbookHashValue="Dm6aazBfYZqKPEK1cK+pJAQoPdL4FT/iN509KwYZhgHutwdsOQ84oNvQId2HJFFr1q4ysuEuOPkneHvcalOs/Q==" workbookSaltValue="i16BNV0B2WDeoLb1l9e1bQ==" workbookSpinCount="100000" lockStructure="1"/>
  <bookViews>
    <workbookView xWindow="-120" yWindow="-120" windowWidth="29040" windowHeight="17520" tabRatio="738" activeTab="2" xr2:uid="{58749064-6A3A-4CBC-BE5F-C211A22ABC92}"/>
  </bookViews>
  <sheets>
    <sheet name="Project Information" sheetId="5" r:id="rId1"/>
    <sheet name="Procurement Status Summary" sheetId="7" r:id="rId2"/>
    <sheet name="Procurement Schedule" sheetId="6" r:id="rId3"/>
    <sheet name="Procurement Strategy" sheetId="9" r:id="rId4"/>
    <sheet name="Work Package Input" sheetId="4" r:id="rId5"/>
    <sheet name="Work Package Master List" sheetId="2" r:id="rId6"/>
  </sheets>
  <definedNames>
    <definedName name="_xlnm._FilterDatabase" localSheetId="2" hidden="1">'Procurement Schedule'!$B$11:$AP$159</definedName>
    <definedName name="_xleta.SUM" hidden="1" xlm="1">#NAME?</definedName>
    <definedName name="_xlnm.Print_Area" localSheetId="2">'Procurement Schedule'!$A$1:$AQ$160</definedName>
    <definedName name="_xlnm.Print_Area" localSheetId="1">'Procurement Status Summary'!$A$1:$K$98</definedName>
    <definedName name="_xlnm.Print_Area" localSheetId="3">'Procurement Strategy'!$A$1:$T$567</definedName>
    <definedName name="_xlnm.Print_Area" localSheetId="0">'Project Information'!$A$1:$E$27</definedName>
    <definedName name="_xlnm.Print_Area" localSheetId="4">'Work Package Input'!$A$1:$K$100</definedName>
    <definedName name="_xlnm.Print_Area" localSheetId="5">'Work Package Master List'!$A$1:$S$697</definedName>
    <definedName name="Standard_Package_Name">'Work Package Master List'!$C$14:$C$696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92" i="6" l="1"/>
  <c r="AO88" i="6"/>
  <c r="AN90" i="6"/>
  <c r="AN92" i="6"/>
  <c r="AO158" i="6"/>
  <c r="G97" i="7" s="1"/>
  <c r="AN158" i="6"/>
  <c r="AK158" i="6"/>
  <c r="AJ158" i="6" s="1"/>
  <c r="AI158" i="6"/>
  <c r="AG158" i="6"/>
  <c r="AE158" i="6"/>
  <c r="AC158" i="6"/>
  <c r="AA158" i="6"/>
  <c r="Y158" i="6"/>
  <c r="W158" i="6"/>
  <c r="U158" i="6"/>
  <c r="S158" i="6"/>
  <c r="Q158" i="6"/>
  <c r="O158" i="6"/>
  <c r="M158" i="6"/>
  <c r="K158" i="6"/>
  <c r="F158" i="6"/>
  <c r="Q566" i="9"/>
  <c r="R566" i="9" s="1"/>
  <c r="O566" i="9"/>
  <c r="M566" i="9"/>
  <c r="K566" i="9"/>
  <c r="R565" i="9"/>
  <c r="Q565" i="9"/>
  <c r="O565" i="9"/>
  <c r="N563" i="9" s="1"/>
  <c r="M565" i="9"/>
  <c r="K565" i="9"/>
  <c r="Q564" i="9"/>
  <c r="R564" i="9" s="1"/>
  <c r="O564" i="9"/>
  <c r="M564" i="9"/>
  <c r="K564" i="9"/>
  <c r="J563" i="9" s="1"/>
  <c r="P563" i="9"/>
  <c r="L563" i="9"/>
  <c r="AO156" i="6"/>
  <c r="G96" i="7" s="1"/>
  <c r="J96" i="7" s="1"/>
  <c r="AN156" i="6"/>
  <c r="AK156" i="6"/>
  <c r="AJ156" i="6" s="1"/>
  <c r="AI156" i="6"/>
  <c r="AG156" i="6"/>
  <c r="AE156" i="6"/>
  <c r="AC156" i="6"/>
  <c r="AA156" i="6"/>
  <c r="Y156" i="6"/>
  <c r="W156" i="6"/>
  <c r="U156" i="6"/>
  <c r="S156" i="6"/>
  <c r="Q156" i="6"/>
  <c r="O156" i="6"/>
  <c r="M156" i="6"/>
  <c r="K156" i="6"/>
  <c r="Q562" i="9"/>
  <c r="R562" i="9" s="1"/>
  <c r="O562" i="9"/>
  <c r="M562" i="9"/>
  <c r="K562" i="9"/>
  <c r="Q561" i="9"/>
  <c r="R561" i="9" s="1"/>
  <c r="O561" i="9"/>
  <c r="M561" i="9"/>
  <c r="K561" i="9"/>
  <c r="Q560" i="9"/>
  <c r="O560" i="9"/>
  <c r="M560" i="9"/>
  <c r="K560" i="9"/>
  <c r="P559" i="9"/>
  <c r="F156" i="6" s="1"/>
  <c r="L555" i="9"/>
  <c r="M555" i="9" s="1"/>
  <c r="L554" i="9" s="1"/>
  <c r="L550" i="9"/>
  <c r="M550" i="9" s="1"/>
  <c r="AO154" i="6"/>
  <c r="G95" i="7" s="1"/>
  <c r="AN154" i="6"/>
  <c r="AK154" i="6"/>
  <c r="AJ154" i="6" s="1"/>
  <c r="AI154" i="6"/>
  <c r="AG154" i="6"/>
  <c r="AE154" i="6"/>
  <c r="AC154" i="6"/>
  <c r="AA154" i="6"/>
  <c r="Y154" i="6"/>
  <c r="W154" i="6"/>
  <c r="U154" i="6"/>
  <c r="S154" i="6"/>
  <c r="Q154" i="6"/>
  <c r="O154" i="6"/>
  <c r="M154" i="6"/>
  <c r="K154" i="6"/>
  <c r="Q558" i="9"/>
  <c r="R558" i="9" s="1"/>
  <c r="O558" i="9"/>
  <c r="M558" i="9"/>
  <c r="K558" i="9"/>
  <c r="Q557" i="9"/>
  <c r="R557" i="9" s="1"/>
  <c r="O557" i="9"/>
  <c r="M557" i="9"/>
  <c r="K557" i="9"/>
  <c r="Q556" i="9"/>
  <c r="O556" i="9"/>
  <c r="M556" i="9"/>
  <c r="K556" i="9"/>
  <c r="K555" i="9"/>
  <c r="P554" i="9"/>
  <c r="F154" i="6" s="1"/>
  <c r="AO152" i="6"/>
  <c r="G94" i="7" s="1"/>
  <c r="AN152" i="6"/>
  <c r="AK152" i="6"/>
  <c r="AJ152" i="6" s="1"/>
  <c r="AI152" i="6"/>
  <c r="AG152" i="6"/>
  <c r="AE152" i="6"/>
  <c r="AC152" i="6"/>
  <c r="AA152" i="6"/>
  <c r="Y152" i="6"/>
  <c r="W152" i="6"/>
  <c r="U152" i="6"/>
  <c r="S152" i="6"/>
  <c r="Q152" i="6"/>
  <c r="O152" i="6"/>
  <c r="M152" i="6"/>
  <c r="K152" i="6"/>
  <c r="Q553" i="9"/>
  <c r="R553" i="9" s="1"/>
  <c r="O553" i="9"/>
  <c r="M553" i="9"/>
  <c r="K553" i="9"/>
  <c r="Q552" i="9"/>
  <c r="R552" i="9" s="1"/>
  <c r="O552" i="9"/>
  <c r="M552" i="9"/>
  <c r="K552" i="9"/>
  <c r="Q551" i="9"/>
  <c r="O551" i="9"/>
  <c r="M551" i="9"/>
  <c r="K551" i="9"/>
  <c r="K550" i="9"/>
  <c r="P549" i="9"/>
  <c r="F152" i="6" s="1"/>
  <c r="AO90" i="6" l="1"/>
  <c r="AH156" i="6"/>
  <c r="AF156" i="6" s="1"/>
  <c r="AD156" i="6" s="1"/>
  <c r="AB156" i="6" s="1"/>
  <c r="Z156" i="6" s="1"/>
  <c r="X156" i="6" s="1"/>
  <c r="V156" i="6" s="1"/>
  <c r="T156" i="6" s="1"/>
  <c r="R156" i="6" s="1"/>
  <c r="P156" i="6" s="1"/>
  <c r="N156" i="6" s="1"/>
  <c r="L156" i="6" s="1"/>
  <c r="J156" i="6" s="1"/>
  <c r="AH158" i="6"/>
  <c r="AF158" i="6" s="1"/>
  <c r="AD158" i="6" s="1"/>
  <c r="AB158" i="6" s="1"/>
  <c r="Z158" i="6" s="1"/>
  <c r="X158" i="6" s="1"/>
  <c r="V158" i="6" s="1"/>
  <c r="T158" i="6" s="1"/>
  <c r="R158" i="6" s="1"/>
  <c r="P158" i="6" s="1"/>
  <c r="N158" i="6" s="1"/>
  <c r="L158" i="6" s="1"/>
  <c r="J158" i="6" s="1"/>
  <c r="Q563" i="9"/>
  <c r="J559" i="9"/>
  <c r="L559" i="9"/>
  <c r="N559" i="9"/>
  <c r="Q559" i="9"/>
  <c r="R559" i="9" s="1"/>
  <c r="I96" i="7"/>
  <c r="R560" i="9"/>
  <c r="AH152" i="6"/>
  <c r="AF152" i="6" s="1"/>
  <c r="AD152" i="6" s="1"/>
  <c r="AB152" i="6" s="1"/>
  <c r="Z152" i="6" s="1"/>
  <c r="X152" i="6" s="1"/>
  <c r="V152" i="6" s="1"/>
  <c r="T152" i="6" s="1"/>
  <c r="R152" i="6" s="1"/>
  <c r="P152" i="6" s="1"/>
  <c r="N152" i="6" s="1"/>
  <c r="L152" i="6" s="1"/>
  <c r="J152" i="6" s="1"/>
  <c r="J549" i="9"/>
  <c r="N550" i="9"/>
  <c r="N555" i="9"/>
  <c r="AH154" i="6"/>
  <c r="AF154" i="6" s="1"/>
  <c r="AD154" i="6" s="1"/>
  <c r="AB154" i="6" s="1"/>
  <c r="Z154" i="6" s="1"/>
  <c r="X154" i="6" s="1"/>
  <c r="V154" i="6" s="1"/>
  <c r="T154" i="6" s="1"/>
  <c r="R154" i="6" s="1"/>
  <c r="P154" i="6" s="1"/>
  <c r="N154" i="6" s="1"/>
  <c r="L154" i="6" s="1"/>
  <c r="J154" i="6" s="1"/>
  <c r="R556" i="9"/>
  <c r="J554" i="9"/>
  <c r="R551" i="9"/>
  <c r="L549" i="9"/>
  <c r="L292" i="9"/>
  <c r="N292" i="9" s="1"/>
  <c r="R563" i="9" l="1"/>
  <c r="I97" i="7"/>
  <c r="J97" i="7" s="1"/>
  <c r="O555" i="9"/>
  <c r="N554" i="9" s="1"/>
  <c r="Q555" i="9"/>
  <c r="O550" i="9"/>
  <c r="N549" i="9" s="1"/>
  <c r="Q550" i="9"/>
  <c r="L147" i="9"/>
  <c r="N147" i="9" s="1"/>
  <c r="L546" i="9"/>
  <c r="N546" i="9" s="1"/>
  <c r="AO150" i="6"/>
  <c r="G93" i="7" s="1"/>
  <c r="AN150" i="6"/>
  <c r="AK150" i="6"/>
  <c r="AJ150" i="6" s="1"/>
  <c r="AI150" i="6"/>
  <c r="AG150" i="6"/>
  <c r="AE150" i="6"/>
  <c r="AC150" i="6"/>
  <c r="AA150" i="6"/>
  <c r="Y150" i="6"/>
  <c r="W150" i="6"/>
  <c r="U150" i="6"/>
  <c r="S150" i="6"/>
  <c r="Q150" i="6"/>
  <c r="O150" i="6"/>
  <c r="M150" i="6"/>
  <c r="K150" i="6"/>
  <c r="Q548" i="9"/>
  <c r="R548" i="9" s="1"/>
  <c r="O548" i="9"/>
  <c r="M548" i="9"/>
  <c r="K548" i="9"/>
  <c r="Q547" i="9"/>
  <c r="R547" i="9" s="1"/>
  <c r="O547" i="9"/>
  <c r="M547" i="9"/>
  <c r="K547" i="9"/>
  <c r="K546" i="9"/>
  <c r="J545" i="9" s="1"/>
  <c r="P545" i="9"/>
  <c r="F150" i="6" s="1"/>
  <c r="L542" i="9"/>
  <c r="N542" i="9" s="1"/>
  <c r="AO148" i="6"/>
  <c r="G92" i="7" s="1"/>
  <c r="AN148" i="6"/>
  <c r="AK148" i="6"/>
  <c r="AJ148" i="6" s="1"/>
  <c r="AI148" i="6"/>
  <c r="AG148" i="6"/>
  <c r="AE148" i="6"/>
  <c r="AC148" i="6"/>
  <c r="AA148" i="6"/>
  <c r="Y148" i="6"/>
  <c r="W148" i="6"/>
  <c r="U148" i="6"/>
  <c r="S148" i="6"/>
  <c r="Q148" i="6"/>
  <c r="O148" i="6"/>
  <c r="M148" i="6"/>
  <c r="K148" i="6"/>
  <c r="Q544" i="9"/>
  <c r="R544" i="9" s="1"/>
  <c r="O544" i="9"/>
  <c r="M544" i="9"/>
  <c r="K544" i="9"/>
  <c r="Q543" i="9"/>
  <c r="R543" i="9" s="1"/>
  <c r="O543" i="9"/>
  <c r="M543" i="9"/>
  <c r="K543" i="9"/>
  <c r="K542" i="9"/>
  <c r="J541" i="9" s="1"/>
  <c r="P541" i="9"/>
  <c r="F148" i="6" s="1"/>
  <c r="L537" i="9"/>
  <c r="N537" i="9" s="1"/>
  <c r="AO146" i="6"/>
  <c r="G91" i="7" s="1"/>
  <c r="AN146" i="6"/>
  <c r="AK146" i="6"/>
  <c r="AJ146" i="6" s="1"/>
  <c r="AI146" i="6"/>
  <c r="AG146" i="6"/>
  <c r="AE146" i="6"/>
  <c r="AC146" i="6"/>
  <c r="AA146" i="6"/>
  <c r="Y146" i="6"/>
  <c r="W146" i="6"/>
  <c r="U146" i="6"/>
  <c r="S146" i="6"/>
  <c r="Q146" i="6"/>
  <c r="O146" i="6"/>
  <c r="M146" i="6"/>
  <c r="K146" i="6"/>
  <c r="Q540" i="9"/>
  <c r="R540" i="9" s="1"/>
  <c r="O540" i="9"/>
  <c r="M540" i="9"/>
  <c r="K540" i="9"/>
  <c r="Q539" i="9"/>
  <c r="R539" i="9" s="1"/>
  <c r="O539" i="9"/>
  <c r="M539" i="9"/>
  <c r="K539" i="9"/>
  <c r="Q538" i="9"/>
  <c r="R538" i="9" s="1"/>
  <c r="O538" i="9"/>
  <c r="M538" i="9"/>
  <c r="K538" i="9"/>
  <c r="K537" i="9"/>
  <c r="P536" i="9"/>
  <c r="F146" i="6" s="1"/>
  <c r="L391" i="9"/>
  <c r="N391" i="9" s="1"/>
  <c r="L533" i="9"/>
  <c r="N533" i="9" s="1"/>
  <c r="AO144" i="6"/>
  <c r="G90" i="7" s="1"/>
  <c r="AN144" i="6"/>
  <c r="AK144" i="6"/>
  <c r="AJ144" i="6" s="1"/>
  <c r="AI144" i="6"/>
  <c r="AG144" i="6"/>
  <c r="AE144" i="6"/>
  <c r="AC144" i="6"/>
  <c r="AA144" i="6"/>
  <c r="Y144" i="6"/>
  <c r="W144" i="6"/>
  <c r="U144" i="6"/>
  <c r="S144" i="6"/>
  <c r="Q144" i="6"/>
  <c r="O144" i="6"/>
  <c r="M144" i="6"/>
  <c r="K144" i="6"/>
  <c r="Q535" i="9"/>
  <c r="R535" i="9" s="1"/>
  <c r="O535" i="9"/>
  <c r="M535" i="9"/>
  <c r="K535" i="9"/>
  <c r="Q534" i="9"/>
  <c r="R534" i="9" s="1"/>
  <c r="O534" i="9"/>
  <c r="M534" i="9"/>
  <c r="K534" i="9"/>
  <c r="K533" i="9"/>
  <c r="J532" i="9" s="1"/>
  <c r="P532" i="9"/>
  <c r="F144" i="6" s="1"/>
  <c r="L194" i="9"/>
  <c r="N194" i="9" s="1"/>
  <c r="L188" i="9"/>
  <c r="N188" i="9" s="1"/>
  <c r="L105" i="9"/>
  <c r="N105" i="9" s="1"/>
  <c r="N74" i="9"/>
  <c r="O74" i="9" s="1"/>
  <c r="L74" i="9"/>
  <c r="M74" i="9" s="1"/>
  <c r="N79" i="9"/>
  <c r="O79" i="9" s="1"/>
  <c r="L79" i="9"/>
  <c r="M79" i="9" s="1"/>
  <c r="L138" i="9"/>
  <c r="M138" i="9" s="1"/>
  <c r="L129" i="9"/>
  <c r="N129" i="9" s="1"/>
  <c r="L120" i="9"/>
  <c r="N120" i="9" s="1"/>
  <c r="L483" i="9"/>
  <c r="N483" i="9" s="1"/>
  <c r="L400" i="9"/>
  <c r="N400" i="9" s="1"/>
  <c r="L96" i="9"/>
  <c r="N96" i="9" s="1"/>
  <c r="L33" i="9"/>
  <c r="N33" i="9" s="1"/>
  <c r="N22" i="9"/>
  <c r="Q22" i="9" s="1"/>
  <c r="R22" i="9" s="1"/>
  <c r="L22" i="9"/>
  <c r="M22" i="9" s="1"/>
  <c r="L59" i="9"/>
  <c r="N59" i="9" s="1"/>
  <c r="Q59" i="9" s="1"/>
  <c r="R59" i="9" s="1"/>
  <c r="L45" i="9"/>
  <c r="N45" i="9" s="1"/>
  <c r="AR21" i="6"/>
  <c r="AR23" i="6"/>
  <c r="AR25" i="6"/>
  <c r="AR27" i="6"/>
  <c r="AR29" i="6"/>
  <c r="AR31" i="6"/>
  <c r="AR33" i="6"/>
  <c r="AR35" i="6"/>
  <c r="AR37" i="6"/>
  <c r="AR39" i="6"/>
  <c r="AR41" i="6"/>
  <c r="AR43" i="6"/>
  <c r="AR45" i="6"/>
  <c r="AR47" i="6"/>
  <c r="AR49" i="6"/>
  <c r="AR51" i="6"/>
  <c r="AR53" i="6"/>
  <c r="AR55" i="6"/>
  <c r="AR57" i="6"/>
  <c r="AR59" i="6"/>
  <c r="AR61" i="6"/>
  <c r="AR63" i="6"/>
  <c r="AR65" i="6"/>
  <c r="AR67" i="6"/>
  <c r="AR69" i="6"/>
  <c r="AR71" i="6"/>
  <c r="AR73" i="6"/>
  <c r="AR75" i="6"/>
  <c r="AR77" i="6"/>
  <c r="AR79" i="6"/>
  <c r="AR81" i="6"/>
  <c r="AR83" i="6"/>
  <c r="AR85" i="6"/>
  <c r="AR87" i="6"/>
  <c r="AR89" i="6"/>
  <c r="AR91" i="6"/>
  <c r="AR93" i="6"/>
  <c r="AR95" i="6"/>
  <c r="AR97" i="6"/>
  <c r="AR99" i="6"/>
  <c r="AR101" i="6"/>
  <c r="AR103" i="6"/>
  <c r="AR105" i="6"/>
  <c r="AR107" i="6"/>
  <c r="AR109" i="6"/>
  <c r="AR111" i="6"/>
  <c r="AR113" i="6"/>
  <c r="AR115" i="6"/>
  <c r="AR117" i="6"/>
  <c r="AR119" i="6"/>
  <c r="AR121" i="6"/>
  <c r="AR123" i="6"/>
  <c r="AR125" i="6"/>
  <c r="AR127" i="6"/>
  <c r="AR129" i="6"/>
  <c r="AR131" i="6"/>
  <c r="AR133" i="6"/>
  <c r="AR135" i="6"/>
  <c r="AR137" i="6"/>
  <c r="AR139" i="6"/>
  <c r="AR141" i="6"/>
  <c r="AR143" i="6"/>
  <c r="AN142" i="6"/>
  <c r="AN140" i="6"/>
  <c r="AN138" i="6"/>
  <c r="AN136" i="6"/>
  <c r="AN134" i="6"/>
  <c r="AN132" i="6"/>
  <c r="AN130" i="6"/>
  <c r="AN128" i="6"/>
  <c r="AN126" i="6"/>
  <c r="AN124" i="6"/>
  <c r="AN122" i="6"/>
  <c r="AN120" i="6"/>
  <c r="AN118" i="6"/>
  <c r="AN116" i="6"/>
  <c r="AN114" i="6"/>
  <c r="AN112" i="6"/>
  <c r="AN110" i="6"/>
  <c r="AN108" i="6"/>
  <c r="AN106" i="6"/>
  <c r="AN104" i="6"/>
  <c r="AN102" i="6"/>
  <c r="AN100" i="6"/>
  <c r="AN98" i="6"/>
  <c r="AN96" i="6"/>
  <c r="AN94" i="6"/>
  <c r="AN88" i="6"/>
  <c r="AN86" i="6"/>
  <c r="AN84" i="6"/>
  <c r="AN82" i="6"/>
  <c r="AN80" i="6"/>
  <c r="AN78" i="6"/>
  <c r="AN76" i="6"/>
  <c r="AN74" i="6"/>
  <c r="AN72" i="6"/>
  <c r="AN70" i="6"/>
  <c r="AN68" i="6"/>
  <c r="AN66" i="6"/>
  <c r="AN64" i="6"/>
  <c r="AN62" i="6"/>
  <c r="AN60" i="6"/>
  <c r="AN58" i="6"/>
  <c r="AN56" i="6"/>
  <c r="AN54" i="6"/>
  <c r="AN52" i="6"/>
  <c r="AN50" i="6"/>
  <c r="AN48" i="6"/>
  <c r="AN46" i="6"/>
  <c r="AN44" i="6"/>
  <c r="AN42" i="6"/>
  <c r="AN40" i="6"/>
  <c r="AN38" i="6"/>
  <c r="AN36" i="6"/>
  <c r="AN34" i="6"/>
  <c r="AN32" i="6"/>
  <c r="AN30" i="6"/>
  <c r="AN28" i="6"/>
  <c r="AN26" i="6"/>
  <c r="AN24" i="6"/>
  <c r="AN22" i="6"/>
  <c r="AN20" i="6"/>
  <c r="AN18" i="6"/>
  <c r="AN16" i="6"/>
  <c r="AN14" i="6"/>
  <c r="AN12" i="6"/>
  <c r="AK142" i="6"/>
  <c r="AJ142" i="6" s="1"/>
  <c r="AI142" i="6"/>
  <c r="AG142" i="6"/>
  <c r="AE142" i="6"/>
  <c r="AC142" i="6"/>
  <c r="AA142" i="6"/>
  <c r="Y142" i="6"/>
  <c r="W142" i="6"/>
  <c r="U142" i="6"/>
  <c r="S142" i="6"/>
  <c r="Q142" i="6"/>
  <c r="O142" i="6"/>
  <c r="M142" i="6"/>
  <c r="K142" i="6"/>
  <c r="AK140" i="6"/>
  <c r="AJ140" i="6" s="1"/>
  <c r="AI140" i="6"/>
  <c r="AG140" i="6"/>
  <c r="AE140" i="6"/>
  <c r="AC140" i="6"/>
  <c r="AA140" i="6"/>
  <c r="Y140" i="6"/>
  <c r="W140" i="6"/>
  <c r="U140" i="6"/>
  <c r="S140" i="6"/>
  <c r="Q140" i="6"/>
  <c r="O140" i="6"/>
  <c r="M140" i="6"/>
  <c r="K140" i="6"/>
  <c r="AK138" i="6"/>
  <c r="AJ138" i="6" s="1"/>
  <c r="AI138" i="6"/>
  <c r="AG138" i="6"/>
  <c r="AE138" i="6"/>
  <c r="AC138" i="6"/>
  <c r="AA138" i="6"/>
  <c r="Y138" i="6"/>
  <c r="W138" i="6"/>
  <c r="U138" i="6"/>
  <c r="S138" i="6"/>
  <c r="Q138" i="6"/>
  <c r="O138" i="6"/>
  <c r="M138" i="6"/>
  <c r="K138" i="6"/>
  <c r="AK136" i="6"/>
  <c r="AJ136" i="6" s="1"/>
  <c r="AI136" i="6"/>
  <c r="AG136" i="6"/>
  <c r="AE136" i="6"/>
  <c r="AC136" i="6"/>
  <c r="AA136" i="6"/>
  <c r="Y136" i="6"/>
  <c r="W136" i="6"/>
  <c r="U136" i="6"/>
  <c r="S136" i="6"/>
  <c r="Q136" i="6"/>
  <c r="O136" i="6"/>
  <c r="M136" i="6"/>
  <c r="K136" i="6"/>
  <c r="AK134" i="6"/>
  <c r="AJ134" i="6" s="1"/>
  <c r="AI134" i="6"/>
  <c r="AG134" i="6"/>
  <c r="AE134" i="6"/>
  <c r="AC134" i="6"/>
  <c r="AA134" i="6"/>
  <c r="Y134" i="6"/>
  <c r="W134" i="6"/>
  <c r="U134" i="6"/>
  <c r="S134" i="6"/>
  <c r="Q134" i="6"/>
  <c r="O134" i="6"/>
  <c r="M134" i="6"/>
  <c r="K134" i="6"/>
  <c r="AK132" i="6"/>
  <c r="AJ132" i="6" s="1"/>
  <c r="AI132" i="6"/>
  <c r="AG132" i="6"/>
  <c r="AE132" i="6"/>
  <c r="AC132" i="6"/>
  <c r="AA132" i="6"/>
  <c r="Y132" i="6"/>
  <c r="W132" i="6"/>
  <c r="U132" i="6"/>
  <c r="S132" i="6"/>
  <c r="Q132" i="6"/>
  <c r="O132" i="6"/>
  <c r="M132" i="6"/>
  <c r="K132" i="6"/>
  <c r="AK130" i="6"/>
  <c r="AJ130" i="6" s="1"/>
  <c r="AI130" i="6"/>
  <c r="AG130" i="6"/>
  <c r="AE130" i="6"/>
  <c r="AC130" i="6"/>
  <c r="AA130" i="6"/>
  <c r="Y130" i="6"/>
  <c r="W130" i="6"/>
  <c r="U130" i="6"/>
  <c r="S130" i="6"/>
  <c r="Q130" i="6"/>
  <c r="O130" i="6"/>
  <c r="M130" i="6"/>
  <c r="K130" i="6"/>
  <c r="AK128" i="6"/>
  <c r="AJ128" i="6" s="1"/>
  <c r="AI128" i="6"/>
  <c r="AG128" i="6"/>
  <c r="AE128" i="6"/>
  <c r="AC128" i="6"/>
  <c r="AA128" i="6"/>
  <c r="Y128" i="6"/>
  <c r="W128" i="6"/>
  <c r="U128" i="6"/>
  <c r="S128" i="6"/>
  <c r="Q128" i="6"/>
  <c r="O128" i="6"/>
  <c r="M128" i="6"/>
  <c r="K128" i="6"/>
  <c r="AK126" i="6"/>
  <c r="AJ126" i="6" s="1"/>
  <c r="AI126" i="6"/>
  <c r="AG126" i="6"/>
  <c r="AE126" i="6"/>
  <c r="AC126" i="6"/>
  <c r="AA126" i="6"/>
  <c r="Y126" i="6"/>
  <c r="W126" i="6"/>
  <c r="U126" i="6"/>
  <c r="S126" i="6"/>
  <c r="Q126" i="6"/>
  <c r="O126" i="6"/>
  <c r="M126" i="6"/>
  <c r="K126" i="6"/>
  <c r="AK124" i="6"/>
  <c r="AJ124" i="6" s="1"/>
  <c r="AI124" i="6"/>
  <c r="AG124" i="6"/>
  <c r="AE124" i="6"/>
  <c r="AC124" i="6"/>
  <c r="AA124" i="6"/>
  <c r="Y124" i="6"/>
  <c r="W124" i="6"/>
  <c r="U124" i="6"/>
  <c r="S124" i="6"/>
  <c r="Q124" i="6"/>
  <c r="O124" i="6"/>
  <c r="M124" i="6"/>
  <c r="K124" i="6"/>
  <c r="AK122" i="6"/>
  <c r="AJ122" i="6" s="1"/>
  <c r="AI122" i="6"/>
  <c r="AG122" i="6"/>
  <c r="AE122" i="6"/>
  <c r="AC122" i="6"/>
  <c r="AA122" i="6"/>
  <c r="Y122" i="6"/>
  <c r="W122" i="6"/>
  <c r="U122" i="6"/>
  <c r="S122" i="6"/>
  <c r="Q122" i="6"/>
  <c r="O122" i="6"/>
  <c r="M122" i="6"/>
  <c r="K122" i="6"/>
  <c r="AK120" i="6"/>
  <c r="AJ120" i="6" s="1"/>
  <c r="AI120" i="6"/>
  <c r="AG120" i="6"/>
  <c r="AE120" i="6"/>
  <c r="AC120" i="6"/>
  <c r="AA120" i="6"/>
  <c r="Y120" i="6"/>
  <c r="W120" i="6"/>
  <c r="U120" i="6"/>
  <c r="S120" i="6"/>
  <c r="Q120" i="6"/>
  <c r="O120" i="6"/>
  <c r="M120" i="6"/>
  <c r="K120" i="6"/>
  <c r="AK118" i="6"/>
  <c r="AJ118" i="6" s="1"/>
  <c r="AI118" i="6"/>
  <c r="AG118" i="6"/>
  <c r="AE118" i="6"/>
  <c r="AC118" i="6"/>
  <c r="AA118" i="6"/>
  <c r="Y118" i="6"/>
  <c r="W118" i="6"/>
  <c r="U118" i="6"/>
  <c r="S118" i="6"/>
  <c r="Q118" i="6"/>
  <c r="O118" i="6"/>
  <c r="M118" i="6"/>
  <c r="K118" i="6"/>
  <c r="AK116" i="6"/>
  <c r="AJ116" i="6" s="1"/>
  <c r="AI116" i="6"/>
  <c r="AG116" i="6"/>
  <c r="AE116" i="6"/>
  <c r="AC116" i="6"/>
  <c r="AA116" i="6"/>
  <c r="Y116" i="6"/>
  <c r="W116" i="6"/>
  <c r="U116" i="6"/>
  <c r="S116" i="6"/>
  <c r="Q116" i="6"/>
  <c r="O116" i="6"/>
  <c r="M116" i="6"/>
  <c r="K116" i="6"/>
  <c r="AK114" i="6"/>
  <c r="AJ114" i="6" s="1"/>
  <c r="AI114" i="6"/>
  <c r="AG114" i="6"/>
  <c r="AE114" i="6"/>
  <c r="AC114" i="6"/>
  <c r="AA114" i="6"/>
  <c r="Y114" i="6"/>
  <c r="W114" i="6"/>
  <c r="U114" i="6"/>
  <c r="S114" i="6"/>
  <c r="Q114" i="6"/>
  <c r="O114" i="6"/>
  <c r="M114" i="6"/>
  <c r="K114" i="6"/>
  <c r="AK112" i="6"/>
  <c r="AJ112" i="6" s="1"/>
  <c r="AI112" i="6"/>
  <c r="AG112" i="6"/>
  <c r="AE112" i="6"/>
  <c r="AC112" i="6"/>
  <c r="AA112" i="6"/>
  <c r="Y112" i="6"/>
  <c r="W112" i="6"/>
  <c r="U112" i="6"/>
  <c r="S112" i="6"/>
  <c r="Q112" i="6"/>
  <c r="O112" i="6"/>
  <c r="M112" i="6"/>
  <c r="K112" i="6"/>
  <c r="AK110" i="6"/>
  <c r="AJ110" i="6" s="1"/>
  <c r="AI110" i="6"/>
  <c r="AG110" i="6"/>
  <c r="AE110" i="6"/>
  <c r="AC110" i="6"/>
  <c r="AA110" i="6"/>
  <c r="Y110" i="6"/>
  <c r="W110" i="6"/>
  <c r="U110" i="6"/>
  <c r="S110" i="6"/>
  <c r="Q110" i="6"/>
  <c r="O110" i="6"/>
  <c r="M110" i="6"/>
  <c r="K110" i="6"/>
  <c r="AK108" i="6"/>
  <c r="AJ108" i="6" s="1"/>
  <c r="AI108" i="6"/>
  <c r="AG108" i="6"/>
  <c r="AE108" i="6"/>
  <c r="AC108" i="6"/>
  <c r="AA108" i="6"/>
  <c r="Y108" i="6"/>
  <c r="W108" i="6"/>
  <c r="U108" i="6"/>
  <c r="S108" i="6"/>
  <c r="Q108" i="6"/>
  <c r="O108" i="6"/>
  <c r="M108" i="6"/>
  <c r="K108" i="6"/>
  <c r="AK106" i="6"/>
  <c r="AJ106" i="6" s="1"/>
  <c r="AI106" i="6"/>
  <c r="AG106" i="6"/>
  <c r="AE106" i="6"/>
  <c r="AC106" i="6"/>
  <c r="AA106" i="6"/>
  <c r="Y106" i="6"/>
  <c r="W106" i="6"/>
  <c r="U106" i="6"/>
  <c r="S106" i="6"/>
  <c r="Q106" i="6"/>
  <c r="O106" i="6"/>
  <c r="M106" i="6"/>
  <c r="K106" i="6"/>
  <c r="AK104" i="6"/>
  <c r="AJ104" i="6" s="1"/>
  <c r="AI104" i="6"/>
  <c r="AG104" i="6"/>
  <c r="AE104" i="6"/>
  <c r="AC104" i="6"/>
  <c r="AA104" i="6"/>
  <c r="Y104" i="6"/>
  <c r="W104" i="6"/>
  <c r="U104" i="6"/>
  <c r="S104" i="6"/>
  <c r="Q104" i="6"/>
  <c r="O104" i="6"/>
  <c r="M104" i="6"/>
  <c r="K104" i="6"/>
  <c r="AK102" i="6"/>
  <c r="AJ102" i="6" s="1"/>
  <c r="AI102" i="6"/>
  <c r="AG102" i="6"/>
  <c r="AE102" i="6"/>
  <c r="AC102" i="6"/>
  <c r="AA102" i="6"/>
  <c r="Y102" i="6"/>
  <c r="W102" i="6"/>
  <c r="U102" i="6"/>
  <c r="S102" i="6"/>
  <c r="Q102" i="6"/>
  <c r="O102" i="6"/>
  <c r="M102" i="6"/>
  <c r="K102" i="6"/>
  <c r="AK100" i="6"/>
  <c r="AJ100" i="6" s="1"/>
  <c r="AI100" i="6"/>
  <c r="AG100" i="6"/>
  <c r="AE100" i="6"/>
  <c r="AC100" i="6"/>
  <c r="AA100" i="6"/>
  <c r="Y100" i="6"/>
  <c r="W100" i="6"/>
  <c r="U100" i="6"/>
  <c r="S100" i="6"/>
  <c r="Q100" i="6"/>
  <c r="O100" i="6"/>
  <c r="M100" i="6"/>
  <c r="K100" i="6"/>
  <c r="AK98" i="6"/>
  <c r="AJ98" i="6" s="1"/>
  <c r="AI98" i="6"/>
  <c r="AG98" i="6"/>
  <c r="AE98" i="6"/>
  <c r="AC98" i="6"/>
  <c r="AA98" i="6"/>
  <c r="Y98" i="6"/>
  <c r="W98" i="6"/>
  <c r="U98" i="6"/>
  <c r="S98" i="6"/>
  <c r="Q98" i="6"/>
  <c r="O98" i="6"/>
  <c r="M98" i="6"/>
  <c r="K98" i="6"/>
  <c r="AK96" i="6"/>
  <c r="AJ96" i="6" s="1"/>
  <c r="AI96" i="6"/>
  <c r="AG96" i="6"/>
  <c r="AE96" i="6"/>
  <c r="AC96" i="6"/>
  <c r="AA96" i="6"/>
  <c r="Y96" i="6"/>
  <c r="W96" i="6"/>
  <c r="U96" i="6"/>
  <c r="S96" i="6"/>
  <c r="Q96" i="6"/>
  <c r="O96" i="6"/>
  <c r="M96" i="6"/>
  <c r="K96" i="6"/>
  <c r="AK94" i="6"/>
  <c r="AJ94" i="6" s="1"/>
  <c r="AI94" i="6"/>
  <c r="AG94" i="6"/>
  <c r="AE94" i="6"/>
  <c r="AC94" i="6"/>
  <c r="AA94" i="6"/>
  <c r="Y94" i="6"/>
  <c r="W94" i="6"/>
  <c r="U94" i="6"/>
  <c r="S94" i="6"/>
  <c r="Q94" i="6"/>
  <c r="O94" i="6"/>
  <c r="M94" i="6"/>
  <c r="K94" i="6"/>
  <c r="AK92" i="6"/>
  <c r="AJ92" i="6" s="1"/>
  <c r="AI92" i="6"/>
  <c r="AG92" i="6"/>
  <c r="AE92" i="6"/>
  <c r="AC92" i="6"/>
  <c r="AA92" i="6"/>
  <c r="Y92" i="6"/>
  <c r="W92" i="6"/>
  <c r="U92" i="6"/>
  <c r="S92" i="6"/>
  <c r="Q92" i="6"/>
  <c r="O92" i="6"/>
  <c r="M92" i="6"/>
  <c r="K92" i="6"/>
  <c r="AK90" i="6"/>
  <c r="AJ90" i="6" s="1"/>
  <c r="AI90" i="6"/>
  <c r="AG90" i="6"/>
  <c r="AE90" i="6"/>
  <c r="AC90" i="6"/>
  <c r="AA90" i="6"/>
  <c r="Y90" i="6"/>
  <c r="W90" i="6"/>
  <c r="U90" i="6"/>
  <c r="S90" i="6"/>
  <c r="Q90" i="6"/>
  <c r="O90" i="6"/>
  <c r="M90" i="6"/>
  <c r="K90" i="6"/>
  <c r="AK88" i="6"/>
  <c r="AJ88" i="6" s="1"/>
  <c r="AI88" i="6"/>
  <c r="AG88" i="6"/>
  <c r="AE88" i="6"/>
  <c r="AC88" i="6"/>
  <c r="AA88" i="6"/>
  <c r="Y88" i="6"/>
  <c r="W88" i="6"/>
  <c r="U88" i="6"/>
  <c r="S88" i="6"/>
  <c r="Q88" i="6"/>
  <c r="O88" i="6"/>
  <c r="M88" i="6"/>
  <c r="K88" i="6"/>
  <c r="AK86" i="6"/>
  <c r="AJ86" i="6" s="1"/>
  <c r="AI86" i="6"/>
  <c r="AG86" i="6"/>
  <c r="AE86" i="6"/>
  <c r="AC86" i="6"/>
  <c r="AA86" i="6"/>
  <c r="Y86" i="6"/>
  <c r="W86" i="6"/>
  <c r="U86" i="6"/>
  <c r="S86" i="6"/>
  <c r="Q86" i="6"/>
  <c r="O86" i="6"/>
  <c r="M86" i="6"/>
  <c r="K86" i="6"/>
  <c r="AK84" i="6"/>
  <c r="AJ84" i="6" s="1"/>
  <c r="AI84" i="6"/>
  <c r="AG84" i="6"/>
  <c r="AE84" i="6"/>
  <c r="AC84" i="6"/>
  <c r="AA84" i="6"/>
  <c r="Y84" i="6"/>
  <c r="W84" i="6"/>
  <c r="U84" i="6"/>
  <c r="S84" i="6"/>
  <c r="Q84" i="6"/>
  <c r="O84" i="6"/>
  <c r="M84" i="6"/>
  <c r="K84" i="6"/>
  <c r="AK82" i="6"/>
  <c r="AJ82" i="6" s="1"/>
  <c r="AI82" i="6"/>
  <c r="AG82" i="6"/>
  <c r="AE82" i="6"/>
  <c r="AC82" i="6"/>
  <c r="AA82" i="6"/>
  <c r="Y82" i="6"/>
  <c r="W82" i="6"/>
  <c r="U82" i="6"/>
  <c r="S82" i="6"/>
  <c r="Q82" i="6"/>
  <c r="O82" i="6"/>
  <c r="M82" i="6"/>
  <c r="K82" i="6"/>
  <c r="AK80" i="6"/>
  <c r="AJ80" i="6" s="1"/>
  <c r="AI80" i="6"/>
  <c r="AG80" i="6"/>
  <c r="AE80" i="6"/>
  <c r="AC80" i="6"/>
  <c r="AA80" i="6"/>
  <c r="Y80" i="6"/>
  <c r="W80" i="6"/>
  <c r="U80" i="6"/>
  <c r="S80" i="6"/>
  <c r="Q80" i="6"/>
  <c r="O80" i="6"/>
  <c r="M80" i="6"/>
  <c r="K80" i="6"/>
  <c r="AK78" i="6"/>
  <c r="AJ78" i="6" s="1"/>
  <c r="AI78" i="6"/>
  <c r="AG78" i="6"/>
  <c r="AE78" i="6"/>
  <c r="AC78" i="6"/>
  <c r="AA78" i="6"/>
  <c r="Y78" i="6"/>
  <c r="W78" i="6"/>
  <c r="U78" i="6"/>
  <c r="S78" i="6"/>
  <c r="Q78" i="6"/>
  <c r="O78" i="6"/>
  <c r="M78" i="6"/>
  <c r="K78" i="6"/>
  <c r="AK76" i="6"/>
  <c r="AJ76" i="6" s="1"/>
  <c r="AI76" i="6"/>
  <c r="AG76" i="6"/>
  <c r="AE76" i="6"/>
  <c r="AC76" i="6"/>
  <c r="AA76" i="6"/>
  <c r="Y76" i="6"/>
  <c r="W76" i="6"/>
  <c r="U76" i="6"/>
  <c r="S76" i="6"/>
  <c r="Q76" i="6"/>
  <c r="O76" i="6"/>
  <c r="M76" i="6"/>
  <c r="K76" i="6"/>
  <c r="AK74" i="6"/>
  <c r="AJ74" i="6" s="1"/>
  <c r="AI74" i="6"/>
  <c r="AG74" i="6"/>
  <c r="AE74" i="6"/>
  <c r="AC74" i="6"/>
  <c r="AA74" i="6"/>
  <c r="Y74" i="6"/>
  <c r="W74" i="6"/>
  <c r="U74" i="6"/>
  <c r="S74" i="6"/>
  <c r="Q74" i="6"/>
  <c r="O74" i="6"/>
  <c r="M74" i="6"/>
  <c r="K74" i="6"/>
  <c r="AK72" i="6"/>
  <c r="AJ72" i="6" s="1"/>
  <c r="AI72" i="6"/>
  <c r="AG72" i="6"/>
  <c r="AE72" i="6"/>
  <c r="AC72" i="6"/>
  <c r="AA72" i="6"/>
  <c r="Y72" i="6"/>
  <c r="W72" i="6"/>
  <c r="U72" i="6"/>
  <c r="S72" i="6"/>
  <c r="Q72" i="6"/>
  <c r="O72" i="6"/>
  <c r="M72" i="6"/>
  <c r="K72" i="6"/>
  <c r="AK70" i="6"/>
  <c r="AJ70" i="6" s="1"/>
  <c r="AI70" i="6"/>
  <c r="AG70" i="6"/>
  <c r="AE70" i="6"/>
  <c r="AC70" i="6"/>
  <c r="AA70" i="6"/>
  <c r="Y70" i="6"/>
  <c r="W70" i="6"/>
  <c r="U70" i="6"/>
  <c r="S70" i="6"/>
  <c r="Q70" i="6"/>
  <c r="O70" i="6"/>
  <c r="M70" i="6"/>
  <c r="K70" i="6"/>
  <c r="AK68" i="6"/>
  <c r="AJ68" i="6" s="1"/>
  <c r="AI68" i="6"/>
  <c r="AG68" i="6"/>
  <c r="AE68" i="6"/>
  <c r="AC68" i="6"/>
  <c r="AA68" i="6"/>
  <c r="Y68" i="6"/>
  <c r="W68" i="6"/>
  <c r="U68" i="6"/>
  <c r="S68" i="6"/>
  <c r="Q68" i="6"/>
  <c r="O68" i="6"/>
  <c r="M68" i="6"/>
  <c r="K68" i="6"/>
  <c r="AK66" i="6"/>
  <c r="AJ66" i="6" s="1"/>
  <c r="AI66" i="6"/>
  <c r="AG66" i="6"/>
  <c r="AE66" i="6"/>
  <c r="AC66" i="6"/>
  <c r="AA66" i="6"/>
  <c r="Y66" i="6"/>
  <c r="W66" i="6"/>
  <c r="U66" i="6"/>
  <c r="S66" i="6"/>
  <c r="Q66" i="6"/>
  <c r="O66" i="6"/>
  <c r="M66" i="6"/>
  <c r="K66" i="6"/>
  <c r="AK64" i="6"/>
  <c r="AJ64" i="6" s="1"/>
  <c r="AI64" i="6"/>
  <c r="AG64" i="6"/>
  <c r="AE64" i="6"/>
  <c r="AC64" i="6"/>
  <c r="AA64" i="6"/>
  <c r="Y64" i="6"/>
  <c r="W64" i="6"/>
  <c r="U64" i="6"/>
  <c r="S64" i="6"/>
  <c r="Q64" i="6"/>
  <c r="O64" i="6"/>
  <c r="M64" i="6"/>
  <c r="K64" i="6"/>
  <c r="AK62" i="6"/>
  <c r="AJ62" i="6" s="1"/>
  <c r="AI62" i="6"/>
  <c r="AG62" i="6"/>
  <c r="AE62" i="6"/>
  <c r="AC62" i="6"/>
  <c r="AA62" i="6"/>
  <c r="Y62" i="6"/>
  <c r="W62" i="6"/>
  <c r="U62" i="6"/>
  <c r="S62" i="6"/>
  <c r="Q62" i="6"/>
  <c r="O62" i="6"/>
  <c r="M62" i="6"/>
  <c r="K62" i="6"/>
  <c r="AK60" i="6"/>
  <c r="AJ60" i="6" s="1"/>
  <c r="AI60" i="6"/>
  <c r="AG60" i="6"/>
  <c r="AE60" i="6"/>
  <c r="AC60" i="6"/>
  <c r="AA60" i="6"/>
  <c r="Y60" i="6"/>
  <c r="W60" i="6"/>
  <c r="U60" i="6"/>
  <c r="S60" i="6"/>
  <c r="Q60" i="6"/>
  <c r="O60" i="6"/>
  <c r="M60" i="6"/>
  <c r="K60" i="6"/>
  <c r="AK58" i="6"/>
  <c r="AJ58" i="6" s="1"/>
  <c r="AI58" i="6"/>
  <c r="AG58" i="6"/>
  <c r="AE58" i="6"/>
  <c r="AC58" i="6"/>
  <c r="AA58" i="6"/>
  <c r="Y58" i="6"/>
  <c r="W58" i="6"/>
  <c r="U58" i="6"/>
  <c r="S58" i="6"/>
  <c r="Q58" i="6"/>
  <c r="O58" i="6"/>
  <c r="M58" i="6"/>
  <c r="K58" i="6"/>
  <c r="AK56" i="6"/>
  <c r="AJ56" i="6" s="1"/>
  <c r="AI56" i="6"/>
  <c r="AG56" i="6"/>
  <c r="AE56" i="6"/>
  <c r="AC56" i="6"/>
  <c r="AA56" i="6"/>
  <c r="Y56" i="6"/>
  <c r="W56" i="6"/>
  <c r="U56" i="6"/>
  <c r="S56" i="6"/>
  <c r="Q56" i="6"/>
  <c r="O56" i="6"/>
  <c r="M56" i="6"/>
  <c r="K56" i="6"/>
  <c r="AK54" i="6"/>
  <c r="AJ54" i="6" s="1"/>
  <c r="AI54" i="6"/>
  <c r="AG54" i="6"/>
  <c r="AE54" i="6"/>
  <c r="AC54" i="6"/>
  <c r="AA54" i="6"/>
  <c r="Y54" i="6"/>
  <c r="W54" i="6"/>
  <c r="U54" i="6"/>
  <c r="S54" i="6"/>
  <c r="Q54" i="6"/>
  <c r="O54" i="6"/>
  <c r="M54" i="6"/>
  <c r="K54" i="6"/>
  <c r="AK52" i="6"/>
  <c r="AJ52" i="6" s="1"/>
  <c r="AI52" i="6"/>
  <c r="AG52" i="6"/>
  <c r="AE52" i="6"/>
  <c r="AC52" i="6"/>
  <c r="AA52" i="6"/>
  <c r="Y52" i="6"/>
  <c r="W52" i="6"/>
  <c r="U52" i="6"/>
  <c r="S52" i="6"/>
  <c r="Q52" i="6"/>
  <c r="O52" i="6"/>
  <c r="M52" i="6"/>
  <c r="K52" i="6"/>
  <c r="AK50" i="6"/>
  <c r="AJ50" i="6" s="1"/>
  <c r="AI50" i="6"/>
  <c r="AG50" i="6"/>
  <c r="AE50" i="6"/>
  <c r="AC50" i="6"/>
  <c r="AA50" i="6"/>
  <c r="Y50" i="6"/>
  <c r="W50" i="6"/>
  <c r="U50" i="6"/>
  <c r="S50" i="6"/>
  <c r="Q50" i="6"/>
  <c r="O50" i="6"/>
  <c r="M50" i="6"/>
  <c r="K50" i="6"/>
  <c r="AK48" i="6"/>
  <c r="AJ48" i="6" s="1"/>
  <c r="AI48" i="6"/>
  <c r="AG48" i="6"/>
  <c r="AE48" i="6"/>
  <c r="AC48" i="6"/>
  <c r="AA48" i="6"/>
  <c r="Y48" i="6"/>
  <c r="W48" i="6"/>
  <c r="U48" i="6"/>
  <c r="S48" i="6"/>
  <c r="Q48" i="6"/>
  <c r="O48" i="6"/>
  <c r="M48" i="6"/>
  <c r="K48" i="6"/>
  <c r="AK46" i="6"/>
  <c r="AJ46" i="6" s="1"/>
  <c r="AI46" i="6"/>
  <c r="AG46" i="6"/>
  <c r="AE46" i="6"/>
  <c r="AC46" i="6"/>
  <c r="AA46" i="6"/>
  <c r="Y46" i="6"/>
  <c r="W46" i="6"/>
  <c r="U46" i="6"/>
  <c r="S46" i="6"/>
  <c r="Q46" i="6"/>
  <c r="O46" i="6"/>
  <c r="M46" i="6"/>
  <c r="K46" i="6"/>
  <c r="AK44" i="6"/>
  <c r="AJ44" i="6" s="1"/>
  <c r="AI44" i="6"/>
  <c r="AG44" i="6"/>
  <c r="AE44" i="6"/>
  <c r="AC44" i="6"/>
  <c r="AA44" i="6"/>
  <c r="Y44" i="6"/>
  <c r="W44" i="6"/>
  <c r="U44" i="6"/>
  <c r="S44" i="6"/>
  <c r="Q44" i="6"/>
  <c r="O44" i="6"/>
  <c r="M44" i="6"/>
  <c r="K44" i="6"/>
  <c r="AK42" i="6"/>
  <c r="AJ42" i="6" s="1"/>
  <c r="AI42" i="6"/>
  <c r="AG42" i="6"/>
  <c r="AE42" i="6"/>
  <c r="AC42" i="6"/>
  <c r="AA42" i="6"/>
  <c r="Y42" i="6"/>
  <c r="W42" i="6"/>
  <c r="U42" i="6"/>
  <c r="S42" i="6"/>
  <c r="Q42" i="6"/>
  <c r="O42" i="6"/>
  <c r="M42" i="6"/>
  <c r="K42" i="6"/>
  <c r="AK40" i="6"/>
  <c r="AJ40" i="6" s="1"/>
  <c r="AI40" i="6"/>
  <c r="AG40" i="6"/>
  <c r="AE40" i="6"/>
  <c r="AC40" i="6"/>
  <c r="AA40" i="6"/>
  <c r="Y40" i="6"/>
  <c r="W40" i="6"/>
  <c r="U40" i="6"/>
  <c r="S40" i="6"/>
  <c r="Q40" i="6"/>
  <c r="O40" i="6"/>
  <c r="M40" i="6"/>
  <c r="K40" i="6"/>
  <c r="AK38" i="6"/>
  <c r="AJ38" i="6" s="1"/>
  <c r="AI38" i="6"/>
  <c r="AG38" i="6"/>
  <c r="AE38" i="6"/>
  <c r="AC38" i="6"/>
  <c r="AA38" i="6"/>
  <c r="Y38" i="6"/>
  <c r="W38" i="6"/>
  <c r="U38" i="6"/>
  <c r="S38" i="6"/>
  <c r="Q38" i="6"/>
  <c r="O38" i="6"/>
  <c r="M38" i="6"/>
  <c r="K38" i="6"/>
  <c r="AK36" i="6"/>
  <c r="AJ36" i="6" s="1"/>
  <c r="AI36" i="6"/>
  <c r="AG36" i="6"/>
  <c r="AE36" i="6"/>
  <c r="AC36" i="6"/>
  <c r="AA36" i="6"/>
  <c r="Y36" i="6"/>
  <c r="W36" i="6"/>
  <c r="U36" i="6"/>
  <c r="S36" i="6"/>
  <c r="Q36" i="6"/>
  <c r="O36" i="6"/>
  <c r="M36" i="6"/>
  <c r="K36" i="6"/>
  <c r="AK34" i="6"/>
  <c r="AJ34" i="6" s="1"/>
  <c r="AI34" i="6"/>
  <c r="AG34" i="6"/>
  <c r="AE34" i="6"/>
  <c r="AC34" i="6"/>
  <c r="AA34" i="6"/>
  <c r="Y34" i="6"/>
  <c r="W34" i="6"/>
  <c r="U34" i="6"/>
  <c r="S34" i="6"/>
  <c r="Q34" i="6"/>
  <c r="O34" i="6"/>
  <c r="M34" i="6"/>
  <c r="K34" i="6"/>
  <c r="AK32" i="6"/>
  <c r="AJ32" i="6" s="1"/>
  <c r="AI32" i="6"/>
  <c r="AG32" i="6"/>
  <c r="AE32" i="6"/>
  <c r="AC32" i="6"/>
  <c r="AA32" i="6"/>
  <c r="Y32" i="6"/>
  <c r="W32" i="6"/>
  <c r="U32" i="6"/>
  <c r="S32" i="6"/>
  <c r="Q32" i="6"/>
  <c r="O32" i="6"/>
  <c r="M32" i="6"/>
  <c r="K32" i="6"/>
  <c r="AK30" i="6"/>
  <c r="AJ30" i="6" s="1"/>
  <c r="AI30" i="6"/>
  <c r="AG30" i="6"/>
  <c r="AE30" i="6"/>
  <c r="AC30" i="6"/>
  <c r="AA30" i="6"/>
  <c r="Y30" i="6"/>
  <c r="W30" i="6"/>
  <c r="U30" i="6"/>
  <c r="S30" i="6"/>
  <c r="Q30" i="6"/>
  <c r="O30" i="6"/>
  <c r="M30" i="6"/>
  <c r="K30" i="6"/>
  <c r="AK28" i="6"/>
  <c r="AJ28" i="6" s="1"/>
  <c r="AI28" i="6"/>
  <c r="AG28" i="6"/>
  <c r="AE28" i="6"/>
  <c r="AC28" i="6"/>
  <c r="AA28" i="6"/>
  <c r="Y28" i="6"/>
  <c r="W28" i="6"/>
  <c r="U28" i="6"/>
  <c r="S28" i="6"/>
  <c r="Q28" i="6"/>
  <c r="O28" i="6"/>
  <c r="M28" i="6"/>
  <c r="K28" i="6"/>
  <c r="AK26" i="6"/>
  <c r="AJ26" i="6" s="1"/>
  <c r="AI26" i="6"/>
  <c r="AG26" i="6"/>
  <c r="AE26" i="6"/>
  <c r="AC26" i="6"/>
  <c r="AA26" i="6"/>
  <c r="Y26" i="6"/>
  <c r="W26" i="6"/>
  <c r="U26" i="6"/>
  <c r="S26" i="6"/>
  <c r="Q26" i="6"/>
  <c r="O26" i="6"/>
  <c r="M26" i="6"/>
  <c r="K26" i="6"/>
  <c r="AK24" i="6"/>
  <c r="AJ24" i="6" s="1"/>
  <c r="AI24" i="6"/>
  <c r="AG24" i="6"/>
  <c r="AE24" i="6"/>
  <c r="AC24" i="6"/>
  <c r="AA24" i="6"/>
  <c r="Y24" i="6"/>
  <c r="W24" i="6"/>
  <c r="U24" i="6"/>
  <c r="S24" i="6"/>
  <c r="Q24" i="6"/>
  <c r="O24" i="6"/>
  <c r="M24" i="6"/>
  <c r="K24" i="6"/>
  <c r="AK22" i="6"/>
  <c r="AJ22" i="6" s="1"/>
  <c r="AI22" i="6"/>
  <c r="AG22" i="6"/>
  <c r="AE22" i="6"/>
  <c r="AC22" i="6"/>
  <c r="AA22" i="6"/>
  <c r="Y22" i="6"/>
  <c r="W22" i="6"/>
  <c r="U22" i="6"/>
  <c r="S22" i="6"/>
  <c r="Q22" i="6"/>
  <c r="O22" i="6"/>
  <c r="M22" i="6"/>
  <c r="K22" i="6"/>
  <c r="AK20" i="6"/>
  <c r="AJ20" i="6" s="1"/>
  <c r="AI20" i="6"/>
  <c r="AG20" i="6"/>
  <c r="AE20" i="6"/>
  <c r="AC20" i="6"/>
  <c r="AA20" i="6"/>
  <c r="Y20" i="6"/>
  <c r="W20" i="6"/>
  <c r="U20" i="6"/>
  <c r="S20" i="6"/>
  <c r="Q20" i="6"/>
  <c r="O20" i="6"/>
  <c r="M20" i="6"/>
  <c r="K20" i="6"/>
  <c r="AK18" i="6"/>
  <c r="AJ18" i="6" s="1"/>
  <c r="AI18" i="6"/>
  <c r="AG18" i="6"/>
  <c r="AE18" i="6"/>
  <c r="AC18" i="6"/>
  <c r="AA18" i="6"/>
  <c r="Y18" i="6"/>
  <c r="W18" i="6"/>
  <c r="U18" i="6"/>
  <c r="S18" i="6"/>
  <c r="Q18" i="6"/>
  <c r="O18" i="6"/>
  <c r="M18" i="6"/>
  <c r="K18" i="6"/>
  <c r="AK16" i="6"/>
  <c r="AJ16" i="6" s="1"/>
  <c r="AI16" i="6"/>
  <c r="AG16" i="6"/>
  <c r="AE16" i="6"/>
  <c r="AC16" i="6"/>
  <c r="AA16" i="6"/>
  <c r="Y16" i="6"/>
  <c r="W16" i="6"/>
  <c r="U16" i="6"/>
  <c r="S16" i="6"/>
  <c r="Q16" i="6"/>
  <c r="O16" i="6"/>
  <c r="M16" i="6"/>
  <c r="K16" i="6"/>
  <c r="AK14" i="6"/>
  <c r="AJ14" i="6" s="1"/>
  <c r="AI14" i="6"/>
  <c r="AG14" i="6"/>
  <c r="AE14" i="6"/>
  <c r="AC14" i="6"/>
  <c r="AA14" i="6"/>
  <c r="Y14" i="6"/>
  <c r="W14" i="6"/>
  <c r="U14" i="6"/>
  <c r="S14" i="6"/>
  <c r="Q14" i="6"/>
  <c r="O14" i="6"/>
  <c r="M14" i="6"/>
  <c r="K14" i="6"/>
  <c r="AK12" i="6"/>
  <c r="AJ12" i="6" s="1"/>
  <c r="AI12" i="6"/>
  <c r="AG12" i="6"/>
  <c r="AE12" i="6"/>
  <c r="AC12" i="6"/>
  <c r="AA12" i="6"/>
  <c r="Y12" i="6"/>
  <c r="W12" i="6"/>
  <c r="U12" i="6"/>
  <c r="S12" i="6"/>
  <c r="Q12" i="6"/>
  <c r="O12" i="6"/>
  <c r="M12" i="6"/>
  <c r="K12" i="6"/>
  <c r="AO142" i="6"/>
  <c r="G89" i="7" s="1"/>
  <c r="J89" i="7" s="1"/>
  <c r="Q531" i="9"/>
  <c r="R531" i="9" s="1"/>
  <c r="Q530" i="9"/>
  <c r="R530" i="9" s="1"/>
  <c r="Q529" i="9"/>
  <c r="R529" i="9" s="1"/>
  <c r="Q528" i="9"/>
  <c r="R528" i="9" s="1"/>
  <c r="Q527" i="9"/>
  <c r="R527" i="9" s="1"/>
  <c r="Q526" i="9"/>
  <c r="R526" i="9" s="1"/>
  <c r="Q525" i="9"/>
  <c r="R525" i="9" s="1"/>
  <c r="O531" i="9"/>
  <c r="M531" i="9"/>
  <c r="K531" i="9"/>
  <c r="O530" i="9"/>
  <c r="M530" i="9"/>
  <c r="K530" i="9"/>
  <c r="O529" i="9"/>
  <c r="M529" i="9"/>
  <c r="K529" i="9"/>
  <c r="O528" i="9"/>
  <c r="M528" i="9"/>
  <c r="K528" i="9"/>
  <c r="O527" i="9"/>
  <c r="M527" i="9"/>
  <c r="K527" i="9"/>
  <c r="O526" i="9"/>
  <c r="M526" i="9"/>
  <c r="K526" i="9"/>
  <c r="O525" i="9"/>
  <c r="M525" i="9"/>
  <c r="K525" i="9"/>
  <c r="P524" i="9"/>
  <c r="F142" i="6" s="1"/>
  <c r="Q517" i="9"/>
  <c r="Q518" i="9"/>
  <c r="R518" i="9" s="1"/>
  <c r="Q519" i="9"/>
  <c r="R519" i="9" s="1"/>
  <c r="Q520" i="9"/>
  <c r="R520" i="9" s="1"/>
  <c r="Q521" i="9"/>
  <c r="R521" i="9" s="1"/>
  <c r="Q522" i="9"/>
  <c r="R522" i="9" s="1"/>
  <c r="Q523" i="9"/>
  <c r="R523" i="9" s="1"/>
  <c r="AO140" i="6"/>
  <c r="G88" i="7" s="1"/>
  <c r="J88" i="7" s="1"/>
  <c r="P516" i="9"/>
  <c r="F140" i="6" s="1"/>
  <c r="O523" i="9"/>
  <c r="M523" i="9"/>
  <c r="K523" i="9"/>
  <c r="O522" i="9"/>
  <c r="M522" i="9"/>
  <c r="K522" i="9"/>
  <c r="O521" i="9"/>
  <c r="M521" i="9"/>
  <c r="K521" i="9"/>
  <c r="O520" i="9"/>
  <c r="M520" i="9"/>
  <c r="K520" i="9"/>
  <c r="O519" i="9"/>
  <c r="M519" i="9"/>
  <c r="K519" i="9"/>
  <c r="O518" i="9"/>
  <c r="M518" i="9"/>
  <c r="K518" i="9"/>
  <c r="O517" i="9"/>
  <c r="M517" i="9"/>
  <c r="K517" i="9"/>
  <c r="Q509" i="9"/>
  <c r="Q510" i="9"/>
  <c r="R510" i="9" s="1"/>
  <c r="Q511" i="9"/>
  <c r="R511" i="9" s="1"/>
  <c r="Q512" i="9"/>
  <c r="R512" i="9" s="1"/>
  <c r="Q513" i="9"/>
  <c r="R513" i="9" s="1"/>
  <c r="Q514" i="9"/>
  <c r="R514" i="9" s="1"/>
  <c r="Q515" i="9"/>
  <c r="R515" i="9" s="1"/>
  <c r="AO138" i="6"/>
  <c r="G87" i="7" s="1"/>
  <c r="J87" i="7" s="1"/>
  <c r="P508" i="9"/>
  <c r="F138" i="6" s="1"/>
  <c r="O515" i="9"/>
  <c r="M515" i="9"/>
  <c r="K515" i="9"/>
  <c r="O514" i="9"/>
  <c r="M514" i="9"/>
  <c r="K514" i="9"/>
  <c r="O513" i="9"/>
  <c r="M513" i="9"/>
  <c r="K513" i="9"/>
  <c r="O512" i="9"/>
  <c r="M512" i="9"/>
  <c r="K512" i="9"/>
  <c r="O511" i="9"/>
  <c r="M511" i="9"/>
  <c r="K511" i="9"/>
  <c r="O510" i="9"/>
  <c r="M510" i="9"/>
  <c r="K510" i="9"/>
  <c r="O509" i="9"/>
  <c r="M509" i="9"/>
  <c r="K509" i="9"/>
  <c r="AO136" i="6"/>
  <c r="G86" i="7" s="1"/>
  <c r="Q498" i="9"/>
  <c r="R498" i="9" s="1"/>
  <c r="Q499" i="9"/>
  <c r="R499" i="9" s="1"/>
  <c r="Q500" i="9"/>
  <c r="R500" i="9" s="1"/>
  <c r="Q501" i="9"/>
  <c r="R501" i="9" s="1"/>
  <c r="Q502" i="9"/>
  <c r="R502" i="9" s="1"/>
  <c r="Q503" i="9"/>
  <c r="R503" i="9" s="1"/>
  <c r="Q504" i="9"/>
  <c r="R504" i="9" s="1"/>
  <c r="Q505" i="9"/>
  <c r="R505" i="9" s="1"/>
  <c r="Q506" i="9"/>
  <c r="R506" i="9" s="1"/>
  <c r="Q507" i="9"/>
  <c r="R507" i="9" s="1"/>
  <c r="P497" i="9"/>
  <c r="F136" i="6" s="1"/>
  <c r="O507" i="9"/>
  <c r="M507" i="9"/>
  <c r="K507" i="9"/>
  <c r="O506" i="9"/>
  <c r="M506" i="9"/>
  <c r="K506" i="9"/>
  <c r="O505" i="9"/>
  <c r="M505" i="9"/>
  <c r="K505" i="9"/>
  <c r="O504" i="9"/>
  <c r="M504" i="9"/>
  <c r="K504" i="9"/>
  <c r="O503" i="9"/>
  <c r="M503" i="9"/>
  <c r="K503" i="9"/>
  <c r="O502" i="9"/>
  <c r="M502" i="9"/>
  <c r="K502" i="9"/>
  <c r="O501" i="9"/>
  <c r="M501" i="9"/>
  <c r="K501" i="9"/>
  <c r="O500" i="9"/>
  <c r="M500" i="9"/>
  <c r="K500" i="9"/>
  <c r="O499" i="9"/>
  <c r="M499" i="9"/>
  <c r="K499" i="9"/>
  <c r="O498" i="9"/>
  <c r="M498" i="9"/>
  <c r="K498" i="9"/>
  <c r="Q492" i="9"/>
  <c r="R492" i="9" s="1"/>
  <c r="Q493" i="9"/>
  <c r="R493" i="9" s="1"/>
  <c r="Q494" i="9"/>
  <c r="R494" i="9" s="1"/>
  <c r="Q495" i="9"/>
  <c r="R495" i="9" s="1"/>
  <c r="Q496" i="9"/>
  <c r="R496" i="9" s="1"/>
  <c r="AO134" i="6"/>
  <c r="G85" i="7" s="1"/>
  <c r="P491" i="9"/>
  <c r="F134" i="6" s="1"/>
  <c r="O496" i="9"/>
  <c r="M496" i="9"/>
  <c r="K496" i="9"/>
  <c r="O495" i="9"/>
  <c r="M495" i="9"/>
  <c r="K495" i="9"/>
  <c r="O494" i="9"/>
  <c r="M494" i="9"/>
  <c r="K494" i="9"/>
  <c r="O493" i="9"/>
  <c r="M493" i="9"/>
  <c r="K493" i="9"/>
  <c r="O492" i="9"/>
  <c r="M492" i="9"/>
  <c r="K492" i="9"/>
  <c r="Q484" i="9"/>
  <c r="R484" i="9" s="1"/>
  <c r="Q485" i="9"/>
  <c r="R485" i="9" s="1"/>
  <c r="Q486" i="9"/>
  <c r="R486" i="9" s="1"/>
  <c r="Q487" i="9"/>
  <c r="R487" i="9" s="1"/>
  <c r="Q488" i="9"/>
  <c r="R488" i="9" s="1"/>
  <c r="Q489" i="9"/>
  <c r="R489" i="9" s="1"/>
  <c r="Q490" i="9"/>
  <c r="R490" i="9" s="1"/>
  <c r="AO132" i="6"/>
  <c r="G84" i="7" s="1"/>
  <c r="P482" i="9"/>
  <c r="F132" i="6" s="1"/>
  <c r="O490" i="9"/>
  <c r="M490" i="9"/>
  <c r="K490" i="9"/>
  <c r="O489" i="9"/>
  <c r="M489" i="9"/>
  <c r="K489" i="9"/>
  <c r="O488" i="9"/>
  <c r="M488" i="9"/>
  <c r="K488" i="9"/>
  <c r="O487" i="9"/>
  <c r="M487" i="9"/>
  <c r="K487" i="9"/>
  <c r="O486" i="9"/>
  <c r="M486" i="9"/>
  <c r="K486" i="9"/>
  <c r="O485" i="9"/>
  <c r="M485" i="9"/>
  <c r="K485" i="9"/>
  <c r="O484" i="9"/>
  <c r="M484" i="9"/>
  <c r="K484" i="9"/>
  <c r="K483" i="9"/>
  <c r="AO130" i="6"/>
  <c r="G83" i="7" s="1"/>
  <c r="J83" i="7" s="1"/>
  <c r="Q476" i="9"/>
  <c r="Q477" i="9"/>
  <c r="R477" i="9" s="1"/>
  <c r="Q478" i="9"/>
  <c r="R478" i="9" s="1"/>
  <c r="Q479" i="9"/>
  <c r="R479" i="9" s="1"/>
  <c r="Q480" i="9"/>
  <c r="R480" i="9" s="1"/>
  <c r="Q481" i="9"/>
  <c r="R481" i="9" s="1"/>
  <c r="P475" i="9"/>
  <c r="F130" i="6" s="1"/>
  <c r="O481" i="9"/>
  <c r="M481" i="9"/>
  <c r="K481" i="9"/>
  <c r="O480" i="9"/>
  <c r="M480" i="9"/>
  <c r="K480" i="9"/>
  <c r="O479" i="9"/>
  <c r="M479" i="9"/>
  <c r="K479" i="9"/>
  <c r="O478" i="9"/>
  <c r="M478" i="9"/>
  <c r="K478" i="9"/>
  <c r="O477" i="9"/>
  <c r="M477" i="9"/>
  <c r="K477" i="9"/>
  <c r="O476" i="9"/>
  <c r="M476" i="9"/>
  <c r="K476" i="9"/>
  <c r="AO128" i="6"/>
  <c r="G82" i="7" s="1"/>
  <c r="J82" i="7" s="1"/>
  <c r="Q469" i="9"/>
  <c r="R469" i="9" s="1"/>
  <c r="Q470" i="9"/>
  <c r="Q471" i="9"/>
  <c r="R471" i="9" s="1"/>
  <c r="Q472" i="9"/>
  <c r="R472" i="9" s="1"/>
  <c r="Q473" i="9"/>
  <c r="R473" i="9" s="1"/>
  <c r="Q474" i="9"/>
  <c r="R474" i="9" s="1"/>
  <c r="P468" i="9"/>
  <c r="F128" i="6" s="1"/>
  <c r="O474" i="9"/>
  <c r="M474" i="9"/>
  <c r="K474" i="9"/>
  <c r="O473" i="9"/>
  <c r="M473" i="9"/>
  <c r="K473" i="9"/>
  <c r="O472" i="9"/>
  <c r="M472" i="9"/>
  <c r="K472" i="9"/>
  <c r="O471" i="9"/>
  <c r="M471" i="9"/>
  <c r="K471" i="9"/>
  <c r="O470" i="9"/>
  <c r="M470" i="9"/>
  <c r="K470" i="9"/>
  <c r="O469" i="9"/>
  <c r="M469" i="9"/>
  <c r="K469" i="9"/>
  <c r="AO126" i="6"/>
  <c r="G81" i="7" s="1"/>
  <c r="J81" i="7" s="1"/>
  <c r="Q462" i="9"/>
  <c r="Q463" i="9"/>
  <c r="R463" i="9" s="1"/>
  <c r="Q464" i="9"/>
  <c r="R464" i="9" s="1"/>
  <c r="Q465" i="9"/>
  <c r="R465" i="9" s="1"/>
  <c r="Q466" i="9"/>
  <c r="R466" i="9" s="1"/>
  <c r="Q467" i="9"/>
  <c r="R467" i="9" s="1"/>
  <c r="P461" i="9"/>
  <c r="F126" i="6" s="1"/>
  <c r="O467" i="9"/>
  <c r="M467" i="9"/>
  <c r="K467" i="9"/>
  <c r="O466" i="9"/>
  <c r="M466" i="9"/>
  <c r="K466" i="9"/>
  <c r="O465" i="9"/>
  <c r="M465" i="9"/>
  <c r="K465" i="9"/>
  <c r="O464" i="9"/>
  <c r="M464" i="9"/>
  <c r="K464" i="9"/>
  <c r="O463" i="9"/>
  <c r="M463" i="9"/>
  <c r="K463" i="9"/>
  <c r="O462" i="9"/>
  <c r="M462" i="9"/>
  <c r="K462" i="9"/>
  <c r="AO124" i="6"/>
  <c r="G80" i="7" s="1"/>
  <c r="J80" i="7" s="1"/>
  <c r="Q455" i="9"/>
  <c r="Q456" i="9"/>
  <c r="R456" i="9" s="1"/>
  <c r="Q457" i="9"/>
  <c r="R457" i="9" s="1"/>
  <c r="Q458" i="9"/>
  <c r="R458" i="9" s="1"/>
  <c r="Q459" i="9"/>
  <c r="R459" i="9" s="1"/>
  <c r="Q460" i="9"/>
  <c r="R460" i="9" s="1"/>
  <c r="P454" i="9"/>
  <c r="F124" i="6" s="1"/>
  <c r="O460" i="9"/>
  <c r="M460" i="9"/>
  <c r="K460" i="9"/>
  <c r="O459" i="9"/>
  <c r="M459" i="9"/>
  <c r="K459" i="9"/>
  <c r="O458" i="9"/>
  <c r="M458" i="9"/>
  <c r="K458" i="9"/>
  <c r="O457" i="9"/>
  <c r="M457" i="9"/>
  <c r="K457" i="9"/>
  <c r="O456" i="9"/>
  <c r="M456" i="9"/>
  <c r="K456" i="9"/>
  <c r="O455" i="9"/>
  <c r="M455" i="9"/>
  <c r="K455" i="9"/>
  <c r="AO122" i="6"/>
  <c r="G79" i="7" s="1"/>
  <c r="Q446" i="9"/>
  <c r="R446" i="9" s="1"/>
  <c r="Q447" i="9"/>
  <c r="R447" i="9" s="1"/>
  <c r="Q448" i="9"/>
  <c r="R448" i="9" s="1"/>
  <c r="Q449" i="9"/>
  <c r="R449" i="9" s="1"/>
  <c r="Q450" i="9"/>
  <c r="R450" i="9" s="1"/>
  <c r="Q451" i="9"/>
  <c r="R451" i="9" s="1"/>
  <c r="Q452" i="9"/>
  <c r="R452" i="9" s="1"/>
  <c r="Q453" i="9"/>
  <c r="R453" i="9" s="1"/>
  <c r="P445" i="9"/>
  <c r="F122" i="6" s="1"/>
  <c r="O453" i="9"/>
  <c r="M453" i="9"/>
  <c r="K453" i="9"/>
  <c r="O452" i="9"/>
  <c r="M452" i="9"/>
  <c r="K452" i="9"/>
  <c r="O451" i="9"/>
  <c r="M451" i="9"/>
  <c r="K451" i="9"/>
  <c r="O450" i="9"/>
  <c r="M450" i="9"/>
  <c r="K450" i="9"/>
  <c r="O449" i="9"/>
  <c r="M449" i="9"/>
  <c r="K449" i="9"/>
  <c r="O448" i="9"/>
  <c r="M448" i="9"/>
  <c r="K448" i="9"/>
  <c r="O447" i="9"/>
  <c r="M447" i="9"/>
  <c r="K447" i="9"/>
  <c r="O446" i="9"/>
  <c r="M446" i="9"/>
  <c r="K446" i="9"/>
  <c r="AO120" i="6"/>
  <c r="G78" i="7" s="1"/>
  <c r="Q437" i="9"/>
  <c r="R437" i="9" s="1"/>
  <c r="Q438" i="9"/>
  <c r="R438" i="9" s="1"/>
  <c r="Q439" i="9"/>
  <c r="Q440" i="9"/>
  <c r="R440" i="9" s="1"/>
  <c r="Q441" i="9"/>
  <c r="R441" i="9" s="1"/>
  <c r="Q442" i="9"/>
  <c r="R442" i="9" s="1"/>
  <c r="Q443" i="9"/>
  <c r="R443" i="9" s="1"/>
  <c r="Q444" i="9"/>
  <c r="R444" i="9" s="1"/>
  <c r="P436" i="9"/>
  <c r="F120" i="6" s="1"/>
  <c r="O444" i="9"/>
  <c r="M444" i="9"/>
  <c r="K444" i="9"/>
  <c r="O443" i="9"/>
  <c r="M443" i="9"/>
  <c r="K443" i="9"/>
  <c r="O442" i="9"/>
  <c r="M442" i="9"/>
  <c r="K442" i="9"/>
  <c r="O441" i="9"/>
  <c r="M441" i="9"/>
  <c r="K441" i="9"/>
  <c r="O440" i="9"/>
  <c r="M440" i="9"/>
  <c r="K440" i="9"/>
  <c r="O439" i="9"/>
  <c r="M439" i="9"/>
  <c r="K439" i="9"/>
  <c r="O438" i="9"/>
  <c r="M438" i="9"/>
  <c r="K438" i="9"/>
  <c r="O437" i="9"/>
  <c r="M437" i="9"/>
  <c r="K437" i="9"/>
  <c r="AO118" i="6"/>
  <c r="G77" i="7" s="1"/>
  <c r="Q427" i="9"/>
  <c r="R427" i="9" s="1"/>
  <c r="Q428" i="9"/>
  <c r="R428" i="9" s="1"/>
  <c r="Q429" i="9"/>
  <c r="R429" i="9" s="1"/>
  <c r="Q430" i="9"/>
  <c r="R430" i="9" s="1"/>
  <c r="Q431" i="9"/>
  <c r="R431" i="9" s="1"/>
  <c r="Q432" i="9"/>
  <c r="R432" i="9" s="1"/>
  <c r="Q433" i="9"/>
  <c r="R433" i="9" s="1"/>
  <c r="Q434" i="9"/>
  <c r="R434" i="9" s="1"/>
  <c r="Q435" i="9"/>
  <c r="R435" i="9" s="1"/>
  <c r="P426" i="9"/>
  <c r="F118" i="6" s="1"/>
  <c r="O435" i="9"/>
  <c r="M435" i="9"/>
  <c r="K435" i="9"/>
  <c r="O434" i="9"/>
  <c r="M434" i="9"/>
  <c r="K434" i="9"/>
  <c r="O433" i="9"/>
  <c r="M433" i="9"/>
  <c r="K433" i="9"/>
  <c r="O432" i="9"/>
  <c r="M432" i="9"/>
  <c r="K432" i="9"/>
  <c r="O431" i="9"/>
  <c r="M431" i="9"/>
  <c r="K431" i="9"/>
  <c r="O430" i="9"/>
  <c r="M430" i="9"/>
  <c r="K430" i="9"/>
  <c r="O429" i="9"/>
  <c r="M429" i="9"/>
  <c r="K429" i="9"/>
  <c r="O428" i="9"/>
  <c r="M428" i="9"/>
  <c r="K428" i="9"/>
  <c r="O427" i="9"/>
  <c r="M427" i="9"/>
  <c r="K427" i="9"/>
  <c r="AO116" i="6"/>
  <c r="G76" i="7" s="1"/>
  <c r="Q417" i="9"/>
  <c r="R417" i="9" s="1"/>
  <c r="Q418" i="9"/>
  <c r="R418" i="9" s="1"/>
  <c r="Q419" i="9"/>
  <c r="Q420" i="9"/>
  <c r="R420" i="9" s="1"/>
  <c r="Q421" i="9"/>
  <c r="R421" i="9" s="1"/>
  <c r="Q422" i="9"/>
  <c r="R422" i="9" s="1"/>
  <c r="Q423" i="9"/>
  <c r="R423" i="9" s="1"/>
  <c r="Q424" i="9"/>
  <c r="R424" i="9" s="1"/>
  <c r="Q425" i="9"/>
  <c r="R425" i="9" s="1"/>
  <c r="P416" i="9"/>
  <c r="F116" i="6" s="1"/>
  <c r="O425" i="9"/>
  <c r="M425" i="9"/>
  <c r="K425" i="9"/>
  <c r="O424" i="9"/>
  <c r="M424" i="9"/>
  <c r="K424" i="9"/>
  <c r="O423" i="9"/>
  <c r="M423" i="9"/>
  <c r="K423" i="9"/>
  <c r="O422" i="9"/>
  <c r="M422" i="9"/>
  <c r="K422" i="9"/>
  <c r="O421" i="9"/>
  <c r="M421" i="9"/>
  <c r="K421" i="9"/>
  <c r="O420" i="9"/>
  <c r="M420" i="9"/>
  <c r="K420" i="9"/>
  <c r="O419" i="9"/>
  <c r="M419" i="9"/>
  <c r="K419" i="9"/>
  <c r="O418" i="9"/>
  <c r="M418" i="9"/>
  <c r="K418" i="9"/>
  <c r="O417" i="9"/>
  <c r="M417" i="9"/>
  <c r="K417" i="9"/>
  <c r="AO114" i="6"/>
  <c r="G75" i="7" s="1"/>
  <c r="Q409" i="9"/>
  <c r="R409" i="9" s="1"/>
  <c r="Q410" i="9"/>
  <c r="R410" i="9" s="1"/>
  <c r="Q411" i="9"/>
  <c r="R411" i="9" s="1"/>
  <c r="Q412" i="9"/>
  <c r="R412" i="9" s="1"/>
  <c r="Q413" i="9"/>
  <c r="R413" i="9" s="1"/>
  <c r="Q414" i="9"/>
  <c r="R414" i="9" s="1"/>
  <c r="Q415" i="9"/>
  <c r="R415" i="9" s="1"/>
  <c r="P408" i="9"/>
  <c r="F114" i="6" s="1"/>
  <c r="O415" i="9"/>
  <c r="M415" i="9"/>
  <c r="K415" i="9"/>
  <c r="O414" i="9"/>
  <c r="M414" i="9"/>
  <c r="K414" i="9"/>
  <c r="O413" i="9"/>
  <c r="M413" i="9"/>
  <c r="K413" i="9"/>
  <c r="O412" i="9"/>
  <c r="M412" i="9"/>
  <c r="K412" i="9"/>
  <c r="O411" i="9"/>
  <c r="M411" i="9"/>
  <c r="K411" i="9"/>
  <c r="O410" i="9"/>
  <c r="M410" i="9"/>
  <c r="K410" i="9"/>
  <c r="O409" i="9"/>
  <c r="M409" i="9"/>
  <c r="K409" i="9"/>
  <c r="Q402" i="9"/>
  <c r="R402" i="9" s="1"/>
  <c r="Q403" i="9"/>
  <c r="R403" i="9" s="1"/>
  <c r="Q404" i="9"/>
  <c r="R404" i="9" s="1"/>
  <c r="Q405" i="9"/>
  <c r="R405" i="9" s="1"/>
  <c r="Q406" i="9"/>
  <c r="R406" i="9" s="1"/>
  <c r="Q407" i="9"/>
  <c r="R407" i="9" s="1"/>
  <c r="AO112" i="6"/>
  <c r="G74" i="7" s="1"/>
  <c r="J74" i="7" s="1"/>
  <c r="P401" i="9"/>
  <c r="F112" i="6" s="1"/>
  <c r="O407" i="9"/>
  <c r="M407" i="9"/>
  <c r="K407" i="9"/>
  <c r="O406" i="9"/>
  <c r="M406" i="9"/>
  <c r="K406" i="9"/>
  <c r="O405" i="9"/>
  <c r="M405" i="9"/>
  <c r="K405" i="9"/>
  <c r="O404" i="9"/>
  <c r="M404" i="9"/>
  <c r="K404" i="9"/>
  <c r="O403" i="9"/>
  <c r="M403" i="9"/>
  <c r="K403" i="9"/>
  <c r="O402" i="9"/>
  <c r="M402" i="9"/>
  <c r="K402" i="9"/>
  <c r="AO110" i="6"/>
  <c r="G73" i="7" s="1"/>
  <c r="P399" i="9"/>
  <c r="F110" i="6" s="1"/>
  <c r="K400" i="9"/>
  <c r="J399" i="9" s="1"/>
  <c r="Q392" i="9"/>
  <c r="R392" i="9" s="1"/>
  <c r="Q393" i="9"/>
  <c r="R393" i="9" s="1"/>
  <c r="Q394" i="9"/>
  <c r="R394" i="9" s="1"/>
  <c r="Q395" i="9"/>
  <c r="R395" i="9" s="1"/>
  <c r="Q396" i="9"/>
  <c r="R396" i="9" s="1"/>
  <c r="Q397" i="9"/>
  <c r="R397" i="9" s="1"/>
  <c r="Q398" i="9"/>
  <c r="R398" i="9" s="1"/>
  <c r="AO108" i="6"/>
  <c r="G72" i="7" s="1"/>
  <c r="J72" i="7" s="1"/>
  <c r="P390" i="9"/>
  <c r="F108" i="6" s="1"/>
  <c r="O398" i="9"/>
  <c r="M398" i="9"/>
  <c r="K398" i="9"/>
  <c r="O397" i="9"/>
  <c r="M397" i="9"/>
  <c r="K397" i="9"/>
  <c r="O396" i="9"/>
  <c r="M396" i="9"/>
  <c r="K396" i="9"/>
  <c r="O395" i="9"/>
  <c r="M395" i="9"/>
  <c r="K395" i="9"/>
  <c r="O394" i="9"/>
  <c r="M394" i="9"/>
  <c r="K394" i="9"/>
  <c r="O393" i="9"/>
  <c r="M393" i="9"/>
  <c r="K393" i="9"/>
  <c r="O392" i="9"/>
  <c r="M392" i="9"/>
  <c r="K392" i="9"/>
  <c r="K391" i="9"/>
  <c r="Q382" i="9"/>
  <c r="R382" i="9" s="1"/>
  <c r="Q383" i="9"/>
  <c r="R383" i="9" s="1"/>
  <c r="Q384" i="9"/>
  <c r="R384" i="9" s="1"/>
  <c r="Q385" i="9"/>
  <c r="R385" i="9" s="1"/>
  <c r="Q386" i="9"/>
  <c r="Q387" i="9"/>
  <c r="R387" i="9" s="1"/>
  <c r="Q388" i="9"/>
  <c r="R388" i="9" s="1"/>
  <c r="Q389" i="9"/>
  <c r="R389" i="9" s="1"/>
  <c r="AO106" i="6"/>
  <c r="G71" i="7" s="1"/>
  <c r="J71" i="7" s="1"/>
  <c r="P381" i="9"/>
  <c r="F106" i="6" s="1"/>
  <c r="O389" i="9"/>
  <c r="M389" i="9"/>
  <c r="K389" i="9"/>
  <c r="O388" i="9"/>
  <c r="M388" i="9"/>
  <c r="K388" i="9"/>
  <c r="O387" i="9"/>
  <c r="M387" i="9"/>
  <c r="K387" i="9"/>
  <c r="O386" i="9"/>
  <c r="M386" i="9"/>
  <c r="K386" i="9"/>
  <c r="O385" i="9"/>
  <c r="M385" i="9"/>
  <c r="K385" i="9"/>
  <c r="O384" i="9"/>
  <c r="M384" i="9"/>
  <c r="K384" i="9"/>
  <c r="O383" i="9"/>
  <c r="M383" i="9"/>
  <c r="K383" i="9"/>
  <c r="O382" i="9"/>
  <c r="M382" i="9"/>
  <c r="K382" i="9"/>
  <c r="AO104" i="6"/>
  <c r="G70" i="7" s="1"/>
  <c r="J70" i="7" s="1"/>
  <c r="Q376" i="9"/>
  <c r="Q377" i="9"/>
  <c r="R377" i="9" s="1"/>
  <c r="Q378" i="9"/>
  <c r="R378" i="9" s="1"/>
  <c r="Q379" i="9"/>
  <c r="R379" i="9" s="1"/>
  <c r="Q380" i="9"/>
  <c r="R380" i="9" s="1"/>
  <c r="P375" i="9"/>
  <c r="F104" i="6" s="1"/>
  <c r="O380" i="9"/>
  <c r="M380" i="9"/>
  <c r="K380" i="9"/>
  <c r="O379" i="9"/>
  <c r="M379" i="9"/>
  <c r="K379" i="9"/>
  <c r="O378" i="9"/>
  <c r="M378" i="9"/>
  <c r="K378" i="9"/>
  <c r="O377" i="9"/>
  <c r="M377" i="9"/>
  <c r="K377" i="9"/>
  <c r="O376" i="9"/>
  <c r="M376" i="9"/>
  <c r="K376" i="9"/>
  <c r="Q368" i="9"/>
  <c r="R368" i="9" s="1"/>
  <c r="Q369" i="9"/>
  <c r="Q370" i="9"/>
  <c r="R370" i="9" s="1"/>
  <c r="Q371" i="9"/>
  <c r="R371" i="9" s="1"/>
  <c r="Q372" i="9"/>
  <c r="R372" i="9" s="1"/>
  <c r="Q373" i="9"/>
  <c r="R373" i="9" s="1"/>
  <c r="Q374" i="9"/>
  <c r="R374" i="9" s="1"/>
  <c r="AO102" i="6"/>
  <c r="G69" i="7" s="1"/>
  <c r="P367" i="9"/>
  <c r="F102" i="6" s="1"/>
  <c r="O374" i="9"/>
  <c r="M374" i="9"/>
  <c r="K374" i="9"/>
  <c r="O373" i="9"/>
  <c r="M373" i="9"/>
  <c r="K373" i="9"/>
  <c r="O372" i="9"/>
  <c r="M372" i="9"/>
  <c r="K372" i="9"/>
  <c r="O371" i="9"/>
  <c r="M371" i="9"/>
  <c r="K371" i="9"/>
  <c r="O370" i="9"/>
  <c r="M370" i="9"/>
  <c r="K370" i="9"/>
  <c r="O369" i="9"/>
  <c r="M369" i="9"/>
  <c r="K369" i="9"/>
  <c r="O368" i="9"/>
  <c r="M368" i="9"/>
  <c r="K368" i="9"/>
  <c r="Q354" i="9"/>
  <c r="R354" i="9" s="1"/>
  <c r="Q355" i="9"/>
  <c r="R355" i="9" s="1"/>
  <c r="Q356" i="9"/>
  <c r="R356" i="9" s="1"/>
  <c r="Q357" i="9"/>
  <c r="R357" i="9" s="1"/>
  <c r="Q358" i="9"/>
  <c r="Q359" i="9"/>
  <c r="R359" i="9" s="1"/>
  <c r="Q360" i="9"/>
  <c r="R360" i="9" s="1"/>
  <c r="Q361" i="9"/>
  <c r="R361" i="9" s="1"/>
  <c r="Q362" i="9"/>
  <c r="R362" i="9" s="1"/>
  <c r="Q363" i="9"/>
  <c r="R363" i="9" s="1"/>
  <c r="Q364" i="9"/>
  <c r="R364" i="9" s="1"/>
  <c r="Q365" i="9"/>
  <c r="R365" i="9" s="1"/>
  <c r="Q366" i="9"/>
  <c r="R366" i="9" s="1"/>
  <c r="AO100" i="6"/>
  <c r="G68" i="7" s="1"/>
  <c r="P353" i="9"/>
  <c r="F100" i="6" s="1"/>
  <c r="O366" i="9"/>
  <c r="M366" i="9"/>
  <c r="K366" i="9"/>
  <c r="O365" i="9"/>
  <c r="M365" i="9"/>
  <c r="K365" i="9"/>
  <c r="O364" i="9"/>
  <c r="M364" i="9"/>
  <c r="K364" i="9"/>
  <c r="O363" i="9"/>
  <c r="M363" i="9"/>
  <c r="K363" i="9"/>
  <c r="O362" i="9"/>
  <c r="M362" i="9"/>
  <c r="K362" i="9"/>
  <c r="O361" i="9"/>
  <c r="M361" i="9"/>
  <c r="K361" i="9"/>
  <c r="O360" i="9"/>
  <c r="M360" i="9"/>
  <c r="K360" i="9"/>
  <c r="O359" i="9"/>
  <c r="M359" i="9"/>
  <c r="K359" i="9"/>
  <c r="O358" i="9"/>
  <c r="M358" i="9"/>
  <c r="K358" i="9"/>
  <c r="O357" i="9"/>
  <c r="M357" i="9"/>
  <c r="K357" i="9"/>
  <c r="O356" i="9"/>
  <c r="M356" i="9"/>
  <c r="K356" i="9"/>
  <c r="O355" i="9"/>
  <c r="M355" i="9"/>
  <c r="K355" i="9"/>
  <c r="O354" i="9"/>
  <c r="M354" i="9"/>
  <c r="K354" i="9"/>
  <c r="Q340" i="9"/>
  <c r="R340" i="9" s="1"/>
  <c r="Q341" i="9"/>
  <c r="R341" i="9" s="1"/>
  <c r="Q342" i="9"/>
  <c r="Q343" i="9"/>
  <c r="R343" i="9" s="1"/>
  <c r="Q344" i="9"/>
  <c r="R344" i="9" s="1"/>
  <c r="Q345" i="9"/>
  <c r="R345" i="9" s="1"/>
  <c r="Q346" i="9"/>
  <c r="R346" i="9" s="1"/>
  <c r="Q347" i="9"/>
  <c r="R347" i="9" s="1"/>
  <c r="Q348" i="9"/>
  <c r="R348" i="9" s="1"/>
  <c r="Q349" i="9"/>
  <c r="R349" i="9" s="1"/>
  <c r="Q350" i="9"/>
  <c r="R350" i="9" s="1"/>
  <c r="Q351" i="9"/>
  <c r="R351" i="9" s="1"/>
  <c r="Q352" i="9"/>
  <c r="R352" i="9" s="1"/>
  <c r="AO98" i="6"/>
  <c r="G67" i="7" s="1"/>
  <c r="P339" i="9"/>
  <c r="F98" i="6" s="1"/>
  <c r="O352" i="9"/>
  <c r="M352" i="9"/>
  <c r="K352" i="9"/>
  <c r="O351" i="9"/>
  <c r="M351" i="9"/>
  <c r="K351" i="9"/>
  <c r="O350" i="9"/>
  <c r="M350" i="9"/>
  <c r="K350" i="9"/>
  <c r="O349" i="9"/>
  <c r="M349" i="9"/>
  <c r="K349" i="9"/>
  <c r="O348" i="9"/>
  <c r="M348" i="9"/>
  <c r="K348" i="9"/>
  <c r="O347" i="9"/>
  <c r="M347" i="9"/>
  <c r="K347" i="9"/>
  <c r="O346" i="9"/>
  <c r="M346" i="9"/>
  <c r="K346" i="9"/>
  <c r="O345" i="9"/>
  <c r="M345" i="9"/>
  <c r="K345" i="9"/>
  <c r="O344" i="9"/>
  <c r="M344" i="9"/>
  <c r="K344" i="9"/>
  <c r="O343" i="9"/>
  <c r="M343" i="9"/>
  <c r="K343" i="9"/>
  <c r="O342" i="9"/>
  <c r="M342" i="9"/>
  <c r="K342" i="9"/>
  <c r="O341" i="9"/>
  <c r="M341" i="9"/>
  <c r="K341" i="9"/>
  <c r="O340" i="9"/>
  <c r="M340" i="9"/>
  <c r="K340" i="9"/>
  <c r="AO96" i="6"/>
  <c r="G66" i="7" s="1"/>
  <c r="J66" i="7" s="1"/>
  <c r="Q338" i="9"/>
  <c r="P337" i="9"/>
  <c r="F96" i="6" s="1"/>
  <c r="O338" i="9"/>
  <c r="N337" i="9" s="1"/>
  <c r="M338" i="9"/>
  <c r="L337" i="9" s="1"/>
  <c r="K338" i="9"/>
  <c r="J337" i="9" s="1"/>
  <c r="Q334" i="9"/>
  <c r="R334" i="9" s="1"/>
  <c r="Q335" i="9"/>
  <c r="R335" i="9" s="1"/>
  <c r="Q336" i="9"/>
  <c r="R336" i="9" s="1"/>
  <c r="AO94" i="6"/>
  <c r="G65" i="7" s="1"/>
  <c r="P333" i="9"/>
  <c r="F94" i="6" s="1"/>
  <c r="O336" i="9"/>
  <c r="M336" i="9"/>
  <c r="K336" i="9"/>
  <c r="O335" i="9"/>
  <c r="M335" i="9"/>
  <c r="K335" i="9"/>
  <c r="O334" i="9"/>
  <c r="M334" i="9"/>
  <c r="K334" i="9"/>
  <c r="Q320" i="9"/>
  <c r="R320" i="9" s="1"/>
  <c r="Q321" i="9"/>
  <c r="R321" i="9" s="1"/>
  <c r="Q322" i="9"/>
  <c r="R322" i="9" s="1"/>
  <c r="Q323" i="9"/>
  <c r="Q324" i="9"/>
  <c r="R324" i="9" s="1"/>
  <c r="Q325" i="9"/>
  <c r="R325" i="9" s="1"/>
  <c r="Q326" i="9"/>
  <c r="R326" i="9" s="1"/>
  <c r="Q327" i="9"/>
  <c r="R327" i="9" s="1"/>
  <c r="Q328" i="9"/>
  <c r="R328" i="9" s="1"/>
  <c r="Q329" i="9"/>
  <c r="R329" i="9" s="1"/>
  <c r="Q330" i="9"/>
  <c r="R330" i="9" s="1"/>
  <c r="Q331" i="9"/>
  <c r="R331" i="9" s="1"/>
  <c r="Q332" i="9"/>
  <c r="R332" i="9" s="1"/>
  <c r="G64" i="7"/>
  <c r="P319" i="9"/>
  <c r="F92" i="6" s="1"/>
  <c r="O332" i="9"/>
  <c r="M332" i="9"/>
  <c r="K332" i="9"/>
  <c r="O331" i="9"/>
  <c r="M331" i="9"/>
  <c r="K331" i="9"/>
  <c r="O330" i="9"/>
  <c r="M330" i="9"/>
  <c r="K330" i="9"/>
  <c r="O329" i="9"/>
  <c r="M329" i="9"/>
  <c r="K329" i="9"/>
  <c r="O328" i="9"/>
  <c r="M328" i="9"/>
  <c r="K328" i="9"/>
  <c r="O327" i="9"/>
  <c r="M327" i="9"/>
  <c r="K327" i="9"/>
  <c r="O326" i="9"/>
  <c r="M326" i="9"/>
  <c r="K326" i="9"/>
  <c r="O325" i="9"/>
  <c r="M325" i="9"/>
  <c r="K325" i="9"/>
  <c r="O324" i="9"/>
  <c r="M324" i="9"/>
  <c r="K324" i="9"/>
  <c r="O323" i="9"/>
  <c r="M323" i="9"/>
  <c r="K323" i="9"/>
  <c r="O322" i="9"/>
  <c r="M322" i="9"/>
  <c r="K322" i="9"/>
  <c r="O321" i="9"/>
  <c r="M321" i="9"/>
  <c r="K321" i="9"/>
  <c r="O320" i="9"/>
  <c r="M320" i="9"/>
  <c r="K320" i="9"/>
  <c r="Q306" i="9"/>
  <c r="Q307" i="9"/>
  <c r="R307" i="9" s="1"/>
  <c r="Q308" i="9"/>
  <c r="R308" i="9" s="1"/>
  <c r="Q309" i="9"/>
  <c r="R309" i="9" s="1"/>
  <c r="Q310" i="9"/>
  <c r="R310" i="9" s="1"/>
  <c r="Q311" i="9"/>
  <c r="R311" i="9" s="1"/>
  <c r="Q312" i="9"/>
  <c r="R312" i="9" s="1"/>
  <c r="Q313" i="9"/>
  <c r="R313" i="9" s="1"/>
  <c r="Q314" i="9"/>
  <c r="R314" i="9" s="1"/>
  <c r="Q315" i="9"/>
  <c r="R315" i="9" s="1"/>
  <c r="Q316" i="9"/>
  <c r="R316" i="9" s="1"/>
  <c r="Q317" i="9"/>
  <c r="R317" i="9" s="1"/>
  <c r="Q318" i="9"/>
  <c r="R318" i="9" s="1"/>
  <c r="G63" i="7"/>
  <c r="P305" i="9"/>
  <c r="F90" i="6" s="1"/>
  <c r="O318" i="9"/>
  <c r="M318" i="9"/>
  <c r="K318" i="9"/>
  <c r="O317" i="9"/>
  <c r="M317" i="9"/>
  <c r="K317" i="9"/>
  <c r="O316" i="9"/>
  <c r="M316" i="9"/>
  <c r="K316" i="9"/>
  <c r="O315" i="9"/>
  <c r="M315" i="9"/>
  <c r="K315" i="9"/>
  <c r="O314" i="9"/>
  <c r="M314" i="9"/>
  <c r="K314" i="9"/>
  <c r="O313" i="9"/>
  <c r="M313" i="9"/>
  <c r="K313" i="9"/>
  <c r="O312" i="9"/>
  <c r="M312" i="9"/>
  <c r="K312" i="9"/>
  <c r="O311" i="9"/>
  <c r="M311" i="9"/>
  <c r="K311" i="9"/>
  <c r="O310" i="9"/>
  <c r="M310" i="9"/>
  <c r="K310" i="9"/>
  <c r="O309" i="9"/>
  <c r="M309" i="9"/>
  <c r="K309" i="9"/>
  <c r="O308" i="9"/>
  <c r="M308" i="9"/>
  <c r="K308" i="9"/>
  <c r="O307" i="9"/>
  <c r="M307" i="9"/>
  <c r="K307" i="9"/>
  <c r="O306" i="9"/>
  <c r="M306" i="9"/>
  <c r="K306" i="9"/>
  <c r="G62" i="7"/>
  <c r="Q292" i="9"/>
  <c r="R292" i="9" s="1"/>
  <c r="Q293" i="9"/>
  <c r="R293" i="9" s="1"/>
  <c r="Q294" i="9"/>
  <c r="R294" i="9" s="1"/>
  <c r="Q295" i="9"/>
  <c r="R295" i="9" s="1"/>
  <c r="Q296" i="9"/>
  <c r="R296" i="9" s="1"/>
  <c r="Q297" i="9"/>
  <c r="R297" i="9" s="1"/>
  <c r="Q298" i="9"/>
  <c r="R298" i="9" s="1"/>
  <c r="Q299" i="9"/>
  <c r="R299" i="9" s="1"/>
  <c r="Q300" i="9"/>
  <c r="R300" i="9" s="1"/>
  <c r="Q301" i="9"/>
  <c r="R301" i="9" s="1"/>
  <c r="Q302" i="9"/>
  <c r="R302" i="9" s="1"/>
  <c r="Q303" i="9"/>
  <c r="R303" i="9" s="1"/>
  <c r="Q304" i="9"/>
  <c r="R304" i="9" s="1"/>
  <c r="P291" i="9"/>
  <c r="F88" i="6" s="1"/>
  <c r="O304" i="9"/>
  <c r="M304" i="9"/>
  <c r="K304" i="9"/>
  <c r="O303" i="9"/>
  <c r="M303" i="9"/>
  <c r="K303" i="9"/>
  <c r="O302" i="9"/>
  <c r="M302" i="9"/>
  <c r="K302" i="9"/>
  <c r="O301" i="9"/>
  <c r="M301" i="9"/>
  <c r="K301" i="9"/>
  <c r="O300" i="9"/>
  <c r="M300" i="9"/>
  <c r="K300" i="9"/>
  <c r="O299" i="9"/>
  <c r="M299" i="9"/>
  <c r="K299" i="9"/>
  <c r="O298" i="9"/>
  <c r="M298" i="9"/>
  <c r="K298" i="9"/>
  <c r="O297" i="9"/>
  <c r="M297" i="9"/>
  <c r="K297" i="9"/>
  <c r="O296" i="9"/>
  <c r="M296" i="9"/>
  <c r="K296" i="9"/>
  <c r="O295" i="9"/>
  <c r="M295" i="9"/>
  <c r="K295" i="9"/>
  <c r="O294" i="9"/>
  <c r="M294" i="9"/>
  <c r="K294" i="9"/>
  <c r="O293" i="9"/>
  <c r="M293" i="9"/>
  <c r="K293" i="9"/>
  <c r="O292" i="9"/>
  <c r="M292" i="9"/>
  <c r="K292" i="9"/>
  <c r="Q281" i="9"/>
  <c r="Q282" i="9"/>
  <c r="R282" i="9" s="1"/>
  <c r="Q283" i="9"/>
  <c r="R283" i="9" s="1"/>
  <c r="Q284" i="9"/>
  <c r="R284" i="9" s="1"/>
  <c r="Q285" i="9"/>
  <c r="R285" i="9" s="1"/>
  <c r="Q286" i="9"/>
  <c r="R286" i="9" s="1"/>
  <c r="Q287" i="9"/>
  <c r="R287" i="9" s="1"/>
  <c r="Q288" i="9"/>
  <c r="R288" i="9" s="1"/>
  <c r="Q289" i="9"/>
  <c r="R289" i="9" s="1"/>
  <c r="Q290" i="9"/>
  <c r="R290" i="9" s="1"/>
  <c r="AO86" i="6"/>
  <c r="G61" i="7" s="1"/>
  <c r="P280" i="9"/>
  <c r="F86" i="6" s="1"/>
  <c r="O290" i="9"/>
  <c r="M290" i="9"/>
  <c r="K290" i="9"/>
  <c r="O289" i="9"/>
  <c r="M289" i="9"/>
  <c r="K289" i="9"/>
  <c r="O288" i="9"/>
  <c r="M288" i="9"/>
  <c r="K288" i="9"/>
  <c r="O287" i="9"/>
  <c r="M287" i="9"/>
  <c r="K287" i="9"/>
  <c r="O286" i="9"/>
  <c r="M286" i="9"/>
  <c r="K286" i="9"/>
  <c r="O285" i="9"/>
  <c r="M285" i="9"/>
  <c r="K285" i="9"/>
  <c r="O284" i="9"/>
  <c r="M284" i="9"/>
  <c r="K284" i="9"/>
  <c r="O283" i="9"/>
  <c r="M283" i="9"/>
  <c r="K283" i="9"/>
  <c r="O282" i="9"/>
  <c r="M282" i="9"/>
  <c r="K282" i="9"/>
  <c r="O281" i="9"/>
  <c r="M281" i="9"/>
  <c r="K281" i="9"/>
  <c r="Q270" i="9"/>
  <c r="R270" i="9" s="1"/>
  <c r="Q271" i="9"/>
  <c r="R271" i="9" s="1"/>
  <c r="Q272" i="9"/>
  <c r="R272" i="9" s="1"/>
  <c r="Q273" i="9"/>
  <c r="R273" i="9" s="1"/>
  <c r="Q274" i="9"/>
  <c r="R274" i="9" s="1"/>
  <c r="Q275" i="9"/>
  <c r="R275" i="9" s="1"/>
  <c r="Q276" i="9"/>
  <c r="R276" i="9" s="1"/>
  <c r="Q277" i="9"/>
  <c r="R277" i="9" s="1"/>
  <c r="Q278" i="9"/>
  <c r="R278" i="9" s="1"/>
  <c r="Q279" i="9"/>
  <c r="R279" i="9" s="1"/>
  <c r="AO84" i="6"/>
  <c r="G60" i="7" s="1"/>
  <c r="P269" i="9"/>
  <c r="F84" i="6" s="1"/>
  <c r="O279" i="9"/>
  <c r="M279" i="9"/>
  <c r="K279" i="9"/>
  <c r="O278" i="9"/>
  <c r="M278" i="9"/>
  <c r="K278" i="9"/>
  <c r="O277" i="9"/>
  <c r="M277" i="9"/>
  <c r="K277" i="9"/>
  <c r="O276" i="9"/>
  <c r="M276" i="9"/>
  <c r="K276" i="9"/>
  <c r="O275" i="9"/>
  <c r="M275" i="9"/>
  <c r="K275" i="9"/>
  <c r="O274" i="9"/>
  <c r="M274" i="9"/>
  <c r="K274" i="9"/>
  <c r="O273" i="9"/>
  <c r="M273" i="9"/>
  <c r="K273" i="9"/>
  <c r="O272" i="9"/>
  <c r="M272" i="9"/>
  <c r="K272" i="9"/>
  <c r="O271" i="9"/>
  <c r="M271" i="9"/>
  <c r="K271" i="9"/>
  <c r="O270" i="9"/>
  <c r="M270" i="9"/>
  <c r="K270" i="9"/>
  <c r="Q264" i="9"/>
  <c r="R264" i="9" s="1"/>
  <c r="Q265" i="9"/>
  <c r="R265" i="9" s="1"/>
  <c r="Q266" i="9"/>
  <c r="R266" i="9" s="1"/>
  <c r="Q267" i="9"/>
  <c r="R267" i="9" s="1"/>
  <c r="Q268" i="9"/>
  <c r="R268" i="9" s="1"/>
  <c r="AO82" i="6"/>
  <c r="G59" i="7" s="1"/>
  <c r="J59" i="7" s="1"/>
  <c r="P263" i="9"/>
  <c r="F82" i="6" s="1"/>
  <c r="O268" i="9"/>
  <c r="M268" i="9"/>
  <c r="K268" i="9"/>
  <c r="O267" i="9"/>
  <c r="M267" i="9"/>
  <c r="K267" i="9"/>
  <c r="O266" i="9"/>
  <c r="M266" i="9"/>
  <c r="K266" i="9"/>
  <c r="O265" i="9"/>
  <c r="M265" i="9"/>
  <c r="K265" i="9"/>
  <c r="O264" i="9"/>
  <c r="M264" i="9"/>
  <c r="K264" i="9"/>
  <c r="Q246" i="9"/>
  <c r="R246" i="9" s="1"/>
  <c r="Q247" i="9"/>
  <c r="R247" i="9" s="1"/>
  <c r="Q248" i="9"/>
  <c r="R248" i="9" s="1"/>
  <c r="Q249" i="9"/>
  <c r="R249" i="9" s="1"/>
  <c r="Q250" i="9"/>
  <c r="R250" i="9" s="1"/>
  <c r="Q251" i="9"/>
  <c r="R251" i="9" s="1"/>
  <c r="Q252" i="9"/>
  <c r="R252" i="9" s="1"/>
  <c r="Q253" i="9"/>
  <c r="R253" i="9" s="1"/>
  <c r="Q254" i="9"/>
  <c r="R254" i="9" s="1"/>
  <c r="Q255" i="9"/>
  <c r="R255" i="9" s="1"/>
  <c r="Q256" i="9"/>
  <c r="R256" i="9" s="1"/>
  <c r="Q257" i="9"/>
  <c r="R257" i="9" s="1"/>
  <c r="Q258" i="9"/>
  <c r="R258" i="9" s="1"/>
  <c r="Q259" i="9"/>
  <c r="R259" i="9" s="1"/>
  <c r="Q260" i="9"/>
  <c r="R260" i="9" s="1"/>
  <c r="Q261" i="9"/>
  <c r="R261" i="9" s="1"/>
  <c r="Q262" i="9"/>
  <c r="R262" i="9" s="1"/>
  <c r="AO80" i="6"/>
  <c r="G58" i="7" s="1"/>
  <c r="J58" i="7" s="1"/>
  <c r="P245" i="9"/>
  <c r="F80" i="6" s="1"/>
  <c r="O262" i="9"/>
  <c r="M262" i="9"/>
  <c r="K262" i="9"/>
  <c r="O261" i="9"/>
  <c r="M261" i="9"/>
  <c r="K261" i="9"/>
  <c r="O260" i="9"/>
  <c r="M260" i="9"/>
  <c r="K260" i="9"/>
  <c r="O259" i="9"/>
  <c r="M259" i="9"/>
  <c r="K259" i="9"/>
  <c r="O258" i="9"/>
  <c r="M258" i="9"/>
  <c r="K258" i="9"/>
  <c r="O257" i="9"/>
  <c r="M257" i="9"/>
  <c r="K257" i="9"/>
  <c r="O256" i="9"/>
  <c r="M256" i="9"/>
  <c r="K256" i="9"/>
  <c r="O255" i="9"/>
  <c r="M255" i="9"/>
  <c r="K255" i="9"/>
  <c r="O254" i="9"/>
  <c r="M254" i="9"/>
  <c r="K254" i="9"/>
  <c r="O253" i="9"/>
  <c r="M253" i="9"/>
  <c r="K253" i="9"/>
  <c r="O252" i="9"/>
  <c r="M252" i="9"/>
  <c r="K252" i="9"/>
  <c r="O251" i="9"/>
  <c r="M251" i="9"/>
  <c r="K251" i="9"/>
  <c r="O250" i="9"/>
  <c r="M250" i="9"/>
  <c r="K250" i="9"/>
  <c r="O249" i="9"/>
  <c r="M249" i="9"/>
  <c r="K249" i="9"/>
  <c r="O248" i="9"/>
  <c r="M248" i="9"/>
  <c r="K248" i="9"/>
  <c r="O247" i="9"/>
  <c r="M247" i="9"/>
  <c r="K247" i="9"/>
  <c r="O246" i="9"/>
  <c r="M246" i="9"/>
  <c r="K246" i="9"/>
  <c r="Q235" i="9"/>
  <c r="Q236" i="9"/>
  <c r="R236" i="9" s="1"/>
  <c r="Q237" i="9"/>
  <c r="R237" i="9" s="1"/>
  <c r="Q238" i="9"/>
  <c r="R238" i="9" s="1"/>
  <c r="Q239" i="9"/>
  <c r="R239" i="9" s="1"/>
  <c r="Q240" i="9"/>
  <c r="R240" i="9" s="1"/>
  <c r="Q241" i="9"/>
  <c r="R241" i="9" s="1"/>
  <c r="Q242" i="9"/>
  <c r="R242" i="9" s="1"/>
  <c r="Q243" i="9"/>
  <c r="R243" i="9" s="1"/>
  <c r="Q244" i="9"/>
  <c r="R244" i="9" s="1"/>
  <c r="AO78" i="6"/>
  <c r="G57" i="7" s="1"/>
  <c r="P234" i="9"/>
  <c r="F78" i="6" s="1"/>
  <c r="O244" i="9"/>
  <c r="M244" i="9"/>
  <c r="K244" i="9"/>
  <c r="O243" i="9"/>
  <c r="M243" i="9"/>
  <c r="K243" i="9"/>
  <c r="O242" i="9"/>
  <c r="M242" i="9"/>
  <c r="K242" i="9"/>
  <c r="O241" i="9"/>
  <c r="M241" i="9"/>
  <c r="K241" i="9"/>
  <c r="O240" i="9"/>
  <c r="M240" i="9"/>
  <c r="K240" i="9"/>
  <c r="O239" i="9"/>
  <c r="M239" i="9"/>
  <c r="K239" i="9"/>
  <c r="O238" i="9"/>
  <c r="M238" i="9"/>
  <c r="K238" i="9"/>
  <c r="O237" i="9"/>
  <c r="M237" i="9"/>
  <c r="K237" i="9"/>
  <c r="O236" i="9"/>
  <c r="M236" i="9"/>
  <c r="K236" i="9"/>
  <c r="O235" i="9"/>
  <c r="M235" i="9"/>
  <c r="K235" i="9"/>
  <c r="Q225" i="9"/>
  <c r="R225" i="9" s="1"/>
  <c r="Q226" i="9"/>
  <c r="R226" i="9" s="1"/>
  <c r="Q227" i="9"/>
  <c r="Q228" i="9"/>
  <c r="R228" i="9" s="1"/>
  <c r="Q229" i="9"/>
  <c r="R229" i="9" s="1"/>
  <c r="Q230" i="9"/>
  <c r="R230" i="9" s="1"/>
  <c r="Q231" i="9"/>
  <c r="R231" i="9" s="1"/>
  <c r="Q232" i="9"/>
  <c r="R232" i="9" s="1"/>
  <c r="Q233" i="9"/>
  <c r="R233" i="9" s="1"/>
  <c r="AO76" i="6"/>
  <c r="G56" i="7" s="1"/>
  <c r="P224" i="9"/>
  <c r="F76" i="6" s="1"/>
  <c r="O233" i="9"/>
  <c r="M233" i="9"/>
  <c r="K233" i="9"/>
  <c r="O232" i="9"/>
  <c r="M232" i="9"/>
  <c r="K232" i="9"/>
  <c r="O231" i="9"/>
  <c r="M231" i="9"/>
  <c r="K231" i="9"/>
  <c r="O230" i="9"/>
  <c r="M230" i="9"/>
  <c r="K230" i="9"/>
  <c r="O229" i="9"/>
  <c r="M229" i="9"/>
  <c r="K229" i="9"/>
  <c r="O228" i="9"/>
  <c r="M228" i="9"/>
  <c r="K228" i="9"/>
  <c r="O227" i="9"/>
  <c r="M227" i="9"/>
  <c r="K227" i="9"/>
  <c r="O226" i="9"/>
  <c r="M226" i="9"/>
  <c r="K226" i="9"/>
  <c r="O225" i="9"/>
  <c r="M225" i="9"/>
  <c r="K225" i="9"/>
  <c r="Q215" i="9"/>
  <c r="Q216" i="9"/>
  <c r="R216" i="9" s="1"/>
  <c r="Q217" i="9"/>
  <c r="R217" i="9" s="1"/>
  <c r="Q218" i="9"/>
  <c r="R218" i="9" s="1"/>
  <c r="Q219" i="9"/>
  <c r="R219" i="9" s="1"/>
  <c r="Q220" i="9"/>
  <c r="R220" i="9" s="1"/>
  <c r="Q221" i="9"/>
  <c r="R221" i="9" s="1"/>
  <c r="Q222" i="9"/>
  <c r="R222" i="9" s="1"/>
  <c r="Q223" i="9"/>
  <c r="R223" i="9" s="1"/>
  <c r="AO74" i="6"/>
  <c r="G55" i="7" s="1"/>
  <c r="P214" i="9"/>
  <c r="F74" i="6" s="1"/>
  <c r="O223" i="9"/>
  <c r="M223" i="9"/>
  <c r="K223" i="9"/>
  <c r="O222" i="9"/>
  <c r="M222" i="9"/>
  <c r="K222" i="9"/>
  <c r="O221" i="9"/>
  <c r="M221" i="9"/>
  <c r="K221" i="9"/>
  <c r="O220" i="9"/>
  <c r="M220" i="9"/>
  <c r="K220" i="9"/>
  <c r="O219" i="9"/>
  <c r="M219" i="9"/>
  <c r="K219" i="9"/>
  <c r="O218" i="9"/>
  <c r="M218" i="9"/>
  <c r="K218" i="9"/>
  <c r="O217" i="9"/>
  <c r="M217" i="9"/>
  <c r="K217" i="9"/>
  <c r="O216" i="9"/>
  <c r="M216" i="9"/>
  <c r="K216" i="9"/>
  <c r="O215" i="9"/>
  <c r="M215" i="9"/>
  <c r="K215" i="9"/>
  <c r="AO72" i="6"/>
  <c r="G54" i="7" s="1"/>
  <c r="Q213" i="9"/>
  <c r="R213" i="9" s="1"/>
  <c r="P212" i="9"/>
  <c r="F72" i="6" s="1"/>
  <c r="O213" i="9"/>
  <c r="N212" i="9" s="1"/>
  <c r="M213" i="9"/>
  <c r="L212" i="9" s="1"/>
  <c r="K213" i="9"/>
  <c r="J212" i="9" s="1"/>
  <c r="Q209" i="9"/>
  <c r="R209" i="9" s="1"/>
  <c r="Q210" i="9"/>
  <c r="R210" i="9" s="1"/>
  <c r="Q211" i="9"/>
  <c r="AO70" i="6"/>
  <c r="G53" i="7" s="1"/>
  <c r="J53" i="7" s="1"/>
  <c r="P208" i="9"/>
  <c r="F70" i="6" s="1"/>
  <c r="O211" i="9"/>
  <c r="M211" i="9"/>
  <c r="K211" i="9"/>
  <c r="O210" i="9"/>
  <c r="M210" i="9"/>
  <c r="K210" i="9"/>
  <c r="O209" i="9"/>
  <c r="M209" i="9"/>
  <c r="K209" i="9"/>
  <c r="Q205" i="9"/>
  <c r="R205" i="9" s="1"/>
  <c r="Q206" i="9"/>
  <c r="Q207" i="9"/>
  <c r="R207" i="9" s="1"/>
  <c r="AO68" i="6"/>
  <c r="G52" i="7" s="1"/>
  <c r="P204" i="9"/>
  <c r="F68" i="6" s="1"/>
  <c r="O207" i="9"/>
  <c r="M207" i="9"/>
  <c r="K207" i="9"/>
  <c r="O206" i="9"/>
  <c r="M206" i="9"/>
  <c r="K206" i="9"/>
  <c r="O205" i="9"/>
  <c r="M205" i="9"/>
  <c r="K205" i="9"/>
  <c r="AO66" i="6"/>
  <c r="G51" i="7" s="1"/>
  <c r="J51" i="7" s="1"/>
  <c r="Q200" i="9"/>
  <c r="Q201" i="9"/>
  <c r="R201" i="9" s="1"/>
  <c r="Q202" i="9"/>
  <c r="R202" i="9" s="1"/>
  <c r="Q203" i="9"/>
  <c r="R203" i="9" s="1"/>
  <c r="P199" i="9"/>
  <c r="F66" i="6" s="1"/>
  <c r="O203" i="9"/>
  <c r="M203" i="9"/>
  <c r="K203" i="9"/>
  <c r="O202" i="9"/>
  <c r="M202" i="9"/>
  <c r="K202" i="9"/>
  <c r="O201" i="9"/>
  <c r="M201" i="9"/>
  <c r="K201" i="9"/>
  <c r="O200" i="9"/>
  <c r="M200" i="9"/>
  <c r="K200" i="9"/>
  <c r="AO64" i="6"/>
  <c r="G50" i="7" s="1"/>
  <c r="Q195" i="9"/>
  <c r="Q196" i="9"/>
  <c r="R196" i="9" s="1"/>
  <c r="Q197" i="9"/>
  <c r="R197" i="9" s="1"/>
  <c r="Q198" i="9"/>
  <c r="R198" i="9" s="1"/>
  <c r="P193" i="9"/>
  <c r="F64" i="6" s="1"/>
  <c r="O198" i="9"/>
  <c r="M198" i="9"/>
  <c r="K198" i="9"/>
  <c r="O197" i="9"/>
  <c r="M197" i="9"/>
  <c r="K197" i="9"/>
  <c r="O196" i="9"/>
  <c r="M196" i="9"/>
  <c r="K196" i="9"/>
  <c r="O195" i="9"/>
  <c r="M195" i="9"/>
  <c r="K195" i="9"/>
  <c r="K194" i="9"/>
  <c r="AO62" i="6"/>
  <c r="G49" i="7" s="1"/>
  <c r="Q189" i="9"/>
  <c r="R189" i="9" s="1"/>
  <c r="Q190" i="9"/>
  <c r="R190" i="9" s="1"/>
  <c r="Q191" i="9"/>
  <c r="R191" i="9" s="1"/>
  <c r="Q192" i="9"/>
  <c r="R192" i="9" s="1"/>
  <c r="P187" i="9"/>
  <c r="F62" i="6" s="1"/>
  <c r="O192" i="9"/>
  <c r="M192" i="9"/>
  <c r="K192" i="9"/>
  <c r="O191" i="9"/>
  <c r="M191" i="9"/>
  <c r="K191" i="9"/>
  <c r="O190" i="9"/>
  <c r="M190" i="9"/>
  <c r="K190" i="9"/>
  <c r="O189" i="9"/>
  <c r="M189" i="9"/>
  <c r="K189" i="9"/>
  <c r="K188" i="9"/>
  <c r="Q185" i="9"/>
  <c r="R185" i="9" s="1"/>
  <c r="Q186" i="9"/>
  <c r="R186" i="9" s="1"/>
  <c r="AO60" i="6"/>
  <c r="G48" i="7" s="1"/>
  <c r="J48" i="7" s="1"/>
  <c r="P184" i="9"/>
  <c r="F60" i="6" s="1"/>
  <c r="O186" i="9"/>
  <c r="M186" i="9"/>
  <c r="K186" i="9"/>
  <c r="O185" i="9"/>
  <c r="M185" i="9"/>
  <c r="K185" i="9"/>
  <c r="Q183" i="9"/>
  <c r="R183" i="9" s="1"/>
  <c r="AO58" i="6"/>
  <c r="G47" i="7" s="1"/>
  <c r="P182" i="9"/>
  <c r="F58" i="6" s="1"/>
  <c r="O183" i="9"/>
  <c r="N182" i="9" s="1"/>
  <c r="M183" i="9"/>
  <c r="L182" i="9" s="1"/>
  <c r="K183" i="9"/>
  <c r="J182" i="9" s="1"/>
  <c r="Q178" i="9"/>
  <c r="R178" i="9" s="1"/>
  <c r="Q179" i="9"/>
  <c r="R179" i="9" s="1"/>
  <c r="Q180" i="9"/>
  <c r="R180" i="9" s="1"/>
  <c r="Q181" i="9"/>
  <c r="R181" i="9" s="1"/>
  <c r="AO56" i="6"/>
  <c r="G46" i="7" s="1"/>
  <c r="P177" i="9"/>
  <c r="F56" i="6" s="1"/>
  <c r="O181" i="9"/>
  <c r="M181" i="9"/>
  <c r="K181" i="9"/>
  <c r="O180" i="9"/>
  <c r="M180" i="9"/>
  <c r="K180" i="9"/>
  <c r="O179" i="9"/>
  <c r="M179" i="9"/>
  <c r="K179" i="9"/>
  <c r="O178" i="9"/>
  <c r="M178" i="9"/>
  <c r="K178" i="9"/>
  <c r="AO54" i="6"/>
  <c r="G45" i="7" s="1"/>
  <c r="Q171" i="9"/>
  <c r="R171" i="9" s="1"/>
  <c r="Q172" i="9"/>
  <c r="R172" i="9" s="1"/>
  <c r="Q173" i="9"/>
  <c r="R173" i="9" s="1"/>
  <c r="Q174" i="9"/>
  <c r="R174" i="9" s="1"/>
  <c r="Q175" i="9"/>
  <c r="R175" i="9" s="1"/>
  <c r="Q176" i="9"/>
  <c r="R176" i="9" s="1"/>
  <c r="P170" i="9"/>
  <c r="F54" i="6" s="1"/>
  <c r="O176" i="9"/>
  <c r="M176" i="9"/>
  <c r="K176" i="9"/>
  <c r="O175" i="9"/>
  <c r="M175" i="9"/>
  <c r="K175" i="9"/>
  <c r="O174" i="9"/>
  <c r="M174" i="9"/>
  <c r="K174" i="9"/>
  <c r="O173" i="9"/>
  <c r="M173" i="9"/>
  <c r="K173" i="9"/>
  <c r="O172" i="9"/>
  <c r="M172" i="9"/>
  <c r="K172" i="9"/>
  <c r="O171" i="9"/>
  <c r="M171" i="9"/>
  <c r="K171" i="9"/>
  <c r="AO52" i="6"/>
  <c r="G44" i="7" s="1"/>
  <c r="Q164" i="9"/>
  <c r="Q165" i="9"/>
  <c r="R165" i="9" s="1"/>
  <c r="Q166" i="9"/>
  <c r="R166" i="9" s="1"/>
  <c r="Q167" i="9"/>
  <c r="R167" i="9" s="1"/>
  <c r="Q168" i="9"/>
  <c r="R168" i="9" s="1"/>
  <c r="Q169" i="9"/>
  <c r="R169" i="9" s="1"/>
  <c r="P163" i="9"/>
  <c r="F52" i="6" s="1"/>
  <c r="O169" i="9"/>
  <c r="M169" i="9"/>
  <c r="K169" i="9"/>
  <c r="O168" i="9"/>
  <c r="M168" i="9"/>
  <c r="K168" i="9"/>
  <c r="O167" i="9"/>
  <c r="M167" i="9"/>
  <c r="K167" i="9"/>
  <c r="O166" i="9"/>
  <c r="M166" i="9"/>
  <c r="K166" i="9"/>
  <c r="O165" i="9"/>
  <c r="M165" i="9"/>
  <c r="K165" i="9"/>
  <c r="O164" i="9"/>
  <c r="M164" i="9"/>
  <c r="K164" i="9"/>
  <c r="Q156" i="9"/>
  <c r="R156" i="9" s="1"/>
  <c r="Q157" i="9"/>
  <c r="R157" i="9" s="1"/>
  <c r="Q158" i="9"/>
  <c r="R158" i="9" s="1"/>
  <c r="Q159" i="9"/>
  <c r="R159" i="9" s="1"/>
  <c r="Q160" i="9"/>
  <c r="R160" i="9" s="1"/>
  <c r="Q161" i="9"/>
  <c r="R161" i="9" s="1"/>
  <c r="Q162" i="9"/>
  <c r="R162" i="9" s="1"/>
  <c r="AO50" i="6"/>
  <c r="G43" i="7" s="1"/>
  <c r="P155" i="9"/>
  <c r="F50" i="6" s="1"/>
  <c r="O162" i="9"/>
  <c r="M162" i="9"/>
  <c r="K162" i="9"/>
  <c r="O161" i="9"/>
  <c r="M161" i="9"/>
  <c r="K161" i="9"/>
  <c r="O160" i="9"/>
  <c r="M160" i="9"/>
  <c r="K160" i="9"/>
  <c r="O159" i="9"/>
  <c r="M159" i="9"/>
  <c r="K159" i="9"/>
  <c r="O158" i="9"/>
  <c r="M158" i="9"/>
  <c r="K158" i="9"/>
  <c r="O157" i="9"/>
  <c r="M157" i="9"/>
  <c r="K157" i="9"/>
  <c r="O156" i="9"/>
  <c r="M156" i="9"/>
  <c r="K156" i="9"/>
  <c r="Q148" i="9"/>
  <c r="R148" i="9" s="1"/>
  <c r="Q149" i="9"/>
  <c r="R149" i="9" s="1"/>
  <c r="Q150" i="9"/>
  <c r="R150" i="9" s="1"/>
  <c r="Q151" i="9"/>
  <c r="R151" i="9" s="1"/>
  <c r="Q152" i="9"/>
  <c r="R152" i="9" s="1"/>
  <c r="Q153" i="9"/>
  <c r="R153" i="9" s="1"/>
  <c r="Q154" i="9"/>
  <c r="R154" i="9" s="1"/>
  <c r="AO48" i="6"/>
  <c r="G42" i="7" s="1"/>
  <c r="P146" i="9"/>
  <c r="F48" i="6" s="1"/>
  <c r="O154" i="9"/>
  <c r="M154" i="9"/>
  <c r="K154" i="9"/>
  <c r="O153" i="9"/>
  <c r="M153" i="9"/>
  <c r="K153" i="9"/>
  <c r="O152" i="9"/>
  <c r="M152" i="9"/>
  <c r="K152" i="9"/>
  <c r="O151" i="9"/>
  <c r="M151" i="9"/>
  <c r="K151" i="9"/>
  <c r="O150" i="9"/>
  <c r="M150" i="9"/>
  <c r="K150" i="9"/>
  <c r="O149" i="9"/>
  <c r="M149" i="9"/>
  <c r="K149" i="9"/>
  <c r="O148" i="9"/>
  <c r="M148" i="9"/>
  <c r="K148" i="9"/>
  <c r="K147" i="9"/>
  <c r="AO46" i="6"/>
  <c r="G41" i="7" s="1"/>
  <c r="Q139" i="9"/>
  <c r="R139" i="9" s="1"/>
  <c r="Q140" i="9"/>
  <c r="R140" i="9" s="1"/>
  <c r="Q141" i="9"/>
  <c r="R141" i="9" s="1"/>
  <c r="Q142" i="9"/>
  <c r="R142" i="9" s="1"/>
  <c r="Q143" i="9"/>
  <c r="R143" i="9" s="1"/>
  <c r="Q144" i="9"/>
  <c r="R144" i="9" s="1"/>
  <c r="Q145" i="9"/>
  <c r="R145" i="9" s="1"/>
  <c r="P137" i="9"/>
  <c r="F46" i="6" s="1"/>
  <c r="O145" i="9"/>
  <c r="M145" i="9"/>
  <c r="K145" i="9"/>
  <c r="O144" i="9"/>
  <c r="M144" i="9"/>
  <c r="K144" i="9"/>
  <c r="O143" i="9"/>
  <c r="M143" i="9"/>
  <c r="K143" i="9"/>
  <c r="O142" i="9"/>
  <c r="M142" i="9"/>
  <c r="K142" i="9"/>
  <c r="O141" i="9"/>
  <c r="M141" i="9"/>
  <c r="K141" i="9"/>
  <c r="O140" i="9"/>
  <c r="M140" i="9"/>
  <c r="K140" i="9"/>
  <c r="O139" i="9"/>
  <c r="M139" i="9"/>
  <c r="K139" i="9"/>
  <c r="K138" i="9"/>
  <c r="AO44" i="6"/>
  <c r="G40" i="7" s="1"/>
  <c r="Q130" i="9"/>
  <c r="R130" i="9" s="1"/>
  <c r="Q131" i="9"/>
  <c r="R131" i="9" s="1"/>
  <c r="Q132" i="9"/>
  <c r="R132" i="9" s="1"/>
  <c r="Q133" i="9"/>
  <c r="R133" i="9" s="1"/>
  <c r="Q134" i="9"/>
  <c r="R134" i="9" s="1"/>
  <c r="Q135" i="9"/>
  <c r="R135" i="9" s="1"/>
  <c r="Q136" i="9"/>
  <c r="R136" i="9" s="1"/>
  <c r="P128" i="9"/>
  <c r="F44" i="6" s="1"/>
  <c r="O136" i="9"/>
  <c r="M136" i="9"/>
  <c r="K136" i="9"/>
  <c r="O135" i="9"/>
  <c r="M135" i="9"/>
  <c r="K135" i="9"/>
  <c r="O134" i="9"/>
  <c r="M134" i="9"/>
  <c r="K134" i="9"/>
  <c r="O133" i="9"/>
  <c r="M133" i="9"/>
  <c r="K133" i="9"/>
  <c r="O132" i="9"/>
  <c r="M132" i="9"/>
  <c r="K132" i="9"/>
  <c r="O131" i="9"/>
  <c r="M131" i="9"/>
  <c r="K131" i="9"/>
  <c r="O130" i="9"/>
  <c r="M130" i="9"/>
  <c r="K130" i="9"/>
  <c r="AO42" i="6"/>
  <c r="G39" i="7" s="1"/>
  <c r="Q121" i="9"/>
  <c r="R121" i="9" s="1"/>
  <c r="Q122" i="9"/>
  <c r="R122" i="9" s="1"/>
  <c r="Q123" i="9"/>
  <c r="R123" i="9" s="1"/>
  <c r="Q124" i="9"/>
  <c r="R124" i="9" s="1"/>
  <c r="Q125" i="9"/>
  <c r="R125" i="9" s="1"/>
  <c r="Q126" i="9"/>
  <c r="R126" i="9" s="1"/>
  <c r="Q127" i="9"/>
  <c r="R127" i="9" s="1"/>
  <c r="P119" i="9"/>
  <c r="F42" i="6" s="1"/>
  <c r="O127" i="9"/>
  <c r="M127" i="9"/>
  <c r="K127" i="9"/>
  <c r="O126" i="9"/>
  <c r="M126" i="9"/>
  <c r="K126" i="9"/>
  <c r="O125" i="9"/>
  <c r="M125" i="9"/>
  <c r="K125" i="9"/>
  <c r="O124" i="9"/>
  <c r="M124" i="9"/>
  <c r="K124" i="9"/>
  <c r="O123" i="9"/>
  <c r="M123" i="9"/>
  <c r="K123" i="9"/>
  <c r="O122" i="9"/>
  <c r="M122" i="9"/>
  <c r="K122" i="9"/>
  <c r="O121" i="9"/>
  <c r="M121" i="9"/>
  <c r="K121" i="9"/>
  <c r="K120" i="9"/>
  <c r="Q113" i="9"/>
  <c r="R113" i="9" s="1"/>
  <c r="Q114" i="9"/>
  <c r="R114" i="9" s="1"/>
  <c r="Q115" i="9"/>
  <c r="R115" i="9" s="1"/>
  <c r="Q116" i="9"/>
  <c r="R116" i="9" s="1"/>
  <c r="Q117" i="9"/>
  <c r="R117" i="9" s="1"/>
  <c r="Q118" i="9"/>
  <c r="R118" i="9" s="1"/>
  <c r="AO40" i="6"/>
  <c r="G38" i="7" s="1"/>
  <c r="P112" i="9"/>
  <c r="F40" i="6" s="1"/>
  <c r="O118" i="9"/>
  <c r="M118" i="9"/>
  <c r="K118" i="9"/>
  <c r="O117" i="9"/>
  <c r="M117" i="9"/>
  <c r="K117" i="9"/>
  <c r="O116" i="9"/>
  <c r="M116" i="9"/>
  <c r="K116" i="9"/>
  <c r="O115" i="9"/>
  <c r="M115" i="9"/>
  <c r="K115" i="9"/>
  <c r="O114" i="9"/>
  <c r="M114" i="9"/>
  <c r="K114" i="9"/>
  <c r="O113" i="9"/>
  <c r="M113" i="9"/>
  <c r="K113" i="9"/>
  <c r="AO38" i="6"/>
  <c r="G37" i="7" s="1"/>
  <c r="Q107" i="9"/>
  <c r="R107" i="9" s="1"/>
  <c r="Q108" i="9"/>
  <c r="R108" i="9" s="1"/>
  <c r="Q109" i="9"/>
  <c r="R109" i="9" s="1"/>
  <c r="Q110" i="9"/>
  <c r="R110" i="9" s="1"/>
  <c r="Q111" i="9"/>
  <c r="R111" i="9" s="1"/>
  <c r="P106" i="9"/>
  <c r="F38" i="6" s="1"/>
  <c r="O111" i="9"/>
  <c r="M111" i="9"/>
  <c r="K111" i="9"/>
  <c r="O110" i="9"/>
  <c r="M110" i="9"/>
  <c r="K110" i="9"/>
  <c r="O109" i="9"/>
  <c r="M109" i="9"/>
  <c r="K109" i="9"/>
  <c r="O108" i="9"/>
  <c r="M108" i="9"/>
  <c r="K108" i="9"/>
  <c r="O107" i="9"/>
  <c r="M107" i="9"/>
  <c r="K107" i="9"/>
  <c r="AO36" i="6"/>
  <c r="G36" i="7" s="1"/>
  <c r="P104" i="9"/>
  <c r="F36" i="6" s="1"/>
  <c r="K105" i="9"/>
  <c r="J104" i="9" s="1"/>
  <c r="AO34" i="6"/>
  <c r="G35" i="7" s="1"/>
  <c r="Q97" i="9"/>
  <c r="Q98" i="9"/>
  <c r="R98" i="9" s="1"/>
  <c r="Q99" i="9"/>
  <c r="R99" i="9" s="1"/>
  <c r="Q100" i="9"/>
  <c r="R100" i="9" s="1"/>
  <c r="Q101" i="9"/>
  <c r="R101" i="9" s="1"/>
  <c r="Q102" i="9"/>
  <c r="R102" i="9" s="1"/>
  <c r="Q103" i="9"/>
  <c r="R103" i="9" s="1"/>
  <c r="P95" i="9"/>
  <c r="F34" i="6" s="1"/>
  <c r="O103" i="9"/>
  <c r="M103" i="9"/>
  <c r="K103" i="9"/>
  <c r="O102" i="9"/>
  <c r="M102" i="9"/>
  <c r="K102" i="9"/>
  <c r="O101" i="9"/>
  <c r="M101" i="9"/>
  <c r="K101" i="9"/>
  <c r="O100" i="9"/>
  <c r="M100" i="9"/>
  <c r="K100" i="9"/>
  <c r="O99" i="9"/>
  <c r="M99" i="9"/>
  <c r="K99" i="9"/>
  <c r="O98" i="9"/>
  <c r="M98" i="9"/>
  <c r="K98" i="9"/>
  <c r="O97" i="9"/>
  <c r="M97" i="9"/>
  <c r="K97" i="9"/>
  <c r="K96" i="9"/>
  <c r="AO32" i="6"/>
  <c r="G34" i="7" s="1"/>
  <c r="Q93" i="9"/>
  <c r="Q94" i="9"/>
  <c r="R94" i="9" s="1"/>
  <c r="P92" i="9"/>
  <c r="F32" i="6" s="1"/>
  <c r="O94" i="9"/>
  <c r="M94" i="9"/>
  <c r="K94" i="9"/>
  <c r="O93" i="9"/>
  <c r="M93" i="9"/>
  <c r="K93" i="9"/>
  <c r="AO30" i="6"/>
  <c r="G33" i="7" s="1"/>
  <c r="Q90" i="9"/>
  <c r="Q91" i="9"/>
  <c r="R91" i="9" s="1"/>
  <c r="P89" i="9"/>
  <c r="F30" i="6" s="1"/>
  <c r="O91" i="9"/>
  <c r="M91" i="9"/>
  <c r="K91" i="9"/>
  <c r="O90" i="9"/>
  <c r="M90" i="9"/>
  <c r="K90" i="9"/>
  <c r="AO28" i="6"/>
  <c r="G32" i="7" s="1"/>
  <c r="Q88" i="9"/>
  <c r="P87" i="9"/>
  <c r="F28" i="6" s="1"/>
  <c r="O88" i="9"/>
  <c r="N87" i="9" s="1"/>
  <c r="M88" i="9"/>
  <c r="L87" i="9" s="1"/>
  <c r="K88" i="9"/>
  <c r="J87" i="9" s="1"/>
  <c r="AO26" i="6"/>
  <c r="G31" i="7" s="1"/>
  <c r="Q80" i="9"/>
  <c r="R80" i="9" s="1"/>
  <c r="Q81" i="9"/>
  <c r="R81" i="9" s="1"/>
  <c r="Q82" i="9"/>
  <c r="R82" i="9" s="1"/>
  <c r="Q83" i="9"/>
  <c r="R83" i="9" s="1"/>
  <c r="Q84" i="9"/>
  <c r="R84" i="9" s="1"/>
  <c r="Q85" i="9"/>
  <c r="R85" i="9" s="1"/>
  <c r="Q86" i="9"/>
  <c r="R86" i="9" s="1"/>
  <c r="P78" i="9"/>
  <c r="F26" i="6" s="1"/>
  <c r="O86" i="9"/>
  <c r="M86" i="9"/>
  <c r="K86" i="9"/>
  <c r="O85" i="9"/>
  <c r="M85" i="9"/>
  <c r="K85" i="9"/>
  <c r="O84" i="9"/>
  <c r="M84" i="9"/>
  <c r="K84" i="9"/>
  <c r="O83" i="9"/>
  <c r="M83" i="9"/>
  <c r="K83" i="9"/>
  <c r="O82" i="9"/>
  <c r="M82" i="9"/>
  <c r="K82" i="9"/>
  <c r="O81" i="9"/>
  <c r="M81" i="9"/>
  <c r="K81" i="9"/>
  <c r="O80" i="9"/>
  <c r="M80" i="9"/>
  <c r="K80" i="9"/>
  <c r="K79" i="9"/>
  <c r="AO24" i="6"/>
  <c r="G30" i="7" s="1"/>
  <c r="Q75" i="9"/>
  <c r="R75" i="9" s="1"/>
  <c r="Q76" i="9"/>
  <c r="R76" i="9" s="1"/>
  <c r="Q77" i="9"/>
  <c r="R77" i="9" s="1"/>
  <c r="P73" i="9"/>
  <c r="F24" i="6" s="1"/>
  <c r="O77" i="9"/>
  <c r="M77" i="9"/>
  <c r="K77" i="9"/>
  <c r="O76" i="9"/>
  <c r="M76" i="9"/>
  <c r="K76" i="9"/>
  <c r="O75" i="9"/>
  <c r="M75" i="9"/>
  <c r="K75" i="9"/>
  <c r="K74" i="9"/>
  <c r="AO22" i="6"/>
  <c r="G29" i="7" s="1"/>
  <c r="Q60" i="9"/>
  <c r="R60" i="9" s="1"/>
  <c r="Q61" i="9"/>
  <c r="R61" i="9" s="1"/>
  <c r="Q62" i="9"/>
  <c r="R62" i="9" s="1"/>
  <c r="Q63" i="9"/>
  <c r="R63" i="9" s="1"/>
  <c r="Q64" i="9"/>
  <c r="R64" i="9" s="1"/>
  <c r="Q65" i="9"/>
  <c r="R65" i="9" s="1"/>
  <c r="Q66" i="9"/>
  <c r="R66" i="9" s="1"/>
  <c r="Q67" i="9"/>
  <c r="R67" i="9" s="1"/>
  <c r="Q68" i="9"/>
  <c r="R68" i="9" s="1"/>
  <c r="Q69" i="9"/>
  <c r="R69" i="9" s="1"/>
  <c r="Q70" i="9"/>
  <c r="R70" i="9" s="1"/>
  <c r="Q71" i="9"/>
  <c r="R71" i="9" s="1"/>
  <c r="Q72" i="9"/>
  <c r="R72" i="9" s="1"/>
  <c r="P58" i="9"/>
  <c r="F22" i="6" s="1"/>
  <c r="O72" i="9"/>
  <c r="M72" i="9"/>
  <c r="K72" i="9"/>
  <c r="O71" i="9"/>
  <c r="M71" i="9"/>
  <c r="K71" i="9"/>
  <c r="O70" i="9"/>
  <c r="M70" i="9"/>
  <c r="K70" i="9"/>
  <c r="O69" i="9"/>
  <c r="M69" i="9"/>
  <c r="K69" i="9"/>
  <c r="O68" i="9"/>
  <c r="M68" i="9"/>
  <c r="K68" i="9"/>
  <c r="O67" i="9"/>
  <c r="M67" i="9"/>
  <c r="K67" i="9"/>
  <c r="O66" i="9"/>
  <c r="M66" i="9"/>
  <c r="K66" i="9"/>
  <c r="O65" i="9"/>
  <c r="M65" i="9"/>
  <c r="K65" i="9"/>
  <c r="O64" i="9"/>
  <c r="M64" i="9"/>
  <c r="K64" i="9"/>
  <c r="O63" i="9"/>
  <c r="M63" i="9"/>
  <c r="K63" i="9"/>
  <c r="O62" i="9"/>
  <c r="M62" i="9"/>
  <c r="K62" i="9"/>
  <c r="O61" i="9"/>
  <c r="M61" i="9"/>
  <c r="K61" i="9"/>
  <c r="O60" i="9"/>
  <c r="M60" i="9"/>
  <c r="K60" i="9"/>
  <c r="K59" i="9"/>
  <c r="AO20" i="6"/>
  <c r="G28" i="7" s="1"/>
  <c r="Q44" i="9"/>
  <c r="R44" i="9" s="1"/>
  <c r="Q46" i="9"/>
  <c r="R46" i="9" s="1"/>
  <c r="Q47" i="9"/>
  <c r="R47" i="9" s="1"/>
  <c r="Q48" i="9"/>
  <c r="R48" i="9" s="1"/>
  <c r="Q49" i="9"/>
  <c r="R49" i="9" s="1"/>
  <c r="Q50" i="9"/>
  <c r="R50" i="9" s="1"/>
  <c r="Q51" i="9"/>
  <c r="R51" i="9" s="1"/>
  <c r="Q52" i="9"/>
  <c r="R52" i="9" s="1"/>
  <c r="Q53" i="9"/>
  <c r="R53" i="9" s="1"/>
  <c r="Q54" i="9"/>
  <c r="R54" i="9" s="1"/>
  <c r="Q55" i="9"/>
  <c r="R55" i="9" s="1"/>
  <c r="Q56" i="9"/>
  <c r="R56" i="9" s="1"/>
  <c r="Q57" i="9"/>
  <c r="R57" i="9" s="1"/>
  <c r="P43" i="9"/>
  <c r="F20" i="6" s="1"/>
  <c r="O57" i="9"/>
  <c r="M57" i="9"/>
  <c r="K57" i="9"/>
  <c r="O56" i="9"/>
  <c r="M56" i="9"/>
  <c r="K56" i="9"/>
  <c r="O55" i="9"/>
  <c r="M55" i="9"/>
  <c r="K55" i="9"/>
  <c r="O54" i="9"/>
  <c r="M54" i="9"/>
  <c r="K54" i="9"/>
  <c r="O53" i="9"/>
  <c r="M53" i="9"/>
  <c r="K53" i="9"/>
  <c r="O52" i="9"/>
  <c r="M52" i="9"/>
  <c r="K52" i="9"/>
  <c r="O51" i="9"/>
  <c r="M51" i="9"/>
  <c r="K51" i="9"/>
  <c r="O50" i="9"/>
  <c r="M50" i="9"/>
  <c r="K50" i="9"/>
  <c r="O49" i="9"/>
  <c r="M49" i="9"/>
  <c r="K49" i="9"/>
  <c r="O48" i="9"/>
  <c r="M48" i="9"/>
  <c r="K48" i="9"/>
  <c r="O47" i="9"/>
  <c r="M47" i="9"/>
  <c r="K47" i="9"/>
  <c r="O46" i="9"/>
  <c r="M46" i="9"/>
  <c r="K46" i="9"/>
  <c r="K45" i="9"/>
  <c r="O44" i="9"/>
  <c r="M44" i="9"/>
  <c r="K44" i="9"/>
  <c r="AO18" i="6"/>
  <c r="G27" i="7" s="1"/>
  <c r="Q34" i="9"/>
  <c r="R34" i="9" s="1"/>
  <c r="Q35" i="9"/>
  <c r="R35" i="9" s="1"/>
  <c r="Q36" i="9"/>
  <c r="R36" i="9" s="1"/>
  <c r="Q37" i="9"/>
  <c r="Q38" i="9"/>
  <c r="R38" i="9" s="1"/>
  <c r="Q39" i="9"/>
  <c r="R39" i="9" s="1"/>
  <c r="Q40" i="9"/>
  <c r="R40" i="9" s="1"/>
  <c r="Q41" i="9"/>
  <c r="R41" i="9" s="1"/>
  <c r="Q42" i="9"/>
  <c r="R42" i="9" s="1"/>
  <c r="P32" i="9"/>
  <c r="F18" i="6" s="1"/>
  <c r="O42" i="9"/>
  <c r="M42" i="9"/>
  <c r="K42" i="9"/>
  <c r="O41" i="9"/>
  <c r="M41" i="9"/>
  <c r="K41" i="9"/>
  <c r="O40" i="9"/>
  <c r="M40" i="9"/>
  <c r="K40" i="9"/>
  <c r="O39" i="9"/>
  <c r="M39" i="9"/>
  <c r="K39" i="9"/>
  <c r="O38" i="9"/>
  <c r="M38" i="9"/>
  <c r="K38" i="9"/>
  <c r="O37" i="9"/>
  <c r="M37" i="9"/>
  <c r="K37" i="9"/>
  <c r="O36" i="9"/>
  <c r="M36" i="9"/>
  <c r="K36" i="9"/>
  <c r="O35" i="9"/>
  <c r="M35" i="9"/>
  <c r="K35" i="9"/>
  <c r="O34" i="9"/>
  <c r="M34" i="9"/>
  <c r="K34" i="9"/>
  <c r="K33" i="9"/>
  <c r="AO16" i="6"/>
  <c r="Q23" i="9"/>
  <c r="R23" i="9" s="1"/>
  <c r="Q24" i="9"/>
  <c r="R24" i="9" s="1"/>
  <c r="Q25" i="9"/>
  <c r="R25" i="9" s="1"/>
  <c r="Q26" i="9"/>
  <c r="R26" i="9" s="1"/>
  <c r="Q27" i="9"/>
  <c r="R27" i="9" s="1"/>
  <c r="Q28" i="9"/>
  <c r="R28" i="9" s="1"/>
  <c r="Q29" i="9"/>
  <c r="R29" i="9" s="1"/>
  <c r="Q30" i="9"/>
  <c r="R30" i="9" s="1"/>
  <c r="Q31" i="9"/>
  <c r="R31" i="9" s="1"/>
  <c r="P21" i="9"/>
  <c r="F16" i="6" s="1"/>
  <c r="O31" i="9"/>
  <c r="M31" i="9"/>
  <c r="K31" i="9"/>
  <c r="O30" i="9"/>
  <c r="M30" i="9"/>
  <c r="K30" i="9"/>
  <c r="O29" i="9"/>
  <c r="M29" i="9"/>
  <c r="K29" i="9"/>
  <c r="O28" i="9"/>
  <c r="M28" i="9"/>
  <c r="K28" i="9"/>
  <c r="O27" i="9"/>
  <c r="M27" i="9"/>
  <c r="K27" i="9"/>
  <c r="O26" i="9"/>
  <c r="M26" i="9"/>
  <c r="K26" i="9"/>
  <c r="O25" i="9"/>
  <c r="M25" i="9"/>
  <c r="K25" i="9"/>
  <c r="O24" i="9"/>
  <c r="M24" i="9"/>
  <c r="K24" i="9"/>
  <c r="O23" i="9"/>
  <c r="M23" i="9"/>
  <c r="K23" i="9"/>
  <c r="AO14" i="6"/>
  <c r="Q16" i="9"/>
  <c r="Q17" i="9"/>
  <c r="R17" i="9" s="1"/>
  <c r="Q18" i="9"/>
  <c r="R18" i="9" s="1"/>
  <c r="Q19" i="9"/>
  <c r="R19" i="9" s="1"/>
  <c r="Q20" i="9"/>
  <c r="R20" i="9" s="1"/>
  <c r="P15" i="9"/>
  <c r="F14" i="6" s="1"/>
  <c r="O20" i="9"/>
  <c r="M20" i="9"/>
  <c r="K20" i="9"/>
  <c r="O19" i="9"/>
  <c r="M19" i="9"/>
  <c r="K19" i="9"/>
  <c r="O18" i="9"/>
  <c r="M18" i="9"/>
  <c r="K18" i="9"/>
  <c r="O17" i="9"/>
  <c r="M17" i="9"/>
  <c r="K17" i="9"/>
  <c r="O16" i="9"/>
  <c r="M16" i="9"/>
  <c r="K16" i="9"/>
  <c r="AO12" i="6"/>
  <c r="G24" i="7" s="1"/>
  <c r="Q13" i="9"/>
  <c r="R13" i="9" s="1"/>
  <c r="Q14" i="9"/>
  <c r="R14" i="9" s="1"/>
  <c r="P12" i="9"/>
  <c r="F12" i="6" s="1"/>
  <c r="O14" i="9"/>
  <c r="M14" i="9"/>
  <c r="K14" i="9"/>
  <c r="O13" i="9"/>
  <c r="M13" i="9"/>
  <c r="K13" i="9"/>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26" i="2"/>
  <c r="T25" i="2"/>
  <c r="T24" i="2"/>
  <c r="T23" i="2"/>
  <c r="T22" i="2"/>
  <c r="T21" i="2"/>
  <c r="T20" i="2"/>
  <c r="T19" i="2"/>
  <c r="T18" i="2"/>
  <c r="T17" i="2"/>
  <c r="T16" i="2"/>
  <c r="T15" i="2"/>
  <c r="T14" i="2"/>
  <c r="J2" i="5" a="1"/>
  <c r="B12" i="2"/>
  <c r="D12" i="7"/>
  <c r="B12" i="7"/>
  <c r="C12" i="7" s="1"/>
  <c r="C5" i="7"/>
  <c r="C8" i="9"/>
  <c r="C7" i="9"/>
  <c r="C6" i="9"/>
  <c r="C5" i="9"/>
  <c r="C8" i="7"/>
  <c r="C7" i="7"/>
  <c r="C6" i="7"/>
  <c r="C8" i="6"/>
  <c r="C7" i="6"/>
  <c r="C6" i="6"/>
  <c r="C5" i="6"/>
  <c r="C8" i="2"/>
  <c r="C7" i="2"/>
  <c r="C6" i="2"/>
  <c r="C5" i="2"/>
  <c r="C8" i="4"/>
  <c r="C7" i="4"/>
  <c r="C6" i="4"/>
  <c r="C5" i="4"/>
  <c r="AH120" i="6" l="1"/>
  <c r="AF120" i="6" s="1"/>
  <c r="AD120" i="6" s="1"/>
  <c r="AB120" i="6" s="1"/>
  <c r="Z120" i="6" s="1"/>
  <c r="X120" i="6" s="1"/>
  <c r="V120" i="6" s="1"/>
  <c r="T120" i="6" s="1"/>
  <c r="R120" i="6" s="1"/>
  <c r="P120" i="6" s="1"/>
  <c r="N120" i="6" s="1"/>
  <c r="L120" i="6" s="1"/>
  <c r="J120" i="6" s="1"/>
  <c r="M147" i="9"/>
  <c r="R550" i="9"/>
  <c r="Q549" i="9"/>
  <c r="R555" i="9"/>
  <c r="Q554" i="9"/>
  <c r="AH146" i="6"/>
  <c r="AF146" i="6" s="1"/>
  <c r="AD146" i="6" s="1"/>
  <c r="AB146" i="6" s="1"/>
  <c r="Z146" i="6" s="1"/>
  <c r="X146" i="6" s="1"/>
  <c r="V146" i="6" s="1"/>
  <c r="T146" i="6" s="1"/>
  <c r="R146" i="6" s="1"/>
  <c r="P146" i="6" s="1"/>
  <c r="N146" i="6" s="1"/>
  <c r="L146" i="6" s="1"/>
  <c r="J146" i="6" s="1"/>
  <c r="AH148" i="6"/>
  <c r="AF148" i="6" s="1"/>
  <c r="AD148" i="6" s="1"/>
  <c r="AB148" i="6" s="1"/>
  <c r="Z148" i="6" s="1"/>
  <c r="X148" i="6" s="1"/>
  <c r="V148" i="6" s="1"/>
  <c r="T148" i="6" s="1"/>
  <c r="R148" i="6" s="1"/>
  <c r="P148" i="6" s="1"/>
  <c r="N148" i="6" s="1"/>
  <c r="L148" i="6" s="1"/>
  <c r="J148" i="6" s="1"/>
  <c r="AH144" i="6"/>
  <c r="AF144" i="6" s="1"/>
  <c r="AD144" i="6" s="1"/>
  <c r="AB144" i="6" s="1"/>
  <c r="Z144" i="6" s="1"/>
  <c r="X144" i="6" s="1"/>
  <c r="V144" i="6" s="1"/>
  <c r="T144" i="6" s="1"/>
  <c r="R144" i="6" s="1"/>
  <c r="P144" i="6" s="1"/>
  <c r="N144" i="6" s="1"/>
  <c r="L144" i="6" s="1"/>
  <c r="J144" i="6" s="1"/>
  <c r="AH150" i="6"/>
  <c r="AF150" i="6" s="1"/>
  <c r="AD150" i="6" s="1"/>
  <c r="AB150" i="6" s="1"/>
  <c r="Z150" i="6" s="1"/>
  <c r="X150" i="6" s="1"/>
  <c r="V150" i="6" s="1"/>
  <c r="T150" i="6" s="1"/>
  <c r="R150" i="6" s="1"/>
  <c r="P150" i="6" s="1"/>
  <c r="N150" i="6" s="1"/>
  <c r="L150" i="6" s="1"/>
  <c r="J150" i="6" s="1"/>
  <c r="M546" i="9"/>
  <c r="L545" i="9" s="1"/>
  <c r="Q546" i="9"/>
  <c r="Q545" i="9" s="1"/>
  <c r="R545" i="9" s="1"/>
  <c r="O546" i="9"/>
  <c r="N545" i="9" s="1"/>
  <c r="Q147" i="9"/>
  <c r="R147" i="9" s="1"/>
  <c r="O147" i="9"/>
  <c r="N146" i="9" s="1"/>
  <c r="M542" i="9"/>
  <c r="L541" i="9" s="1"/>
  <c r="Q542" i="9"/>
  <c r="Q541" i="9" s="1"/>
  <c r="I92" i="7" s="1"/>
  <c r="J92" i="7" s="1"/>
  <c r="O542" i="9"/>
  <c r="N541" i="9" s="1"/>
  <c r="M537" i="9"/>
  <c r="L536" i="9" s="1"/>
  <c r="M105" i="9"/>
  <c r="L104" i="9" s="1"/>
  <c r="M33" i="9"/>
  <c r="L32" i="9" s="1"/>
  <c r="Q537" i="9"/>
  <c r="O537" i="9"/>
  <c r="N536" i="9" s="1"/>
  <c r="M391" i="9"/>
  <c r="L390" i="9" s="1"/>
  <c r="M188" i="9"/>
  <c r="L187" i="9" s="1"/>
  <c r="M533" i="9"/>
  <c r="L532" i="9" s="1"/>
  <c r="J536" i="9"/>
  <c r="M400" i="9"/>
  <c r="L399" i="9" s="1"/>
  <c r="M194" i="9"/>
  <c r="L193" i="9" s="1"/>
  <c r="O533" i="9"/>
  <c r="N532" i="9" s="1"/>
  <c r="Q533" i="9"/>
  <c r="R533" i="9" s="1"/>
  <c r="O391" i="9"/>
  <c r="N390" i="9" s="1"/>
  <c r="Q391" i="9"/>
  <c r="Q390" i="9" s="1"/>
  <c r="M483" i="9"/>
  <c r="L482" i="9" s="1"/>
  <c r="Q188" i="9"/>
  <c r="R188" i="9" s="1"/>
  <c r="O188" i="9"/>
  <c r="N187" i="9" s="1"/>
  <c r="O33" i="9"/>
  <c r="N32" i="9" s="1"/>
  <c r="Q33" i="9"/>
  <c r="R33" i="9" s="1"/>
  <c r="Q79" i="9"/>
  <c r="R79" i="9" s="1"/>
  <c r="Q74" i="9"/>
  <c r="R74" i="9" s="1"/>
  <c r="M59" i="9"/>
  <c r="L58" i="9" s="1"/>
  <c r="M96" i="9"/>
  <c r="L95" i="9" s="1"/>
  <c r="Q105" i="9"/>
  <c r="Q104" i="9" s="1"/>
  <c r="I36" i="7" s="1"/>
  <c r="J36" i="7" s="1"/>
  <c r="O105" i="9"/>
  <c r="N104" i="9" s="1"/>
  <c r="O400" i="9"/>
  <c r="N399" i="9" s="1"/>
  <c r="Q400" i="9"/>
  <c r="Q399" i="9" s="1"/>
  <c r="R399" i="9" s="1"/>
  <c r="Q483" i="9"/>
  <c r="R483" i="9" s="1"/>
  <c r="O483" i="9"/>
  <c r="N482" i="9" s="1"/>
  <c r="M120" i="9"/>
  <c r="L119" i="9" s="1"/>
  <c r="M45" i="9"/>
  <c r="L43" i="9" s="1"/>
  <c r="Q45" i="9"/>
  <c r="Q43" i="9" s="1"/>
  <c r="R43" i="9" s="1"/>
  <c r="O45" i="9"/>
  <c r="N43" i="9" s="1"/>
  <c r="Q194" i="9"/>
  <c r="R194" i="9" s="1"/>
  <c r="O194" i="9"/>
  <c r="N193" i="9" s="1"/>
  <c r="O59" i="9"/>
  <c r="N58" i="9" s="1"/>
  <c r="O22" i="9"/>
  <c r="N21" i="9" s="1"/>
  <c r="N138" i="9"/>
  <c r="Q120" i="9"/>
  <c r="R120" i="9" s="1"/>
  <c r="O120" i="9"/>
  <c r="N119" i="9" s="1"/>
  <c r="Q129" i="9"/>
  <c r="Q128" i="9" s="1"/>
  <c r="L128" i="9"/>
  <c r="Q96" i="9"/>
  <c r="R96" i="9" s="1"/>
  <c r="O96" i="9"/>
  <c r="N95" i="9" s="1"/>
  <c r="AH128" i="6"/>
  <c r="AF128" i="6" s="1"/>
  <c r="AD128" i="6" s="1"/>
  <c r="AB128" i="6" s="1"/>
  <c r="Z128" i="6" s="1"/>
  <c r="X128" i="6" s="1"/>
  <c r="V128" i="6" s="1"/>
  <c r="T128" i="6" s="1"/>
  <c r="R128" i="6" s="1"/>
  <c r="P128" i="6" s="1"/>
  <c r="N128" i="6" s="1"/>
  <c r="L128" i="6" s="1"/>
  <c r="J128" i="6" s="1"/>
  <c r="AH116" i="6"/>
  <c r="AF116" i="6" s="1"/>
  <c r="AD116" i="6" s="1"/>
  <c r="AB116" i="6" s="1"/>
  <c r="Z116" i="6" s="1"/>
  <c r="X116" i="6" s="1"/>
  <c r="V116" i="6" s="1"/>
  <c r="T116" i="6" s="1"/>
  <c r="R116" i="6" s="1"/>
  <c r="P116" i="6" s="1"/>
  <c r="N116" i="6" s="1"/>
  <c r="L116" i="6" s="1"/>
  <c r="J116" i="6" s="1"/>
  <c r="AH34" i="6"/>
  <c r="AF34" i="6" s="1"/>
  <c r="AD34" i="6" s="1"/>
  <c r="AB34" i="6" s="1"/>
  <c r="Z34" i="6" s="1"/>
  <c r="X34" i="6" s="1"/>
  <c r="V34" i="6" s="1"/>
  <c r="T34" i="6" s="1"/>
  <c r="R34" i="6" s="1"/>
  <c r="P34" i="6" s="1"/>
  <c r="N34" i="6" s="1"/>
  <c r="L34" i="6" s="1"/>
  <c r="J34" i="6" s="1"/>
  <c r="AH62" i="6"/>
  <c r="AF62" i="6" s="1"/>
  <c r="AD62" i="6" s="1"/>
  <c r="AB62" i="6" s="1"/>
  <c r="Z62" i="6" s="1"/>
  <c r="X62" i="6" s="1"/>
  <c r="V62" i="6" s="1"/>
  <c r="T62" i="6" s="1"/>
  <c r="R62" i="6" s="1"/>
  <c r="P62" i="6" s="1"/>
  <c r="N62" i="6" s="1"/>
  <c r="L62" i="6" s="1"/>
  <c r="J62" i="6" s="1"/>
  <c r="J92" i="9"/>
  <c r="L92" i="9"/>
  <c r="AH24" i="6"/>
  <c r="AF24" i="6" s="1"/>
  <c r="AD24" i="6" s="1"/>
  <c r="AB24" i="6" s="1"/>
  <c r="Z24" i="6" s="1"/>
  <c r="X24" i="6" s="1"/>
  <c r="V24" i="6" s="1"/>
  <c r="T24" i="6" s="1"/>
  <c r="R24" i="6" s="1"/>
  <c r="P24" i="6" s="1"/>
  <c r="N24" i="6" s="1"/>
  <c r="L24" i="6" s="1"/>
  <c r="J24" i="6" s="1"/>
  <c r="AH58" i="6"/>
  <c r="AF58" i="6" s="1"/>
  <c r="AD58" i="6" s="1"/>
  <c r="AB58" i="6" s="1"/>
  <c r="Z58" i="6" s="1"/>
  <c r="X58" i="6" s="1"/>
  <c r="V58" i="6" s="1"/>
  <c r="T58" i="6" s="1"/>
  <c r="R58" i="6" s="1"/>
  <c r="P58" i="6" s="1"/>
  <c r="N58" i="6" s="1"/>
  <c r="L58" i="6" s="1"/>
  <c r="J58" i="6" s="1"/>
  <c r="AH84" i="6"/>
  <c r="AF84" i="6" s="1"/>
  <c r="AD84" i="6" s="1"/>
  <c r="AB84" i="6" s="1"/>
  <c r="Z84" i="6" s="1"/>
  <c r="X84" i="6" s="1"/>
  <c r="V84" i="6" s="1"/>
  <c r="T84" i="6" s="1"/>
  <c r="R84" i="6" s="1"/>
  <c r="P84" i="6" s="1"/>
  <c r="N84" i="6" s="1"/>
  <c r="L84" i="6" s="1"/>
  <c r="J84" i="6" s="1"/>
  <c r="AH106" i="6"/>
  <c r="AF106" i="6" s="1"/>
  <c r="AD106" i="6" s="1"/>
  <c r="AB106" i="6" s="1"/>
  <c r="Z106" i="6" s="1"/>
  <c r="X106" i="6" s="1"/>
  <c r="V106" i="6" s="1"/>
  <c r="T106" i="6" s="1"/>
  <c r="R106" i="6" s="1"/>
  <c r="P106" i="6" s="1"/>
  <c r="N106" i="6" s="1"/>
  <c r="L106" i="6" s="1"/>
  <c r="J106" i="6" s="1"/>
  <c r="AH52" i="6"/>
  <c r="AF52" i="6" s="1"/>
  <c r="AD52" i="6" s="1"/>
  <c r="AB52" i="6" s="1"/>
  <c r="Z52" i="6" s="1"/>
  <c r="X52" i="6" s="1"/>
  <c r="V52" i="6" s="1"/>
  <c r="T52" i="6" s="1"/>
  <c r="R52" i="6" s="1"/>
  <c r="P52" i="6" s="1"/>
  <c r="N52" i="6" s="1"/>
  <c r="L52" i="6" s="1"/>
  <c r="J52" i="6" s="1"/>
  <c r="AH68" i="6"/>
  <c r="AF68" i="6" s="1"/>
  <c r="AD68" i="6" s="1"/>
  <c r="AB68" i="6" s="1"/>
  <c r="Z68" i="6" s="1"/>
  <c r="X68" i="6" s="1"/>
  <c r="V68" i="6" s="1"/>
  <c r="T68" i="6" s="1"/>
  <c r="R68" i="6" s="1"/>
  <c r="P68" i="6" s="1"/>
  <c r="N68" i="6" s="1"/>
  <c r="L68" i="6" s="1"/>
  <c r="J68" i="6" s="1"/>
  <c r="AH94" i="6"/>
  <c r="AF94" i="6" s="1"/>
  <c r="AD94" i="6" s="1"/>
  <c r="AB94" i="6" s="1"/>
  <c r="Z94" i="6" s="1"/>
  <c r="X94" i="6" s="1"/>
  <c r="V94" i="6" s="1"/>
  <c r="T94" i="6" s="1"/>
  <c r="R94" i="6" s="1"/>
  <c r="P94" i="6" s="1"/>
  <c r="N94" i="6" s="1"/>
  <c r="L94" i="6" s="1"/>
  <c r="J94" i="6" s="1"/>
  <c r="AH78" i="6"/>
  <c r="AF78" i="6" s="1"/>
  <c r="AD78" i="6" s="1"/>
  <c r="AB78" i="6" s="1"/>
  <c r="Z78" i="6" s="1"/>
  <c r="X78" i="6" s="1"/>
  <c r="V78" i="6" s="1"/>
  <c r="T78" i="6" s="1"/>
  <c r="R78" i="6" s="1"/>
  <c r="P78" i="6" s="1"/>
  <c r="N78" i="6" s="1"/>
  <c r="L78" i="6" s="1"/>
  <c r="J78" i="6" s="1"/>
  <c r="AH44" i="6"/>
  <c r="AF44" i="6" s="1"/>
  <c r="AD44" i="6" s="1"/>
  <c r="AB44" i="6" s="1"/>
  <c r="Z44" i="6" s="1"/>
  <c r="X44" i="6" s="1"/>
  <c r="V44" i="6" s="1"/>
  <c r="T44" i="6" s="1"/>
  <c r="R44" i="6" s="1"/>
  <c r="P44" i="6" s="1"/>
  <c r="N44" i="6" s="1"/>
  <c r="L44" i="6" s="1"/>
  <c r="J44" i="6" s="1"/>
  <c r="AH54" i="6"/>
  <c r="AF54" i="6" s="1"/>
  <c r="AD54" i="6" s="1"/>
  <c r="AB54" i="6" s="1"/>
  <c r="Z54" i="6" s="1"/>
  <c r="X54" i="6" s="1"/>
  <c r="V54" i="6" s="1"/>
  <c r="T54" i="6" s="1"/>
  <c r="R54" i="6" s="1"/>
  <c r="P54" i="6" s="1"/>
  <c r="N54" i="6" s="1"/>
  <c r="L54" i="6" s="1"/>
  <c r="J54" i="6" s="1"/>
  <c r="AH18" i="6"/>
  <c r="AF18" i="6" s="1"/>
  <c r="AD18" i="6" s="1"/>
  <c r="AB18" i="6" s="1"/>
  <c r="Z18" i="6" s="1"/>
  <c r="X18" i="6" s="1"/>
  <c r="V18" i="6" s="1"/>
  <c r="T18" i="6" s="1"/>
  <c r="R18" i="6" s="1"/>
  <c r="P18" i="6" s="1"/>
  <c r="N18" i="6" s="1"/>
  <c r="L18" i="6" s="1"/>
  <c r="J18" i="6" s="1"/>
  <c r="J89" i="9"/>
  <c r="N92" i="9"/>
  <c r="J137" i="9"/>
  <c r="J339" i="9"/>
  <c r="J128" i="9"/>
  <c r="Q182" i="9"/>
  <c r="R182" i="9" s="1"/>
  <c r="Q184" i="9"/>
  <c r="R184" i="9" s="1"/>
  <c r="L214" i="9"/>
  <c r="AH82" i="6"/>
  <c r="AF82" i="6" s="1"/>
  <c r="AD82" i="6" s="1"/>
  <c r="AB82" i="6" s="1"/>
  <c r="Z82" i="6" s="1"/>
  <c r="X82" i="6" s="1"/>
  <c r="V82" i="6" s="1"/>
  <c r="T82" i="6" s="1"/>
  <c r="R82" i="6" s="1"/>
  <c r="P82" i="6" s="1"/>
  <c r="N82" i="6" s="1"/>
  <c r="L82" i="6" s="1"/>
  <c r="J82" i="6" s="1"/>
  <c r="AH122" i="6"/>
  <c r="AF122" i="6" s="1"/>
  <c r="AD122" i="6" s="1"/>
  <c r="AB122" i="6" s="1"/>
  <c r="Z122" i="6" s="1"/>
  <c r="X122" i="6" s="1"/>
  <c r="V122" i="6" s="1"/>
  <c r="T122" i="6" s="1"/>
  <c r="R122" i="6" s="1"/>
  <c r="P122" i="6" s="1"/>
  <c r="N122" i="6" s="1"/>
  <c r="L122" i="6" s="1"/>
  <c r="J122" i="6" s="1"/>
  <c r="AH134" i="6"/>
  <c r="AF134" i="6" s="1"/>
  <c r="AD134" i="6" s="1"/>
  <c r="AB134" i="6" s="1"/>
  <c r="Z134" i="6" s="1"/>
  <c r="X134" i="6" s="1"/>
  <c r="V134" i="6" s="1"/>
  <c r="T134" i="6" s="1"/>
  <c r="R134" i="6" s="1"/>
  <c r="P134" i="6" s="1"/>
  <c r="N134" i="6" s="1"/>
  <c r="L134" i="6" s="1"/>
  <c r="J134" i="6" s="1"/>
  <c r="AH40" i="6"/>
  <c r="AF40" i="6" s="1"/>
  <c r="AD40" i="6" s="1"/>
  <c r="AB40" i="6" s="1"/>
  <c r="Z40" i="6" s="1"/>
  <c r="X40" i="6" s="1"/>
  <c r="V40" i="6" s="1"/>
  <c r="T40" i="6" s="1"/>
  <c r="R40" i="6" s="1"/>
  <c r="P40" i="6" s="1"/>
  <c r="N40" i="6" s="1"/>
  <c r="L40" i="6" s="1"/>
  <c r="J40" i="6" s="1"/>
  <c r="AH50" i="6"/>
  <c r="AF50" i="6" s="1"/>
  <c r="AD50" i="6" s="1"/>
  <c r="AB50" i="6" s="1"/>
  <c r="Z50" i="6" s="1"/>
  <c r="X50" i="6" s="1"/>
  <c r="V50" i="6" s="1"/>
  <c r="T50" i="6" s="1"/>
  <c r="R50" i="6" s="1"/>
  <c r="P50" i="6" s="1"/>
  <c r="N50" i="6" s="1"/>
  <c r="L50" i="6" s="1"/>
  <c r="J50" i="6" s="1"/>
  <c r="AH14" i="6"/>
  <c r="AF14" i="6" s="1"/>
  <c r="AD14" i="6" s="1"/>
  <c r="AB14" i="6" s="1"/>
  <c r="Z14" i="6" s="1"/>
  <c r="X14" i="6" s="1"/>
  <c r="V14" i="6" s="1"/>
  <c r="T14" i="6" s="1"/>
  <c r="R14" i="6" s="1"/>
  <c r="P14" i="6" s="1"/>
  <c r="N14" i="6" s="1"/>
  <c r="L14" i="6" s="1"/>
  <c r="J14" i="6" s="1"/>
  <c r="AH70" i="6"/>
  <c r="AF70" i="6" s="1"/>
  <c r="AD70" i="6" s="1"/>
  <c r="AB70" i="6" s="1"/>
  <c r="Z70" i="6" s="1"/>
  <c r="X70" i="6" s="1"/>
  <c r="V70" i="6" s="1"/>
  <c r="T70" i="6" s="1"/>
  <c r="R70" i="6" s="1"/>
  <c r="P70" i="6" s="1"/>
  <c r="N70" i="6" s="1"/>
  <c r="L70" i="6" s="1"/>
  <c r="J70" i="6" s="1"/>
  <c r="AH38" i="6"/>
  <c r="AF38" i="6" s="1"/>
  <c r="AD38" i="6" s="1"/>
  <c r="AB38" i="6" s="1"/>
  <c r="Z38" i="6" s="1"/>
  <c r="X38" i="6" s="1"/>
  <c r="V38" i="6" s="1"/>
  <c r="T38" i="6" s="1"/>
  <c r="R38" i="6" s="1"/>
  <c r="P38" i="6" s="1"/>
  <c r="N38" i="6" s="1"/>
  <c r="L38" i="6" s="1"/>
  <c r="J38" i="6" s="1"/>
  <c r="L184" i="9"/>
  <c r="L208" i="9"/>
  <c r="N319" i="9"/>
  <c r="L163" i="9"/>
  <c r="L461" i="9"/>
  <c r="J155" i="9"/>
  <c r="L445" i="9"/>
  <c r="L426" i="9"/>
  <c r="N333" i="9"/>
  <c r="N89" i="9"/>
  <c r="N291" i="9"/>
  <c r="J454" i="9"/>
  <c r="L269" i="9"/>
  <c r="AH26" i="6"/>
  <c r="AF26" i="6" s="1"/>
  <c r="AD26" i="6" s="1"/>
  <c r="AB26" i="6" s="1"/>
  <c r="Z26" i="6" s="1"/>
  <c r="X26" i="6" s="1"/>
  <c r="V26" i="6" s="1"/>
  <c r="T26" i="6" s="1"/>
  <c r="R26" i="6" s="1"/>
  <c r="P26" i="6" s="1"/>
  <c r="N26" i="6" s="1"/>
  <c r="L26" i="6" s="1"/>
  <c r="J26" i="6" s="1"/>
  <c r="AH46" i="6"/>
  <c r="AF46" i="6" s="1"/>
  <c r="AD46" i="6" s="1"/>
  <c r="AB46" i="6" s="1"/>
  <c r="Z46" i="6" s="1"/>
  <c r="X46" i="6" s="1"/>
  <c r="V46" i="6" s="1"/>
  <c r="T46" i="6" s="1"/>
  <c r="R46" i="6" s="1"/>
  <c r="P46" i="6" s="1"/>
  <c r="N46" i="6" s="1"/>
  <c r="L46" i="6" s="1"/>
  <c r="J46" i="6" s="1"/>
  <c r="AH136" i="6"/>
  <c r="AF136" i="6" s="1"/>
  <c r="AD136" i="6" s="1"/>
  <c r="AB136" i="6" s="1"/>
  <c r="Z136" i="6" s="1"/>
  <c r="X136" i="6" s="1"/>
  <c r="V136" i="6" s="1"/>
  <c r="T136" i="6" s="1"/>
  <c r="R136" i="6" s="1"/>
  <c r="P136" i="6" s="1"/>
  <c r="N136" i="6" s="1"/>
  <c r="L136" i="6" s="1"/>
  <c r="J136" i="6" s="1"/>
  <c r="AH36" i="6"/>
  <c r="AF36" i="6" s="1"/>
  <c r="AD36" i="6" s="1"/>
  <c r="AB36" i="6" s="1"/>
  <c r="Z36" i="6" s="1"/>
  <c r="X36" i="6" s="1"/>
  <c r="V36" i="6" s="1"/>
  <c r="T36" i="6" s="1"/>
  <c r="R36" i="6" s="1"/>
  <c r="P36" i="6" s="1"/>
  <c r="N36" i="6" s="1"/>
  <c r="L36" i="6" s="1"/>
  <c r="J36" i="6" s="1"/>
  <c r="AH108" i="6"/>
  <c r="AF108" i="6" s="1"/>
  <c r="AD108" i="6" s="1"/>
  <c r="AB108" i="6" s="1"/>
  <c r="Z108" i="6" s="1"/>
  <c r="X108" i="6" s="1"/>
  <c r="V108" i="6" s="1"/>
  <c r="T108" i="6" s="1"/>
  <c r="R108" i="6" s="1"/>
  <c r="P108" i="6" s="1"/>
  <c r="N108" i="6" s="1"/>
  <c r="L108" i="6" s="1"/>
  <c r="J108" i="6" s="1"/>
  <c r="AH142" i="6"/>
  <c r="AF142" i="6" s="1"/>
  <c r="AD142" i="6" s="1"/>
  <c r="AB142" i="6" s="1"/>
  <c r="Z142" i="6" s="1"/>
  <c r="X142" i="6" s="1"/>
  <c r="V142" i="6" s="1"/>
  <c r="T142" i="6" s="1"/>
  <c r="R142" i="6" s="1"/>
  <c r="P142" i="6" s="1"/>
  <c r="N142" i="6" s="1"/>
  <c r="L142" i="6" s="1"/>
  <c r="J142" i="6" s="1"/>
  <c r="AH60" i="6"/>
  <c r="AF60" i="6" s="1"/>
  <c r="AD60" i="6" s="1"/>
  <c r="AB60" i="6" s="1"/>
  <c r="Z60" i="6" s="1"/>
  <c r="X60" i="6" s="1"/>
  <c r="V60" i="6" s="1"/>
  <c r="T60" i="6" s="1"/>
  <c r="R60" i="6" s="1"/>
  <c r="P60" i="6" s="1"/>
  <c r="N60" i="6" s="1"/>
  <c r="L60" i="6" s="1"/>
  <c r="J60" i="6" s="1"/>
  <c r="AH90" i="6"/>
  <c r="AF90" i="6" s="1"/>
  <c r="AD90" i="6" s="1"/>
  <c r="AB90" i="6" s="1"/>
  <c r="Z90" i="6" s="1"/>
  <c r="X90" i="6" s="1"/>
  <c r="V90" i="6" s="1"/>
  <c r="T90" i="6" s="1"/>
  <c r="R90" i="6" s="1"/>
  <c r="P90" i="6" s="1"/>
  <c r="N90" i="6" s="1"/>
  <c r="L90" i="6" s="1"/>
  <c r="J90" i="6" s="1"/>
  <c r="AH20" i="6"/>
  <c r="AF20" i="6" s="1"/>
  <c r="AD20" i="6" s="1"/>
  <c r="AB20" i="6" s="1"/>
  <c r="Z20" i="6" s="1"/>
  <c r="X20" i="6" s="1"/>
  <c r="V20" i="6" s="1"/>
  <c r="T20" i="6" s="1"/>
  <c r="R20" i="6" s="1"/>
  <c r="P20" i="6" s="1"/>
  <c r="N20" i="6" s="1"/>
  <c r="L20" i="6" s="1"/>
  <c r="J20" i="6" s="1"/>
  <c r="AH86" i="6"/>
  <c r="AF86" i="6" s="1"/>
  <c r="AD86" i="6" s="1"/>
  <c r="AB86" i="6" s="1"/>
  <c r="Z86" i="6" s="1"/>
  <c r="X86" i="6" s="1"/>
  <c r="V86" i="6" s="1"/>
  <c r="T86" i="6" s="1"/>
  <c r="R86" i="6" s="1"/>
  <c r="P86" i="6" s="1"/>
  <c r="N86" i="6" s="1"/>
  <c r="L86" i="6" s="1"/>
  <c r="J86" i="6" s="1"/>
  <c r="AH102" i="6"/>
  <c r="AF102" i="6" s="1"/>
  <c r="AD102" i="6" s="1"/>
  <c r="AB102" i="6" s="1"/>
  <c r="Z102" i="6" s="1"/>
  <c r="X102" i="6" s="1"/>
  <c r="V102" i="6" s="1"/>
  <c r="T102" i="6" s="1"/>
  <c r="R102" i="6" s="1"/>
  <c r="P102" i="6" s="1"/>
  <c r="N102" i="6" s="1"/>
  <c r="L102" i="6" s="1"/>
  <c r="J102" i="6" s="1"/>
  <c r="AH118" i="6"/>
  <c r="AF118" i="6" s="1"/>
  <c r="AD118" i="6" s="1"/>
  <c r="AB118" i="6" s="1"/>
  <c r="Z118" i="6" s="1"/>
  <c r="X118" i="6" s="1"/>
  <c r="V118" i="6" s="1"/>
  <c r="T118" i="6" s="1"/>
  <c r="R118" i="6" s="1"/>
  <c r="P118" i="6" s="1"/>
  <c r="N118" i="6" s="1"/>
  <c r="L118" i="6" s="1"/>
  <c r="J118" i="6" s="1"/>
  <c r="AH12" i="6"/>
  <c r="AF12" i="6" s="1"/>
  <c r="AD12" i="6" s="1"/>
  <c r="AB12" i="6" s="1"/>
  <c r="Z12" i="6" s="1"/>
  <c r="X12" i="6" s="1"/>
  <c r="V12" i="6" s="1"/>
  <c r="T12" i="6" s="1"/>
  <c r="R12" i="6" s="1"/>
  <c r="P12" i="6" s="1"/>
  <c r="N12" i="6" s="1"/>
  <c r="L12" i="6" s="1"/>
  <c r="J12" i="6" s="1"/>
  <c r="AH32" i="6"/>
  <c r="AF32" i="6" s="1"/>
  <c r="AD32" i="6" s="1"/>
  <c r="AB32" i="6" s="1"/>
  <c r="Z32" i="6" s="1"/>
  <c r="X32" i="6" s="1"/>
  <c r="V32" i="6" s="1"/>
  <c r="T32" i="6" s="1"/>
  <c r="R32" i="6" s="1"/>
  <c r="P32" i="6" s="1"/>
  <c r="N32" i="6" s="1"/>
  <c r="L32" i="6" s="1"/>
  <c r="J32" i="6" s="1"/>
  <c r="AH42" i="6"/>
  <c r="AF42" i="6" s="1"/>
  <c r="AD42" i="6" s="1"/>
  <c r="AB42" i="6" s="1"/>
  <c r="Z42" i="6" s="1"/>
  <c r="X42" i="6" s="1"/>
  <c r="V42" i="6" s="1"/>
  <c r="T42" i="6" s="1"/>
  <c r="R42" i="6" s="1"/>
  <c r="P42" i="6" s="1"/>
  <c r="N42" i="6" s="1"/>
  <c r="L42" i="6" s="1"/>
  <c r="J42" i="6" s="1"/>
  <c r="AH64" i="6"/>
  <c r="AF64" i="6" s="1"/>
  <c r="AD64" i="6" s="1"/>
  <c r="AB64" i="6" s="1"/>
  <c r="Z64" i="6" s="1"/>
  <c r="X64" i="6" s="1"/>
  <c r="V64" i="6" s="1"/>
  <c r="T64" i="6" s="1"/>
  <c r="R64" i="6" s="1"/>
  <c r="P64" i="6" s="1"/>
  <c r="N64" i="6" s="1"/>
  <c r="L64" i="6" s="1"/>
  <c r="J64" i="6" s="1"/>
  <c r="AH132" i="6"/>
  <c r="AF132" i="6" s="1"/>
  <c r="AD132" i="6" s="1"/>
  <c r="AB132" i="6" s="1"/>
  <c r="Z132" i="6" s="1"/>
  <c r="X132" i="6" s="1"/>
  <c r="V132" i="6" s="1"/>
  <c r="T132" i="6" s="1"/>
  <c r="R132" i="6" s="1"/>
  <c r="P132" i="6" s="1"/>
  <c r="N132" i="6" s="1"/>
  <c r="L132" i="6" s="1"/>
  <c r="J132" i="6" s="1"/>
  <c r="Q163" i="9"/>
  <c r="R163" i="9" s="1"/>
  <c r="L170" i="9"/>
  <c r="Q208" i="9"/>
  <c r="N170" i="9"/>
  <c r="N375" i="9"/>
  <c r="Q408" i="9"/>
  <c r="I75" i="7" s="1"/>
  <c r="J75" i="7" s="1"/>
  <c r="J78" i="9"/>
  <c r="L367" i="9"/>
  <c r="N408" i="9"/>
  <c r="L78" i="9"/>
  <c r="N128" i="9"/>
  <c r="L280" i="9"/>
  <c r="J333" i="9"/>
  <c r="N367" i="9"/>
  <c r="J390" i="9"/>
  <c r="R164" i="9"/>
  <c r="N280" i="9"/>
  <c r="L333" i="9"/>
  <c r="J177" i="9"/>
  <c r="N224" i="9"/>
  <c r="J436" i="9"/>
  <c r="N508" i="9"/>
  <c r="L177" i="9"/>
  <c r="R211" i="9"/>
  <c r="L245" i="9"/>
  <c r="N177" i="9"/>
  <c r="L224" i="9"/>
  <c r="L319" i="9"/>
  <c r="N381" i="9"/>
  <c r="J524" i="9"/>
  <c r="J21" i="9"/>
  <c r="L12" i="9"/>
  <c r="Q92" i="9"/>
  <c r="R92" i="9" s="1"/>
  <c r="N155" i="9"/>
  <c r="Q212" i="9"/>
  <c r="N416" i="9"/>
  <c r="Q445" i="9"/>
  <c r="I79" i="7" s="1"/>
  <c r="J79" i="7" s="1"/>
  <c r="L524" i="9"/>
  <c r="N263" i="9"/>
  <c r="N15" i="9"/>
  <c r="J106" i="9"/>
  <c r="L112" i="9"/>
  <c r="J375" i="9"/>
  <c r="L401" i="9"/>
  <c r="J497" i="9"/>
  <c r="N516" i="9"/>
  <c r="AR40" i="6"/>
  <c r="AR104" i="6"/>
  <c r="AH138" i="6"/>
  <c r="AF138" i="6" s="1"/>
  <c r="AD138" i="6" s="1"/>
  <c r="AB138" i="6" s="1"/>
  <c r="Z138" i="6" s="1"/>
  <c r="X138" i="6" s="1"/>
  <c r="V138" i="6" s="1"/>
  <c r="T138" i="6" s="1"/>
  <c r="R138" i="6" s="1"/>
  <c r="P138" i="6" s="1"/>
  <c r="N138" i="6" s="1"/>
  <c r="L138" i="6" s="1"/>
  <c r="J138" i="6" s="1"/>
  <c r="AH104" i="6"/>
  <c r="AF104" i="6" s="1"/>
  <c r="AD104" i="6" s="1"/>
  <c r="AB104" i="6" s="1"/>
  <c r="Z104" i="6" s="1"/>
  <c r="X104" i="6" s="1"/>
  <c r="V104" i="6" s="1"/>
  <c r="T104" i="6" s="1"/>
  <c r="R104" i="6" s="1"/>
  <c r="P104" i="6" s="1"/>
  <c r="N104" i="6" s="1"/>
  <c r="L104" i="6" s="1"/>
  <c r="J104" i="6" s="1"/>
  <c r="AH56" i="6"/>
  <c r="AF56" i="6" s="1"/>
  <c r="AD56" i="6" s="1"/>
  <c r="AB56" i="6" s="1"/>
  <c r="Z56" i="6" s="1"/>
  <c r="X56" i="6" s="1"/>
  <c r="V56" i="6" s="1"/>
  <c r="T56" i="6" s="1"/>
  <c r="R56" i="6" s="1"/>
  <c r="P56" i="6" s="1"/>
  <c r="N56" i="6" s="1"/>
  <c r="L56" i="6" s="1"/>
  <c r="J56" i="6" s="1"/>
  <c r="AH96" i="6"/>
  <c r="AF96" i="6" s="1"/>
  <c r="AD96" i="6" s="1"/>
  <c r="AB96" i="6" s="1"/>
  <c r="Z96" i="6" s="1"/>
  <c r="X96" i="6" s="1"/>
  <c r="V96" i="6" s="1"/>
  <c r="T96" i="6" s="1"/>
  <c r="R96" i="6" s="1"/>
  <c r="P96" i="6" s="1"/>
  <c r="N96" i="6" s="1"/>
  <c r="L96" i="6" s="1"/>
  <c r="J96" i="6" s="1"/>
  <c r="AH74" i="6"/>
  <c r="AF74" i="6" s="1"/>
  <c r="AD74" i="6" s="1"/>
  <c r="AB74" i="6" s="1"/>
  <c r="Z74" i="6" s="1"/>
  <c r="X74" i="6" s="1"/>
  <c r="V74" i="6" s="1"/>
  <c r="T74" i="6" s="1"/>
  <c r="R74" i="6" s="1"/>
  <c r="P74" i="6" s="1"/>
  <c r="N74" i="6" s="1"/>
  <c r="L74" i="6" s="1"/>
  <c r="J74" i="6" s="1"/>
  <c r="AR58" i="6"/>
  <c r="AR42" i="6"/>
  <c r="AH22" i="6"/>
  <c r="AF22" i="6" s="1"/>
  <c r="AD22" i="6" s="1"/>
  <c r="AB22" i="6" s="1"/>
  <c r="Z22" i="6" s="1"/>
  <c r="X22" i="6" s="1"/>
  <c r="V22" i="6" s="1"/>
  <c r="T22" i="6" s="1"/>
  <c r="R22" i="6" s="1"/>
  <c r="P22" i="6" s="1"/>
  <c r="N22" i="6" s="1"/>
  <c r="L22" i="6" s="1"/>
  <c r="J22" i="6" s="1"/>
  <c r="AH100" i="6"/>
  <c r="AF100" i="6" s="1"/>
  <c r="AD100" i="6" s="1"/>
  <c r="AB100" i="6" s="1"/>
  <c r="Z100" i="6" s="1"/>
  <c r="X100" i="6" s="1"/>
  <c r="V100" i="6" s="1"/>
  <c r="T100" i="6" s="1"/>
  <c r="R100" i="6" s="1"/>
  <c r="P100" i="6" s="1"/>
  <c r="N100" i="6" s="1"/>
  <c r="L100" i="6" s="1"/>
  <c r="J100" i="6" s="1"/>
  <c r="AR108" i="6"/>
  <c r="AH124" i="6"/>
  <c r="AF124" i="6" s="1"/>
  <c r="AD124" i="6" s="1"/>
  <c r="AB124" i="6" s="1"/>
  <c r="Z124" i="6" s="1"/>
  <c r="X124" i="6" s="1"/>
  <c r="V124" i="6" s="1"/>
  <c r="T124" i="6" s="1"/>
  <c r="R124" i="6" s="1"/>
  <c r="P124" i="6" s="1"/>
  <c r="N124" i="6" s="1"/>
  <c r="L124" i="6" s="1"/>
  <c r="J124" i="6" s="1"/>
  <c r="AH16" i="6"/>
  <c r="AF16" i="6" s="1"/>
  <c r="AD16" i="6" s="1"/>
  <c r="AB16" i="6" s="1"/>
  <c r="Z16" i="6" s="1"/>
  <c r="X16" i="6" s="1"/>
  <c r="V16" i="6" s="1"/>
  <c r="T16" i="6" s="1"/>
  <c r="R16" i="6" s="1"/>
  <c r="P16" i="6" s="1"/>
  <c r="N16" i="6" s="1"/>
  <c r="L16" i="6" s="1"/>
  <c r="J16" i="6" s="1"/>
  <c r="AH30" i="6"/>
  <c r="AF30" i="6" s="1"/>
  <c r="AD30" i="6" s="1"/>
  <c r="AB30" i="6" s="1"/>
  <c r="Z30" i="6" s="1"/>
  <c r="X30" i="6" s="1"/>
  <c r="V30" i="6" s="1"/>
  <c r="T30" i="6" s="1"/>
  <c r="R30" i="6" s="1"/>
  <c r="P30" i="6" s="1"/>
  <c r="N30" i="6" s="1"/>
  <c r="L30" i="6" s="1"/>
  <c r="J30" i="6" s="1"/>
  <c r="AH140" i="6"/>
  <c r="AF140" i="6" s="1"/>
  <c r="AD140" i="6" s="1"/>
  <c r="AB140" i="6" s="1"/>
  <c r="Z140" i="6" s="1"/>
  <c r="X140" i="6" s="1"/>
  <c r="V140" i="6" s="1"/>
  <c r="T140" i="6" s="1"/>
  <c r="R140" i="6" s="1"/>
  <c r="P140" i="6" s="1"/>
  <c r="N140" i="6" s="1"/>
  <c r="L140" i="6" s="1"/>
  <c r="J140" i="6" s="1"/>
  <c r="AH48" i="6"/>
  <c r="AF48" i="6" s="1"/>
  <c r="AD48" i="6" s="1"/>
  <c r="AB48" i="6" s="1"/>
  <c r="Z48" i="6" s="1"/>
  <c r="X48" i="6" s="1"/>
  <c r="V48" i="6" s="1"/>
  <c r="T48" i="6" s="1"/>
  <c r="R48" i="6" s="1"/>
  <c r="P48" i="6" s="1"/>
  <c r="N48" i="6" s="1"/>
  <c r="L48" i="6" s="1"/>
  <c r="J48" i="6" s="1"/>
  <c r="AH72" i="6"/>
  <c r="AF72" i="6" s="1"/>
  <c r="AD72" i="6" s="1"/>
  <c r="AB72" i="6" s="1"/>
  <c r="Z72" i="6" s="1"/>
  <c r="X72" i="6" s="1"/>
  <c r="V72" i="6" s="1"/>
  <c r="T72" i="6" s="1"/>
  <c r="R72" i="6" s="1"/>
  <c r="P72" i="6" s="1"/>
  <c r="N72" i="6" s="1"/>
  <c r="L72" i="6" s="1"/>
  <c r="J72" i="6" s="1"/>
  <c r="AH110" i="6"/>
  <c r="AF110" i="6" s="1"/>
  <c r="AD110" i="6" s="1"/>
  <c r="AB110" i="6" s="1"/>
  <c r="Z110" i="6" s="1"/>
  <c r="X110" i="6" s="1"/>
  <c r="V110" i="6" s="1"/>
  <c r="T110" i="6" s="1"/>
  <c r="R110" i="6" s="1"/>
  <c r="P110" i="6" s="1"/>
  <c r="N110" i="6" s="1"/>
  <c r="L110" i="6" s="1"/>
  <c r="J110" i="6" s="1"/>
  <c r="AH126" i="6"/>
  <c r="AF126" i="6" s="1"/>
  <c r="AD126" i="6" s="1"/>
  <c r="AB126" i="6" s="1"/>
  <c r="Z126" i="6" s="1"/>
  <c r="X126" i="6" s="1"/>
  <c r="V126" i="6" s="1"/>
  <c r="T126" i="6" s="1"/>
  <c r="R126" i="6" s="1"/>
  <c r="P126" i="6" s="1"/>
  <c r="N126" i="6" s="1"/>
  <c r="L126" i="6" s="1"/>
  <c r="J126" i="6" s="1"/>
  <c r="AR80" i="6"/>
  <c r="R235" i="9"/>
  <c r="Q234" i="9"/>
  <c r="R234" i="9" s="1"/>
  <c r="N475" i="9"/>
  <c r="Q337" i="9"/>
  <c r="R338" i="9"/>
  <c r="L375" i="9"/>
  <c r="L21" i="9"/>
  <c r="J187" i="9"/>
  <c r="N12" i="9"/>
  <c r="L73" i="9"/>
  <c r="Q177" i="9"/>
  <c r="R177" i="9" s="1"/>
  <c r="Q461" i="9"/>
  <c r="I81" i="7" s="1"/>
  <c r="R462" i="9"/>
  <c r="R93" i="9"/>
  <c r="J214" i="9"/>
  <c r="L339" i="9"/>
  <c r="Q89" i="9"/>
  <c r="R89" i="9" s="1"/>
  <c r="R215" i="9"/>
  <c r="Q214" i="9"/>
  <c r="I55" i="7" s="1"/>
  <c r="J55" i="7" s="1"/>
  <c r="Q375" i="9"/>
  <c r="R376" i="9"/>
  <c r="R323" i="9"/>
  <c r="Q319" i="9"/>
  <c r="I64" i="7" s="1"/>
  <c r="J64" i="7" s="1"/>
  <c r="J508" i="9"/>
  <c r="Q87" i="9"/>
  <c r="R88" i="9"/>
  <c r="J146" i="9"/>
  <c r="Q245" i="9"/>
  <c r="R245" i="9" s="1"/>
  <c r="J43" i="9"/>
  <c r="J170" i="9"/>
  <c r="J193" i="9"/>
  <c r="N204" i="9"/>
  <c r="L305" i="9"/>
  <c r="J208" i="9"/>
  <c r="Q263" i="9"/>
  <c r="R263" i="9" s="1"/>
  <c r="J381" i="9"/>
  <c r="L436" i="9"/>
  <c r="J468" i="9"/>
  <c r="Q491" i="9"/>
  <c r="R491" i="9" s="1"/>
  <c r="L89" i="9"/>
  <c r="N106" i="9"/>
  <c r="J269" i="9"/>
  <c r="Q333" i="9"/>
  <c r="I65" i="7" s="1"/>
  <c r="J65" i="7" s="1"/>
  <c r="N436" i="9"/>
  <c r="L468" i="9"/>
  <c r="J73" i="9"/>
  <c r="J163" i="9"/>
  <c r="N208" i="9"/>
  <c r="Q339" i="9"/>
  <c r="I67" i="7" s="1"/>
  <c r="J67" i="7" s="1"/>
  <c r="J461" i="9"/>
  <c r="J482" i="9"/>
  <c r="J491" i="9"/>
  <c r="L263" i="9"/>
  <c r="L291" i="9"/>
  <c r="N353" i="9"/>
  <c r="L454" i="9"/>
  <c r="J32" i="9"/>
  <c r="J58" i="9"/>
  <c r="N184" i="9"/>
  <c r="N234" i="9"/>
  <c r="N445" i="9"/>
  <c r="N454" i="9"/>
  <c r="J475" i="9"/>
  <c r="N491" i="9"/>
  <c r="J15" i="9"/>
  <c r="R37" i="9"/>
  <c r="J95" i="9"/>
  <c r="L106" i="9"/>
  <c r="J184" i="9"/>
  <c r="N199" i="9"/>
  <c r="N269" i="9"/>
  <c r="N305" i="9"/>
  <c r="Q305" i="9"/>
  <c r="R305" i="9" s="1"/>
  <c r="R342" i="9"/>
  <c r="J401" i="9"/>
  <c r="N426" i="9"/>
  <c r="L475" i="9"/>
  <c r="L353" i="9"/>
  <c r="L146" i="9"/>
  <c r="J12" i="9"/>
  <c r="R97" i="9"/>
  <c r="L155" i="9"/>
  <c r="L234" i="9"/>
  <c r="J408" i="9"/>
  <c r="Q204" i="9"/>
  <c r="I52" i="7" s="1"/>
  <c r="J52" i="7" s="1"/>
  <c r="J367" i="9"/>
  <c r="N401" i="9"/>
  <c r="L408" i="9"/>
  <c r="L416" i="9"/>
  <c r="L508" i="9"/>
  <c r="J516" i="9"/>
  <c r="AH28" i="6"/>
  <c r="AF28" i="6" s="1"/>
  <c r="AD28" i="6" s="1"/>
  <c r="AB28" i="6" s="1"/>
  <c r="Z28" i="6" s="1"/>
  <c r="X28" i="6" s="1"/>
  <c r="V28" i="6" s="1"/>
  <c r="T28" i="6" s="1"/>
  <c r="R28" i="6" s="1"/>
  <c r="P28" i="6" s="1"/>
  <c r="N28" i="6" s="1"/>
  <c r="L28" i="6" s="1"/>
  <c r="J28" i="6" s="1"/>
  <c r="AR100" i="6"/>
  <c r="AH112" i="6"/>
  <c r="AF112" i="6" s="1"/>
  <c r="AD112" i="6" s="1"/>
  <c r="AB112" i="6" s="1"/>
  <c r="Z112" i="6" s="1"/>
  <c r="X112" i="6" s="1"/>
  <c r="V112" i="6" s="1"/>
  <c r="T112" i="6" s="1"/>
  <c r="R112" i="6" s="1"/>
  <c r="P112" i="6" s="1"/>
  <c r="N112" i="6" s="1"/>
  <c r="L112" i="6" s="1"/>
  <c r="J112" i="6" s="1"/>
  <c r="AR126" i="6"/>
  <c r="AH92" i="6"/>
  <c r="AF92" i="6" s="1"/>
  <c r="AD92" i="6" s="1"/>
  <c r="AB92" i="6" s="1"/>
  <c r="Z92" i="6" s="1"/>
  <c r="X92" i="6" s="1"/>
  <c r="V92" i="6" s="1"/>
  <c r="T92" i="6" s="1"/>
  <c r="R92" i="6" s="1"/>
  <c r="P92" i="6" s="1"/>
  <c r="N92" i="6" s="1"/>
  <c r="L92" i="6" s="1"/>
  <c r="J92" i="6" s="1"/>
  <c r="AR30" i="6"/>
  <c r="AR128" i="6"/>
  <c r="AR82" i="6"/>
  <c r="AR106" i="6"/>
  <c r="AR116" i="6"/>
  <c r="AR20" i="6"/>
  <c r="AR50" i="6"/>
  <c r="AR76" i="6"/>
  <c r="AR122" i="6"/>
  <c r="AR62" i="6"/>
  <c r="AR98" i="6"/>
  <c r="AH80" i="6"/>
  <c r="AF80" i="6" s="1"/>
  <c r="AD80" i="6" s="1"/>
  <c r="AB80" i="6" s="1"/>
  <c r="Z80" i="6" s="1"/>
  <c r="X80" i="6" s="1"/>
  <c r="V80" i="6" s="1"/>
  <c r="T80" i="6" s="1"/>
  <c r="R80" i="6" s="1"/>
  <c r="P80" i="6" s="1"/>
  <c r="N80" i="6" s="1"/>
  <c r="L80" i="6" s="1"/>
  <c r="J80" i="6" s="1"/>
  <c r="AR92" i="6"/>
  <c r="AR114" i="6"/>
  <c r="AH76" i="6"/>
  <c r="AF76" i="6" s="1"/>
  <c r="AD76" i="6" s="1"/>
  <c r="AB76" i="6" s="1"/>
  <c r="Z76" i="6" s="1"/>
  <c r="X76" i="6" s="1"/>
  <c r="V76" i="6" s="1"/>
  <c r="T76" i="6" s="1"/>
  <c r="R76" i="6" s="1"/>
  <c r="P76" i="6" s="1"/>
  <c r="N76" i="6" s="1"/>
  <c r="L76" i="6" s="1"/>
  <c r="J76" i="6" s="1"/>
  <c r="AR24" i="6"/>
  <c r="AR36" i="6"/>
  <c r="AR48" i="6"/>
  <c r="AR60" i="6"/>
  <c r="AR74" i="6"/>
  <c r="AR112" i="6"/>
  <c r="AR118" i="6"/>
  <c r="AR72" i="6"/>
  <c r="AR86" i="6"/>
  <c r="AR102" i="6"/>
  <c r="AR132" i="6"/>
  <c r="AR56" i="6"/>
  <c r="AR28" i="6"/>
  <c r="AR34" i="6"/>
  <c r="AR26" i="6"/>
  <c r="AR46" i="6"/>
  <c r="AH66" i="6"/>
  <c r="AF66" i="6" s="1"/>
  <c r="AD66" i="6" s="1"/>
  <c r="AB66" i="6" s="1"/>
  <c r="Z66" i="6" s="1"/>
  <c r="X66" i="6" s="1"/>
  <c r="V66" i="6" s="1"/>
  <c r="T66" i="6" s="1"/>
  <c r="R66" i="6" s="1"/>
  <c r="P66" i="6" s="1"/>
  <c r="N66" i="6" s="1"/>
  <c r="L66" i="6" s="1"/>
  <c r="J66" i="6" s="1"/>
  <c r="AR70" i="6"/>
  <c r="AH98" i="6"/>
  <c r="AF98" i="6" s="1"/>
  <c r="AD98" i="6" s="1"/>
  <c r="AB98" i="6" s="1"/>
  <c r="Z98" i="6" s="1"/>
  <c r="X98" i="6" s="1"/>
  <c r="V98" i="6" s="1"/>
  <c r="T98" i="6" s="1"/>
  <c r="R98" i="6" s="1"/>
  <c r="P98" i="6" s="1"/>
  <c r="N98" i="6" s="1"/>
  <c r="L98" i="6" s="1"/>
  <c r="J98" i="6" s="1"/>
  <c r="AR110" i="6"/>
  <c r="AH114" i="6"/>
  <c r="AF114" i="6" s="1"/>
  <c r="AD114" i="6" s="1"/>
  <c r="AB114" i="6" s="1"/>
  <c r="Z114" i="6" s="1"/>
  <c r="X114" i="6" s="1"/>
  <c r="V114" i="6" s="1"/>
  <c r="T114" i="6" s="1"/>
  <c r="R114" i="6" s="1"/>
  <c r="P114" i="6" s="1"/>
  <c r="N114" i="6" s="1"/>
  <c r="L114" i="6" s="1"/>
  <c r="J114" i="6" s="1"/>
  <c r="AR138" i="6"/>
  <c r="AR22" i="6"/>
  <c r="AR32" i="6"/>
  <c r="AR38" i="6"/>
  <c r="AR44" i="6"/>
  <c r="AR52" i="6"/>
  <c r="AR54" i="6"/>
  <c r="AR64" i="6"/>
  <c r="AR66" i="6"/>
  <c r="AR84" i="6"/>
  <c r="AR90" i="6"/>
  <c r="AR94" i="6"/>
  <c r="AR96" i="6"/>
  <c r="AR120" i="6"/>
  <c r="AR124" i="6"/>
  <c r="AR130" i="6"/>
  <c r="AR78" i="6"/>
  <c r="AR68" i="6"/>
  <c r="AH88" i="6"/>
  <c r="AF88" i="6" s="1"/>
  <c r="AD88" i="6" s="1"/>
  <c r="AB88" i="6" s="1"/>
  <c r="Z88" i="6" s="1"/>
  <c r="X88" i="6" s="1"/>
  <c r="V88" i="6" s="1"/>
  <c r="T88" i="6" s="1"/>
  <c r="R88" i="6" s="1"/>
  <c r="P88" i="6" s="1"/>
  <c r="N88" i="6" s="1"/>
  <c r="L88" i="6" s="1"/>
  <c r="J88" i="6" s="1"/>
  <c r="AR134" i="6"/>
  <c r="AR140" i="6"/>
  <c r="AH130" i="6"/>
  <c r="AF130" i="6" s="1"/>
  <c r="AD130" i="6" s="1"/>
  <c r="AB130" i="6" s="1"/>
  <c r="Z130" i="6" s="1"/>
  <c r="X130" i="6" s="1"/>
  <c r="V130" i="6" s="1"/>
  <c r="T130" i="6" s="1"/>
  <c r="R130" i="6" s="1"/>
  <c r="P130" i="6" s="1"/>
  <c r="N130" i="6" s="1"/>
  <c r="L130" i="6" s="1"/>
  <c r="J130" i="6" s="1"/>
  <c r="AR136" i="6"/>
  <c r="AR88" i="6"/>
  <c r="AR142" i="6"/>
  <c r="Q21" i="9"/>
  <c r="Q224" i="9"/>
  <c r="J291" i="9"/>
  <c r="N73" i="9"/>
  <c r="L15" i="9"/>
  <c r="N78" i="9"/>
  <c r="Q15" i="9"/>
  <c r="R206" i="9"/>
  <c r="Q106" i="9"/>
  <c r="R195" i="9"/>
  <c r="Q280" i="9"/>
  <c r="R281" i="9"/>
  <c r="R16" i="9"/>
  <c r="Q58" i="9"/>
  <c r="R200" i="9"/>
  <c r="Q199" i="9"/>
  <c r="Q269" i="9"/>
  <c r="R419" i="9"/>
  <c r="Q416" i="9"/>
  <c r="R90" i="9"/>
  <c r="R227" i="9"/>
  <c r="J280" i="9"/>
  <c r="Q12" i="9"/>
  <c r="Q112" i="9"/>
  <c r="N112" i="9"/>
  <c r="Q155" i="9"/>
  <c r="Q291" i="9"/>
  <c r="Q401" i="9"/>
  <c r="R517" i="9"/>
  <c r="Q516" i="9"/>
  <c r="Q381" i="9"/>
  <c r="R386" i="9"/>
  <c r="Q436" i="9"/>
  <c r="R358" i="9"/>
  <c r="Q353" i="9"/>
  <c r="L137" i="9"/>
  <c r="N163" i="9"/>
  <c r="L199" i="9"/>
  <c r="J204" i="9"/>
  <c r="J245" i="9"/>
  <c r="R439" i="9"/>
  <c r="N214" i="9"/>
  <c r="J119" i="9"/>
  <c r="J234" i="9"/>
  <c r="N245" i="9"/>
  <c r="J353" i="9"/>
  <c r="L381" i="9"/>
  <c r="J426" i="9"/>
  <c r="R509" i="9"/>
  <c r="Q508" i="9"/>
  <c r="L204" i="9"/>
  <c r="J112" i="9"/>
  <c r="J263" i="9"/>
  <c r="R306" i="9"/>
  <c r="R369" i="9"/>
  <c r="Q367" i="9"/>
  <c r="N468" i="9"/>
  <c r="L516" i="9"/>
  <c r="J224" i="9"/>
  <c r="Q524" i="9"/>
  <c r="Q170" i="9"/>
  <c r="J319" i="9"/>
  <c r="N461" i="9"/>
  <c r="R470" i="9"/>
  <c r="Q468" i="9"/>
  <c r="R476" i="9"/>
  <c r="Q475" i="9"/>
  <c r="L491" i="9"/>
  <c r="J305" i="9"/>
  <c r="N339" i="9"/>
  <c r="N524" i="9"/>
  <c r="J416" i="9"/>
  <c r="J445" i="9"/>
  <c r="J199" i="9"/>
  <c r="Q426" i="9"/>
  <c r="R455" i="9"/>
  <c r="Q454" i="9"/>
  <c r="L497" i="9"/>
  <c r="N497" i="9"/>
  <c r="Q497" i="9"/>
  <c r="D14" i="7"/>
  <c r="C20" i="7"/>
  <c r="G25" i="7"/>
  <c r="C15" i="7"/>
  <c r="C19" i="7"/>
  <c r="C13" i="7"/>
  <c r="C14" i="7"/>
  <c r="D20" i="7"/>
  <c r="D13" i="7"/>
  <c r="J18" i="7" s="1"/>
  <c r="D18" i="7"/>
  <c r="C16" i="7"/>
  <c r="G26" i="7"/>
  <c r="D17" i="7"/>
  <c r="C17" i="7"/>
  <c r="D19" i="7"/>
  <c r="D16" i="7"/>
  <c r="D15" i="7"/>
  <c r="C18" i="7"/>
  <c r="F16" i="7"/>
  <c r="F14" i="7"/>
  <c r="F17" i="7"/>
  <c r="F18" i="7"/>
  <c r="F20" i="7"/>
  <c r="F19" i="7"/>
  <c r="F15" i="7"/>
  <c r="F13" i="7"/>
  <c r="Q146" i="9" l="1"/>
  <c r="R541" i="9"/>
  <c r="R554" i="9"/>
  <c r="I95" i="7"/>
  <c r="J95" i="7" s="1"/>
  <c r="R549" i="9"/>
  <c r="I94" i="7"/>
  <c r="J94" i="7" s="1"/>
  <c r="R546" i="9"/>
  <c r="I93" i="7"/>
  <c r="J93" i="7" s="1"/>
  <c r="Q78" i="9"/>
  <c r="I31" i="7" s="1"/>
  <c r="J31" i="7" s="1"/>
  <c r="R542" i="9"/>
  <c r="R391" i="9"/>
  <c r="Q187" i="9"/>
  <c r="I49" i="7" s="1"/>
  <c r="J49" i="7" s="1"/>
  <c r="Q532" i="9"/>
  <c r="R532" i="9" s="1"/>
  <c r="Q95" i="9"/>
  <c r="I35" i="7" s="1"/>
  <c r="J35" i="7" s="1"/>
  <c r="R45" i="9"/>
  <c r="R537" i="9"/>
  <c r="Q536" i="9"/>
  <c r="Q73" i="9"/>
  <c r="I30" i="7" s="1"/>
  <c r="J30" i="7" s="1"/>
  <c r="Q32" i="9"/>
  <c r="R32" i="9" s="1"/>
  <c r="I73" i="7"/>
  <c r="J73" i="7" s="1"/>
  <c r="Q482" i="9"/>
  <c r="R482" i="9" s="1"/>
  <c r="R104" i="9"/>
  <c r="R105" i="9"/>
  <c r="Q193" i="9"/>
  <c r="I50" i="7" s="1"/>
  <c r="J50" i="7" s="1"/>
  <c r="Q119" i="9"/>
  <c r="R119" i="9" s="1"/>
  <c r="R400" i="9"/>
  <c r="O138" i="9"/>
  <c r="N137" i="9" s="1"/>
  <c r="Q138" i="9"/>
  <c r="R129" i="9"/>
  <c r="R408" i="9"/>
  <c r="I46" i="7"/>
  <c r="J46" i="7" s="1"/>
  <c r="I44" i="7"/>
  <c r="J44" i="7" s="1"/>
  <c r="I57" i="7"/>
  <c r="J57" i="7" s="1"/>
  <c r="R204" i="9"/>
  <c r="I63" i="7"/>
  <c r="J63" i="7" s="1"/>
  <c r="I58" i="7"/>
  <c r="I48" i="7"/>
  <c r="R445" i="9"/>
  <c r="I47" i="7"/>
  <c r="J47" i="7" s="1"/>
  <c r="I34" i="7"/>
  <c r="J34" i="7" s="1"/>
  <c r="R214" i="9"/>
  <c r="I85" i="7"/>
  <c r="J85" i="7" s="1"/>
  <c r="I59" i="7"/>
  <c r="R333" i="9"/>
  <c r="R319" i="9"/>
  <c r="R461" i="9"/>
  <c r="I54" i="7"/>
  <c r="J54" i="7" s="1"/>
  <c r="R212" i="9"/>
  <c r="I53" i="7"/>
  <c r="R208" i="9"/>
  <c r="I28" i="7"/>
  <c r="J28" i="7" s="1"/>
  <c r="R337" i="9"/>
  <c r="I66" i="7"/>
  <c r="I33" i="7"/>
  <c r="J33" i="7" s="1"/>
  <c r="R375" i="9"/>
  <c r="I70" i="7"/>
  <c r="R87" i="9"/>
  <c r="I32" i="7"/>
  <c r="J32" i="7" s="1"/>
  <c r="R339" i="9"/>
  <c r="R15" i="9"/>
  <c r="I25" i="7"/>
  <c r="J25" i="7" s="1"/>
  <c r="R106" i="9"/>
  <c r="I37" i="7"/>
  <c r="J37" i="7" s="1"/>
  <c r="R21" i="9"/>
  <c r="I26" i="7"/>
  <c r="J26" i="7" s="1"/>
  <c r="R524" i="9"/>
  <c r="I89" i="7"/>
  <c r="I74" i="7"/>
  <c r="R401" i="9"/>
  <c r="I68" i="7"/>
  <c r="J68" i="7" s="1"/>
  <c r="R353" i="9"/>
  <c r="I80" i="7"/>
  <c r="R454" i="9"/>
  <c r="I83" i="7"/>
  <c r="R475" i="9"/>
  <c r="I78" i="7"/>
  <c r="J78" i="7" s="1"/>
  <c r="R436" i="9"/>
  <c r="R291" i="9"/>
  <c r="I62" i="7"/>
  <c r="J62" i="7" s="1"/>
  <c r="R58" i="9"/>
  <c r="I29" i="7"/>
  <c r="J29" i="7" s="1"/>
  <c r="I72" i="7"/>
  <c r="R390" i="9"/>
  <c r="R416" i="9"/>
  <c r="I76" i="7"/>
  <c r="J76" i="7" s="1"/>
  <c r="I77" i="7"/>
  <c r="J77" i="7" s="1"/>
  <c r="R426" i="9"/>
  <c r="I82" i="7"/>
  <c r="R468" i="9"/>
  <c r="I71" i="7"/>
  <c r="R381" i="9"/>
  <c r="I42" i="7"/>
  <c r="J42" i="7" s="1"/>
  <c r="R146" i="9"/>
  <c r="R508" i="9"/>
  <c r="I87" i="7"/>
  <c r="R112" i="9"/>
  <c r="I38" i="7"/>
  <c r="J38" i="7" s="1"/>
  <c r="I61" i="7"/>
  <c r="J61" i="7" s="1"/>
  <c r="R280" i="9"/>
  <c r="R155" i="9"/>
  <c r="I43" i="7"/>
  <c r="J43" i="7" s="1"/>
  <c r="I56" i="7"/>
  <c r="J56" i="7" s="1"/>
  <c r="R224" i="9"/>
  <c r="I88" i="7"/>
  <c r="R516" i="9"/>
  <c r="I60" i="7"/>
  <c r="J60" i="7" s="1"/>
  <c r="R269" i="9"/>
  <c r="R12" i="9"/>
  <c r="I24" i="7"/>
  <c r="R497" i="9"/>
  <c r="I86" i="7"/>
  <c r="J86" i="7" s="1"/>
  <c r="I45" i="7"/>
  <c r="J45" i="7" s="1"/>
  <c r="R170" i="9"/>
  <c r="R367" i="9"/>
  <c r="I69" i="7"/>
  <c r="J69" i="7" s="1"/>
  <c r="R128" i="9"/>
  <c r="I40" i="7"/>
  <c r="J40" i="7" s="1"/>
  <c r="I51" i="7"/>
  <c r="R199" i="9"/>
  <c r="F21" i="7"/>
  <c r="J14" i="7" s="1"/>
  <c r="R187" i="9" l="1"/>
  <c r="R78" i="9"/>
  <c r="I90" i="7"/>
  <c r="J90" i="7" s="1"/>
  <c r="I84" i="7"/>
  <c r="J84" i="7" s="1"/>
  <c r="R95" i="9"/>
  <c r="R73" i="9"/>
  <c r="I27" i="7"/>
  <c r="J27" i="7" s="1"/>
  <c r="R536" i="9"/>
  <c r="I91" i="7"/>
  <c r="J91" i="7" s="1"/>
  <c r="R193" i="9"/>
  <c r="I39" i="7"/>
  <c r="J39" i="7" s="1"/>
  <c r="R138" i="9"/>
  <c r="Q137" i="9"/>
  <c r="J24" i="7"/>
  <c r="I41" i="7" l="1"/>
  <c r="R137" i="9"/>
  <c r="G13" i="7"/>
  <c r="G21" i="7" l="1"/>
  <c r="H13" i="7"/>
  <c r="H21" i="7" s="1"/>
  <c r="J41" i="7"/>
  <c r="I13"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<sst xmlns="http://schemas.openxmlformats.org/spreadsheetml/2006/main" count="3112" uniqueCount="1349">
  <si>
    <t>Project Information</t>
  </si>
  <si>
    <t>Template Start Date</t>
  </si>
  <si>
    <t>Reporting Period (w/e)</t>
  </si>
  <si>
    <t>Project Details</t>
  </si>
  <si>
    <t>Project Name</t>
  </si>
  <si>
    <t>Project Number</t>
  </si>
  <si>
    <t>Client</t>
  </si>
  <si>
    <t>Consultant</t>
  </si>
  <si>
    <t>Project Value</t>
  </si>
  <si>
    <t>Project Start Date</t>
  </si>
  <si>
    <t>Project End Date</t>
  </si>
  <si>
    <t>Project Status</t>
  </si>
  <si>
    <t>Live (On-Site)</t>
  </si>
  <si>
    <t>Project Team</t>
  </si>
  <si>
    <t>Procurement Lead</t>
  </si>
  <si>
    <t>Commercial Manager</t>
  </si>
  <si>
    <t>Project Director / Manager</t>
  </si>
  <si>
    <t>Procurement Manager</t>
  </si>
  <si>
    <t>Divisional Manager</t>
  </si>
  <si>
    <t>Procurement Status Summary</t>
  </si>
  <si>
    <t>Work Package Status</t>
  </si>
  <si>
    <t>D1</t>
  </si>
  <si>
    <t>LW</t>
  </si>
  <si>
    <t>CW</t>
  </si>
  <si>
    <t>Status</t>
  </si>
  <si>
    <t>Allowable</t>
  </si>
  <si>
    <t>Cost</t>
  </si>
  <si>
    <t>Margin</t>
  </si>
  <si>
    <t>Margin %</t>
  </si>
  <si>
    <t>Progres</t>
  </si>
  <si>
    <t>Procurement Statistics</t>
  </si>
  <si>
    <t>Awarded</t>
  </si>
  <si>
    <t>Value</t>
  </si>
  <si>
    <t>OBT Ongoing</t>
  </si>
  <si>
    <t>Final Negotiations</t>
  </si>
  <si>
    <t>PTC Stage</t>
  </si>
  <si>
    <t>Commercial Review</t>
  </si>
  <si>
    <t>Count</t>
  </si>
  <si>
    <t>Out To Tender</t>
  </si>
  <si>
    <t>DTP Received</t>
  </si>
  <si>
    <t>Awaiting DTP</t>
  </si>
  <si>
    <t>Sl.No</t>
  </si>
  <si>
    <t>Category</t>
  </si>
  <si>
    <t>Work Package</t>
  </si>
  <si>
    <t>Subcontractor</t>
  </si>
  <si>
    <t>MEP Services</t>
  </si>
  <si>
    <t>Temporary Electrics</t>
  </si>
  <si>
    <t>Substructure Waterproofing (1)</t>
  </si>
  <si>
    <t>Substructure Waterproofing (2)</t>
  </si>
  <si>
    <t>Facade (1)</t>
  </si>
  <si>
    <t>Facade (2)</t>
  </si>
  <si>
    <t>Lifts</t>
  </si>
  <si>
    <t>Earthworks (1)</t>
  </si>
  <si>
    <t>Supply</t>
  </si>
  <si>
    <t>Light Fittings</t>
  </si>
  <si>
    <t>Sanitaryware (1)</t>
  </si>
  <si>
    <t>Sanitaryware (2)</t>
  </si>
  <si>
    <t>Precast</t>
  </si>
  <si>
    <t>Anti-Termite</t>
  </si>
  <si>
    <t>Structural Steel</t>
  </si>
  <si>
    <t>Masonry Labour (1)</t>
  </si>
  <si>
    <t>Concrete Supply - #1</t>
  </si>
  <si>
    <t>Concrete Supply - #2</t>
  </si>
  <si>
    <t>Concrete Supply - #3</t>
  </si>
  <si>
    <t>Reinforcement (1)</t>
  </si>
  <si>
    <t>Masonry materials Supply (1)</t>
  </si>
  <si>
    <t>RCS Labour - #1</t>
  </si>
  <si>
    <t>RCS Labour - #2</t>
  </si>
  <si>
    <t>Precast (Manholes)</t>
  </si>
  <si>
    <t>Scaffolding Hire</t>
  </si>
  <si>
    <t>Kitchen (Mixer) (1)</t>
  </si>
  <si>
    <t>Stonework (1)</t>
  </si>
  <si>
    <t>Stonework (2)</t>
  </si>
  <si>
    <t>Bench &amp; Counter Tops (Supply)</t>
  </si>
  <si>
    <t>Carpentry (Supply)</t>
  </si>
  <si>
    <t>Carpentry (Install)</t>
  </si>
  <si>
    <t>Kitchen (Cabinets)</t>
  </si>
  <si>
    <t>Superstructure Waterproofing (1)</t>
  </si>
  <si>
    <t>Superstructure Waterproofing (2)</t>
  </si>
  <si>
    <t>Cement Plaster (1)</t>
  </si>
  <si>
    <t>EIFS (1)</t>
  </si>
  <si>
    <t>External Cladding (SFS) (1)</t>
  </si>
  <si>
    <t>Plasterboard Ceilings &amp; Partitions (1)</t>
  </si>
  <si>
    <t>Plasterboard Ceilings &amp; Partitions (2)</t>
  </si>
  <si>
    <t>Painting (1)</t>
  </si>
  <si>
    <t>Painting (2)</t>
  </si>
  <si>
    <t>Painting (3)</t>
  </si>
  <si>
    <t>Stone Cladding Supply (Porcelain)</t>
  </si>
  <si>
    <t>Door Hardware</t>
  </si>
  <si>
    <t>Miscellaneous Metalwork (1)</t>
  </si>
  <si>
    <t>Miscellaneous Metalwork (2)</t>
  </si>
  <si>
    <t>Metal Doors</t>
  </si>
  <si>
    <t>Kitchen Equipment</t>
  </si>
  <si>
    <t>Stone Cladding (Porcelain) (1)</t>
  </si>
  <si>
    <t>Stone Cladding (Porcelain) (2)</t>
  </si>
  <si>
    <t>Tiling (Supply)</t>
  </si>
  <si>
    <t>Fireproofing (1)</t>
  </si>
  <si>
    <t>Hard Landscape (1)</t>
  </si>
  <si>
    <t>Screeds (1)</t>
  </si>
  <si>
    <t>Screeds (2)</t>
  </si>
  <si>
    <t>Shower Screens (1)</t>
  </si>
  <si>
    <t>Shower Screens (2)</t>
  </si>
  <si>
    <t>Tiling Labour (1)</t>
  </si>
  <si>
    <t>Tiling Labour (2)</t>
  </si>
  <si>
    <t>Tiling Labour (3)</t>
  </si>
  <si>
    <t>Tiling Labour (4)</t>
  </si>
  <si>
    <t>Roller Shutters</t>
  </si>
  <si>
    <t>Signage</t>
  </si>
  <si>
    <t>Epoxy Coatings</t>
  </si>
  <si>
    <t>GRP Linings</t>
  </si>
  <si>
    <t>Civil Works in MEP (1)</t>
  </si>
  <si>
    <t>Civil Works in MEP (2)</t>
  </si>
  <si>
    <t>Supply of Porcelain cladding</t>
  </si>
  <si>
    <t>Aluminium Doors</t>
  </si>
  <si>
    <t xml:space="preserve">	3,598,860.00</t>
  </si>
  <si>
    <t>Precast Boundary Wall</t>
  </si>
  <si>
    <t>Stone Works (3)</t>
  </si>
  <si>
    <t>Stone works (4)</t>
  </si>
  <si>
    <t>Supply &amp; Installation of Roof Access</t>
  </si>
  <si>
    <t>Supply &amp; Installation of Mirror</t>
  </si>
  <si>
    <t>Procurement Schedule</t>
  </si>
  <si>
    <t>Stage</t>
  </si>
  <si>
    <t>A: Post-Award Strategy Stage</t>
  </si>
  <si>
    <t>B: Tender Stage</t>
  </si>
  <si>
    <t>C: Tender Review Stage</t>
  </si>
  <si>
    <t>D: Award Stage</t>
  </si>
  <si>
    <t>Step</t>
  </si>
  <si>
    <t>A4</t>
  </si>
  <si>
    <t>A5</t>
  </si>
  <si>
    <t>A6</t>
  </si>
  <si>
    <t>B1</t>
  </si>
  <si>
    <t>B2</t>
  </si>
  <si>
    <t>B3</t>
  </si>
  <si>
    <t>B5</t>
  </si>
  <si>
    <t>C1</t>
  </si>
  <si>
    <t>C2</t>
  </si>
  <si>
    <t>C3</t>
  </si>
  <si>
    <t>C5</t>
  </si>
  <si>
    <t>C6</t>
  </si>
  <si>
    <t>C7</t>
  </si>
  <si>
    <t>C8</t>
  </si>
  <si>
    <t>Standard Reference No.</t>
  </si>
  <si>
    <t>Preferred Vendor</t>
  </si>
  <si>
    <t>Package Manager</t>
  </si>
  <si>
    <t>Date Added</t>
  </si>
  <si>
    <t>Entry Type</t>
  </si>
  <si>
    <t>Duration</t>
  </si>
  <si>
    <t>STP Created</t>
  </si>
  <si>
    <t>Provide Link to STP</t>
  </si>
  <si>
    <t>Float RFPs</t>
  </si>
  <si>
    <t>TQ Process</t>
  </si>
  <si>
    <t>TQs Closed</t>
  </si>
  <si>
    <t>Initial Proposals Received</t>
  </si>
  <si>
    <t>Initial Bid Tab</t>
  </si>
  <si>
    <t>PTC Process</t>
  </si>
  <si>
    <t>PTC Closed</t>
  </si>
  <si>
    <t>LAFO Proposal Received</t>
  </si>
  <si>
    <t>Final Bid Tab</t>
  </si>
  <si>
    <t>TRF Created</t>
  </si>
  <si>
    <t>Uploaded to OBT</t>
  </si>
  <si>
    <t>OBT Ref</t>
  </si>
  <si>
    <t>LPO/ LOA/ SOA Issue Date</t>
  </si>
  <si>
    <t>Date of Last Action</t>
  </si>
  <si>
    <t>Comments</t>
  </si>
  <si>
    <t>F0101</t>
  </si>
  <si>
    <t>BASHEER</t>
  </si>
  <si>
    <t>Planned</t>
  </si>
  <si>
    <t xml:space="preserve">Awarded with Dutco MEP </t>
  </si>
  <si>
    <t>Actual</t>
  </si>
  <si>
    <t xml:space="preserve">Duration for procurement </t>
  </si>
  <si>
    <t>A1406</t>
  </si>
  <si>
    <t>D0501</t>
  </si>
  <si>
    <t>VAIBHAV</t>
  </si>
  <si>
    <t>Awarded with TWIC</t>
  </si>
  <si>
    <t>Awarded with Al Nahda</t>
  </si>
  <si>
    <t>D0729</t>
  </si>
  <si>
    <t>MANI</t>
  </si>
  <si>
    <t xml:space="preserve">Awarded with Al Qassim </t>
  </si>
  <si>
    <t xml:space="preserve">15004	 </t>
  </si>
  <si>
    <t xml:space="preserve">Awarded with Eastern </t>
  </si>
  <si>
    <t>F0201</t>
  </si>
  <si>
    <t>B0301</t>
  </si>
  <si>
    <t>Awarded with Fala Contracting</t>
  </si>
  <si>
    <t>F0130</t>
  </si>
  <si>
    <t xml:space="preserve">LPO Under Process </t>
  </si>
  <si>
    <t>F0129</t>
  </si>
  <si>
    <t xml:space="preserve">Awarded with Al Futtaim </t>
  </si>
  <si>
    <t xml:space="preserve">Awarded with  German Home </t>
  </si>
  <si>
    <t>D0101</t>
  </si>
  <si>
    <t>Awarded with Gulf Precast.</t>
  </si>
  <si>
    <t>B0309</t>
  </si>
  <si>
    <t>Awarded to Wipe Out.</t>
  </si>
  <si>
    <t>D0201</t>
  </si>
  <si>
    <t>Part of Aluminium Package ( 5 &amp; 6 )</t>
  </si>
  <si>
    <t>D0411</t>
  </si>
  <si>
    <t>MUFFADAL</t>
  </si>
  <si>
    <t>As discussed and agreed in the Meeting on 01/06/2026 all RCC works including Substructure to be Carried out by Structural Division. 
No further action from procurement</t>
  </si>
  <si>
    <t>C0101</t>
  </si>
  <si>
    <t>Awarded with RMB.</t>
  </si>
  <si>
    <t>Awarded with Green Concrete.</t>
  </si>
  <si>
    <t>Awarded with Cemex.</t>
  </si>
  <si>
    <t>C0301</t>
  </si>
  <si>
    <t>Awarded to Steel Middle East (Conares)</t>
  </si>
  <si>
    <t>D0406</t>
  </si>
  <si>
    <t>MUFADDAL</t>
  </si>
  <si>
    <t>As discussed and agreed today in the Meeting all RCC works including Substructure to be Carried out by Structural Division. 
No further action from procurement.</t>
  </si>
  <si>
    <t>C0501</t>
  </si>
  <si>
    <t>Order concluded with AQC ( NTP issued )</t>
  </si>
  <si>
    <t>C0502</t>
  </si>
  <si>
    <t>As discussed and agreed today in the Meeting all RCC works including Substructure to be Carried out by Structural Division. 
No further action from procurement</t>
  </si>
  <si>
    <t>SITE TEAM</t>
  </si>
  <si>
    <t>OBT Under Approval  ( AMPS )</t>
  </si>
  <si>
    <t>A2006</t>
  </si>
  <si>
    <t xml:space="preserve">Site team needs to coordinate with DBB Scaffolding </t>
  </si>
  <si>
    <t>E0606</t>
  </si>
  <si>
    <t>E0506</t>
  </si>
  <si>
    <t xml:space="preserve">Awarded with Imada </t>
  </si>
  <si>
    <t xml:space="preserve">Awarded with Marbeya </t>
  </si>
  <si>
    <t xml:space="preserve">Kitchen Top &amp; Vanity Counter Top Works </t>
  </si>
  <si>
    <t>E0511</t>
  </si>
  <si>
    <t>E0201</t>
  </si>
  <si>
    <t xml:space="preserve">Kitchen Cabinets &amp; Wardrobes </t>
  </si>
  <si>
    <t>D0510</t>
  </si>
  <si>
    <t>D0611</t>
  </si>
  <si>
    <t>Site team To conclude</t>
  </si>
  <si>
    <t>D0728</t>
  </si>
  <si>
    <t>D0724</t>
  </si>
  <si>
    <t>E0401</t>
  </si>
  <si>
    <t xml:space="preserve">17230	 </t>
  </si>
  <si>
    <t>E0801</t>
  </si>
  <si>
    <t>BIDTAB Process</t>
  </si>
  <si>
    <t>D0903</t>
  </si>
  <si>
    <t xml:space="preserve">16076	 </t>
  </si>
  <si>
    <t>E0203</t>
  </si>
  <si>
    <t>E0101</t>
  </si>
  <si>
    <t xml:space="preserve">Dutco Metal Division - 149 Villa </t>
  </si>
  <si>
    <t xml:space="preserve">Emerge Steel - 50 Villa </t>
  </si>
  <si>
    <t>E0209</t>
  </si>
  <si>
    <t>Order Concluded with Eastern ( Only on Guard House )</t>
  </si>
  <si>
    <t>E1101</t>
  </si>
  <si>
    <t>Site Confirmed Package will be finalized by EMAR</t>
  </si>
  <si>
    <t>D0905</t>
  </si>
  <si>
    <t>E0501</t>
  </si>
  <si>
    <t xml:space="preserve">	RAK Ceramics PJSC</t>
  </si>
  <si>
    <t>F0309</t>
  </si>
  <si>
    <t>G0106</t>
  </si>
  <si>
    <t>Topping Screeds (1)</t>
  </si>
  <si>
    <t>D0601</t>
  </si>
  <si>
    <t>Architectural Screeds (2)</t>
  </si>
  <si>
    <t>E0911</t>
  </si>
  <si>
    <t>E0517</t>
  </si>
  <si>
    <t>Site team to Conclude order</t>
  </si>
  <si>
    <t>E0126</t>
  </si>
  <si>
    <t>E1001</t>
  </si>
  <si>
    <t>E0811</t>
  </si>
  <si>
    <t xml:space="preserve">Part of painting scope </t>
  </si>
  <si>
    <t>D0506</t>
  </si>
  <si>
    <t>F0305</t>
  </si>
  <si>
    <t>E0503</t>
  </si>
  <si>
    <t xml:space="preserve">	16159</t>
  </si>
  <si>
    <t xml:space="preserve">Awarded with Casamia </t>
  </si>
  <si>
    <t>E0207</t>
  </si>
  <si>
    <t>Awarded with Mouldex</t>
  </si>
  <si>
    <t>D0901</t>
  </si>
  <si>
    <t>E0901</t>
  </si>
  <si>
    <t>Procurement Strategy</t>
  </si>
  <si>
    <t>Prime Package</t>
  </si>
  <si>
    <t>Vendor Instance</t>
  </si>
  <si>
    <t>Vendors</t>
  </si>
  <si>
    <t>Initial Proposal</t>
  </si>
  <si>
    <t>RO_Rank</t>
  </si>
  <si>
    <t>BAFO</t>
  </si>
  <si>
    <t>BAFO_Rank</t>
  </si>
  <si>
    <t>LAFO</t>
  </si>
  <si>
    <t>LAFO_Rank</t>
  </si>
  <si>
    <t>Remarks</t>
  </si>
  <si>
    <t>Yes</t>
  </si>
  <si>
    <t xml:space="preserve">	Al Nahda</t>
  </si>
  <si>
    <t>Al Shirawi</t>
  </si>
  <si>
    <t xml:space="preserve">Twic </t>
  </si>
  <si>
    <t xml:space="preserve">Al Qassim </t>
  </si>
  <si>
    <t xml:space="preserve">Eastern </t>
  </si>
  <si>
    <t xml:space="preserve">Ashbilia </t>
  </si>
  <si>
    <t xml:space="preserve">Ineventure </t>
  </si>
  <si>
    <t xml:space="preserve">National </t>
  </si>
  <si>
    <t xml:space="preserve">Kone </t>
  </si>
  <si>
    <t xml:space="preserve">Fala Building </t>
  </si>
  <si>
    <t xml:space="preserve">Gulf Precast </t>
  </si>
  <si>
    <t xml:space="preserve">Wipe Out </t>
  </si>
  <si>
    <t>RMB</t>
  </si>
  <si>
    <t>Green Concrete</t>
  </si>
  <si>
    <t>Cemex Topmix LLC</t>
  </si>
  <si>
    <t>Steel Middle (Conaras)</t>
  </si>
  <si>
    <t xml:space="preserve">Imada </t>
  </si>
  <si>
    <t xml:space="preserve">Marbeya </t>
  </si>
  <si>
    <t xml:space="preserve">Favorite Plus  </t>
  </si>
  <si>
    <t>Graniti</t>
  </si>
  <si>
    <t xml:space="preserve">RAK </t>
  </si>
  <si>
    <t xml:space="preserve">Bin Dasmal </t>
  </si>
  <si>
    <t xml:space="preserve">Casamia </t>
  </si>
  <si>
    <t>MOULDEX</t>
  </si>
  <si>
    <t xml:space="preserve">Stonetta </t>
  </si>
  <si>
    <t xml:space="preserve">Al Shafar </t>
  </si>
  <si>
    <t>Work Package Input</t>
  </si>
  <si>
    <t>Sl. No</t>
  </si>
  <si>
    <t>Work Package (Specific)</t>
  </si>
  <si>
    <t>Work Package Standard</t>
  </si>
  <si>
    <t>Package Category</t>
  </si>
  <si>
    <t>No. of Instances</t>
  </si>
  <si>
    <t>Prime Package Y/N</t>
  </si>
  <si>
    <t>Tender Allowance</t>
  </si>
  <si>
    <t>Basheer</t>
  </si>
  <si>
    <t>Substructure Waterproofing</t>
  </si>
  <si>
    <t>Syed</t>
  </si>
  <si>
    <t>Facade</t>
  </si>
  <si>
    <t>Mani</t>
  </si>
  <si>
    <t>Earthworks</t>
  </si>
  <si>
    <t>Earthworks (2)</t>
  </si>
  <si>
    <t>Sanitaryware</t>
  </si>
  <si>
    <t>Masonry Labour</t>
  </si>
  <si>
    <t>Masonry Labour (2)</t>
  </si>
  <si>
    <t>Masonry Labour (3)</t>
  </si>
  <si>
    <t>Concrete Supply - #4</t>
  </si>
  <si>
    <t>Reinforcement</t>
  </si>
  <si>
    <t>Reinforcement (2)</t>
  </si>
  <si>
    <t>Masonry Materials Supply</t>
  </si>
  <si>
    <t>Masonry Materials Supply (2)</t>
  </si>
  <si>
    <t>DBB-S</t>
  </si>
  <si>
    <t>Kitchen (Sink)</t>
  </si>
  <si>
    <t>Kitchen</t>
  </si>
  <si>
    <t>Kitchen (Mixer) (2)</t>
  </si>
  <si>
    <t>Stonework</t>
  </si>
  <si>
    <t>Bench &amp; Counter Tops</t>
  </si>
  <si>
    <t>Bench &amp; COunter Tops (Install)</t>
  </si>
  <si>
    <t>Carpentry</t>
  </si>
  <si>
    <t>Superstructure Waterproofing</t>
  </si>
  <si>
    <t>Cement Plaster</t>
  </si>
  <si>
    <t>Cement Plaster (2)</t>
  </si>
  <si>
    <t>EIFS</t>
  </si>
  <si>
    <t>EIFS (2)</t>
  </si>
  <si>
    <t>EIFS (3)</t>
  </si>
  <si>
    <t>External Cladding</t>
  </si>
  <si>
    <t>External Cladding (SFS) (2)</t>
  </si>
  <si>
    <t>External Cladding (SFS) (3)</t>
  </si>
  <si>
    <t>External Cladding (SFS) (4)</t>
  </si>
  <si>
    <t>Plasterboard Ceilings &amp; Paritions</t>
  </si>
  <si>
    <t>Plasterboard Ceilings &amp; Partitions (3)</t>
  </si>
  <si>
    <t>Plasterboard Ceilings &amp; Partitions (4)</t>
  </si>
  <si>
    <t>Painting</t>
  </si>
  <si>
    <t>Painting (4)</t>
  </si>
  <si>
    <t>Stone Cladding Supply</t>
  </si>
  <si>
    <t>Miscellaneous Metalwork</t>
  </si>
  <si>
    <t>Stone Cladding Install</t>
  </si>
  <si>
    <t>Tiling</t>
  </si>
  <si>
    <t>Fireproofing</t>
  </si>
  <si>
    <t>Fireproofing (2)</t>
  </si>
  <si>
    <t>Hard Landscape</t>
  </si>
  <si>
    <t>Hard Landscape (2)</t>
  </si>
  <si>
    <t>Screeds</t>
  </si>
  <si>
    <t>Shower Screens</t>
  </si>
  <si>
    <t>Tiling Labour</t>
  </si>
  <si>
    <t>Waste Management</t>
  </si>
  <si>
    <t>E1117</t>
  </si>
  <si>
    <t>Tiling (Accessories)</t>
  </si>
  <si>
    <t>Civil Works in MEP</t>
  </si>
  <si>
    <t>Work Package Master List</t>
  </si>
  <si>
    <t>Total Count</t>
  </si>
  <si>
    <t>Total Days</t>
  </si>
  <si>
    <t>A0101</t>
  </si>
  <si>
    <t>Tender Write-Off Costs</t>
  </si>
  <si>
    <t>A0102</t>
  </si>
  <si>
    <t>Reserved for future use</t>
  </si>
  <si>
    <t>A0103</t>
  </si>
  <si>
    <t>A0104</t>
  </si>
  <si>
    <t>A0105</t>
  </si>
  <si>
    <t>A0201</t>
  </si>
  <si>
    <t>Staff Salaries</t>
  </si>
  <si>
    <t>A0206</t>
  </si>
  <si>
    <t>Incentives</t>
  </si>
  <si>
    <t>A0211</t>
  </si>
  <si>
    <t>DLP Maintenance</t>
  </si>
  <si>
    <t>A0212</t>
  </si>
  <si>
    <t>A0213</t>
  </si>
  <si>
    <t>A0214</t>
  </si>
  <si>
    <t>A0215</t>
  </si>
  <si>
    <t>A0216</t>
  </si>
  <si>
    <t>A0301</t>
  </si>
  <si>
    <t>Indirect Labour</t>
  </si>
  <si>
    <t>A0306</t>
  </si>
  <si>
    <t>Crane Crew</t>
  </si>
  <si>
    <t>A0311</t>
  </si>
  <si>
    <t>Drivers</t>
  </si>
  <si>
    <t>A0312</t>
  </si>
  <si>
    <t>A0313</t>
  </si>
  <si>
    <t>A0314</t>
  </si>
  <si>
    <t>A0315</t>
  </si>
  <si>
    <t>A0316</t>
  </si>
  <si>
    <t>A0401</t>
  </si>
  <si>
    <t>Head Office Overheads</t>
  </si>
  <si>
    <t>A0403</t>
  </si>
  <si>
    <t>Staff Travel and Accommodation</t>
  </si>
  <si>
    <t>A0405</t>
  </si>
  <si>
    <t>Training Costs</t>
  </si>
  <si>
    <t>A0407</t>
  </si>
  <si>
    <t>Entertainment Employees Off Site</t>
  </si>
  <si>
    <t>A0409</t>
  </si>
  <si>
    <t>Recruitment</t>
  </si>
  <si>
    <t>A0411</t>
  </si>
  <si>
    <t>Petty Cash Recharge</t>
  </si>
  <si>
    <t>A0412</t>
  </si>
  <si>
    <t>A0413</t>
  </si>
  <si>
    <t>A0414</t>
  </si>
  <si>
    <t>A0415</t>
  </si>
  <si>
    <t>A0416</t>
  </si>
  <si>
    <t>A0417</t>
  </si>
  <si>
    <t>A0501</t>
  </si>
  <si>
    <t>Administration Fees</t>
  </si>
  <si>
    <t>A0503</t>
  </si>
  <si>
    <t>Municipal Permits</t>
  </si>
  <si>
    <t>A0505</t>
  </si>
  <si>
    <t>Legal Fees</t>
  </si>
  <si>
    <t>A0506</t>
  </si>
  <si>
    <t>A0507</t>
  </si>
  <si>
    <t>A0508</t>
  </si>
  <si>
    <t>A0509</t>
  </si>
  <si>
    <t>A0510</t>
  </si>
  <si>
    <t>A0511</t>
  </si>
  <si>
    <t>A0601</t>
  </si>
  <si>
    <t>Premiums</t>
  </si>
  <si>
    <t>A0603</t>
  </si>
  <si>
    <t>Contractor's All Risk</t>
  </si>
  <si>
    <t>A0605</t>
  </si>
  <si>
    <t>Professional Indemnity</t>
  </si>
  <si>
    <t>A0607</t>
  </si>
  <si>
    <t>Third Party Liability</t>
  </si>
  <si>
    <t>A0609</t>
  </si>
  <si>
    <t>Others</t>
  </si>
  <si>
    <t>A0610</t>
  </si>
  <si>
    <t>A0611</t>
  </si>
  <si>
    <t>A0612</t>
  </si>
  <si>
    <t>A0613</t>
  </si>
  <si>
    <t>A0614</t>
  </si>
  <si>
    <t>A0615</t>
  </si>
  <si>
    <t>A0701</t>
  </si>
  <si>
    <t>Bonds</t>
  </si>
  <si>
    <t>A0703</t>
  </si>
  <si>
    <t>Bank Guarantees</t>
  </si>
  <si>
    <t>A0704</t>
  </si>
  <si>
    <t>A0705</t>
  </si>
  <si>
    <t>A0706</t>
  </si>
  <si>
    <t>A0707</t>
  </si>
  <si>
    <t>A0708</t>
  </si>
  <si>
    <t>A0709</t>
  </si>
  <si>
    <t>A0801</t>
  </si>
  <si>
    <t>Small Tools Purchase</t>
  </si>
  <si>
    <t>A0803</t>
  </si>
  <si>
    <t>Consumables</t>
  </si>
  <si>
    <t>A0805</t>
  </si>
  <si>
    <t>Stationery</t>
  </si>
  <si>
    <t>A0807</t>
  </si>
  <si>
    <t>Plan Printing &amp; Site Photographs</t>
  </si>
  <si>
    <t>A0809</t>
  </si>
  <si>
    <t>Kitchen Supplies</t>
  </si>
  <si>
    <t>A0811</t>
  </si>
  <si>
    <t>Refreshments</t>
  </si>
  <si>
    <t>A0812</t>
  </si>
  <si>
    <t>A0813</t>
  </si>
  <si>
    <t>A0814</t>
  </si>
  <si>
    <t>A0815</t>
  </si>
  <si>
    <t>A0816</t>
  </si>
  <si>
    <t>A0817</t>
  </si>
  <si>
    <t>A0901</t>
  </si>
  <si>
    <t>Staff Travel Expenses</t>
  </si>
  <si>
    <t>A0902</t>
  </si>
  <si>
    <t>A0903</t>
  </si>
  <si>
    <t>A0904</t>
  </si>
  <si>
    <t>A0905</t>
  </si>
  <si>
    <t>A0906</t>
  </si>
  <si>
    <t>A0907</t>
  </si>
  <si>
    <t>A1001</t>
  </si>
  <si>
    <t>IT Equipment</t>
  </si>
  <si>
    <t>A1006</t>
  </si>
  <si>
    <t>Internet</t>
  </si>
  <si>
    <t>A1011</t>
  </si>
  <si>
    <t>Document Management</t>
  </si>
  <si>
    <t>A1012</t>
  </si>
  <si>
    <t>A1013</t>
  </si>
  <si>
    <t>A1014</t>
  </si>
  <si>
    <t>A1015</t>
  </si>
  <si>
    <t>A1016</t>
  </si>
  <si>
    <t>A1017</t>
  </si>
  <si>
    <t>A1101</t>
  </si>
  <si>
    <t>Hoarding</t>
  </si>
  <si>
    <t>A1106</t>
  </si>
  <si>
    <t>Temporary Fencing</t>
  </si>
  <si>
    <t>A1111</t>
  </si>
  <si>
    <t>Traffic Barriers</t>
  </si>
  <si>
    <t>A1116</t>
  </si>
  <si>
    <t>Decals, Signage &amp; Graphics</t>
  </si>
  <si>
    <t>A1117</t>
  </si>
  <si>
    <t>A1118</t>
  </si>
  <si>
    <t>A1119</t>
  </si>
  <si>
    <t>A1120</t>
  </si>
  <si>
    <t>A1121</t>
  </si>
  <si>
    <t>A1122</t>
  </si>
  <si>
    <t>A1201</t>
  </si>
  <si>
    <t>Security Access Cards And Permits</t>
  </si>
  <si>
    <t>A1206</t>
  </si>
  <si>
    <t>Security Equipment</t>
  </si>
  <si>
    <t>A1211</t>
  </si>
  <si>
    <t>CCTV Equipment</t>
  </si>
  <si>
    <t>A1212</t>
  </si>
  <si>
    <t>A1213</t>
  </si>
  <si>
    <t>A1214</t>
  </si>
  <si>
    <t>A1215</t>
  </si>
  <si>
    <t>A1216</t>
  </si>
  <si>
    <t>A1217</t>
  </si>
  <si>
    <t>A1301</t>
  </si>
  <si>
    <t>Access Roads and Ramps</t>
  </si>
  <si>
    <t>A1302</t>
  </si>
  <si>
    <t>Site Office Land Rental</t>
  </si>
  <si>
    <t>A1303</t>
  </si>
  <si>
    <t>Site Office Establishment</t>
  </si>
  <si>
    <t>A1305</t>
  </si>
  <si>
    <t>Site Toilets</t>
  </si>
  <si>
    <t>A1307</t>
  </si>
  <si>
    <t>Amenities for Labour</t>
  </si>
  <si>
    <t>A1309</t>
  </si>
  <si>
    <t>Furniture and Office Equipment</t>
  </si>
  <si>
    <t>A1311</t>
  </si>
  <si>
    <t>Pest Control</t>
  </si>
  <si>
    <t>A1313</t>
  </si>
  <si>
    <t>Project Signboard</t>
  </si>
  <si>
    <t>A1315</t>
  </si>
  <si>
    <t>Staff Parking</t>
  </si>
  <si>
    <t>A1317</t>
  </si>
  <si>
    <t>Engineers Testing</t>
  </si>
  <si>
    <t>A1318</t>
  </si>
  <si>
    <t>A1319</t>
  </si>
  <si>
    <t>A1320</t>
  </si>
  <si>
    <t>A1321</t>
  </si>
  <si>
    <t>A1322</t>
  </si>
  <si>
    <t>A1323</t>
  </si>
  <si>
    <t>A1401</t>
  </si>
  <si>
    <t>Establishment</t>
  </si>
  <si>
    <t>A1411</t>
  </si>
  <si>
    <t>Temporary Water</t>
  </si>
  <si>
    <t>A1415</t>
  </si>
  <si>
    <t>Wild Air</t>
  </si>
  <si>
    <t>A1416</t>
  </si>
  <si>
    <t>A1417</t>
  </si>
  <si>
    <t>A1418</t>
  </si>
  <si>
    <t>A1419</t>
  </si>
  <si>
    <t>A1420</t>
  </si>
  <si>
    <t>A1421</t>
  </si>
  <si>
    <t>A1501</t>
  </si>
  <si>
    <t>Radios</t>
  </si>
  <si>
    <t>A1506</t>
  </si>
  <si>
    <t>Staff Mobile Phones</t>
  </si>
  <si>
    <t>A1507</t>
  </si>
  <si>
    <t>A1508</t>
  </si>
  <si>
    <t>A1509</t>
  </si>
  <si>
    <t>A1510</t>
  </si>
  <si>
    <t>A1511</t>
  </si>
  <si>
    <t>A1512</t>
  </si>
  <si>
    <t>A1601</t>
  </si>
  <si>
    <t>Survey Equipment</t>
  </si>
  <si>
    <t>A1606</t>
  </si>
  <si>
    <t>Dilapidation Report</t>
  </si>
  <si>
    <t>A1607</t>
  </si>
  <si>
    <t>A1608</t>
  </si>
  <si>
    <t>A1609</t>
  </si>
  <si>
    <t>A1610</t>
  </si>
  <si>
    <t>A1611</t>
  </si>
  <si>
    <t>A1612</t>
  </si>
  <si>
    <t>A1701</t>
  </si>
  <si>
    <t>Cleaning consumables</t>
  </si>
  <si>
    <t>A1706</t>
  </si>
  <si>
    <t>Bins &amp; Rubble Removal</t>
  </si>
  <si>
    <t>A1711</t>
  </si>
  <si>
    <t>Final Clean</t>
  </si>
  <si>
    <t>A1716</t>
  </si>
  <si>
    <t>Protection Requirements</t>
  </si>
  <si>
    <t>A1717</t>
  </si>
  <si>
    <t>A1718</t>
  </si>
  <si>
    <t>A1719</t>
  </si>
  <si>
    <t>A1720</t>
  </si>
  <si>
    <t>A1721</t>
  </si>
  <si>
    <t>A1722</t>
  </si>
  <si>
    <t>A1801</t>
  </si>
  <si>
    <t>Protective Clothing</t>
  </si>
  <si>
    <t>A1805</t>
  </si>
  <si>
    <t>Safety Equipment and Signage</t>
  </si>
  <si>
    <t>A1807</t>
  </si>
  <si>
    <t>First Aid Consumables</t>
  </si>
  <si>
    <t>A1809</t>
  </si>
  <si>
    <t xml:space="preserve">Wheel Wash </t>
  </si>
  <si>
    <t>A1813</t>
  </si>
  <si>
    <t>Dust &amp; Noise Controls</t>
  </si>
  <si>
    <t>A1814</t>
  </si>
  <si>
    <t>A1815</t>
  </si>
  <si>
    <t>A1816</t>
  </si>
  <si>
    <t>A1817</t>
  </si>
  <si>
    <t>A1818</t>
  </si>
  <si>
    <t>A1819</t>
  </si>
  <si>
    <t>A1901</t>
  </si>
  <si>
    <t>Tool and Equipment Purchase</t>
  </si>
  <si>
    <t>A1907</t>
  </si>
  <si>
    <t>Tool and Equipment Hire</t>
  </si>
  <si>
    <t>A1913</t>
  </si>
  <si>
    <t>Loading Platforms</t>
  </si>
  <si>
    <t>A1914</t>
  </si>
  <si>
    <t>A1915</t>
  </si>
  <si>
    <t>A1916</t>
  </si>
  <si>
    <t>A1917</t>
  </si>
  <si>
    <t>A1918</t>
  </si>
  <si>
    <t>A1919</t>
  </si>
  <si>
    <t>A2001</t>
  </si>
  <si>
    <t>Scaffolding Purchase</t>
  </si>
  <si>
    <t>A2011</t>
  </si>
  <si>
    <t>Scaffolding Labour</t>
  </si>
  <si>
    <t>A2012</t>
  </si>
  <si>
    <t>A2013</t>
  </si>
  <si>
    <t>A2014</t>
  </si>
  <si>
    <t>A2015</t>
  </si>
  <si>
    <t>A2016</t>
  </si>
  <si>
    <t>A2017</t>
  </si>
  <si>
    <t>A2101</t>
  </si>
  <si>
    <t>Hoists</t>
  </si>
  <si>
    <t>A2106</t>
  </si>
  <si>
    <t>Tower Cranes</t>
  </si>
  <si>
    <t>A2111</t>
  </si>
  <si>
    <t>Mobile Cranes</t>
  </si>
  <si>
    <t>A2116</t>
  </si>
  <si>
    <t>Excavators</t>
  </si>
  <si>
    <t>A2121</t>
  </si>
  <si>
    <t>Backhoe Loaders</t>
  </si>
  <si>
    <t>A2123</t>
  </si>
  <si>
    <t>Boom Lifts</t>
  </si>
  <si>
    <t>A2124</t>
  </si>
  <si>
    <t>Scissor Lift</t>
  </si>
  <si>
    <t>A2126</t>
  </si>
  <si>
    <t>Rollers</t>
  </si>
  <si>
    <t>A2131</t>
  </si>
  <si>
    <t>Generators</t>
  </si>
  <si>
    <t>A2133</t>
  </si>
  <si>
    <t>Water Tankers</t>
  </si>
  <si>
    <t>A2136</t>
  </si>
  <si>
    <t>Builder's Equipment</t>
  </si>
  <si>
    <t>A2141</t>
  </si>
  <si>
    <t>Site Vehicles</t>
  </si>
  <si>
    <t>A2145</t>
  </si>
  <si>
    <t>Plant - Other</t>
  </si>
  <si>
    <t>A2151</t>
  </si>
  <si>
    <t>Fuel</t>
  </si>
  <si>
    <t>A2152</t>
  </si>
  <si>
    <t>A2153</t>
  </si>
  <si>
    <t>A2154</t>
  </si>
  <si>
    <t>A2155</t>
  </si>
  <si>
    <t>A2156</t>
  </si>
  <si>
    <t>A2157</t>
  </si>
  <si>
    <t>A2201</t>
  </si>
  <si>
    <t>Attendance on Subcontractors</t>
  </si>
  <si>
    <t>A2202</t>
  </si>
  <si>
    <t>A2203</t>
  </si>
  <si>
    <t>A2204</t>
  </si>
  <si>
    <t>A2205</t>
  </si>
  <si>
    <t>A2206</t>
  </si>
  <si>
    <t>A2207</t>
  </si>
  <si>
    <t>B0101</t>
  </si>
  <si>
    <t>Demolition</t>
  </si>
  <si>
    <t>B0106</t>
  </si>
  <si>
    <t>Rubble Removal</t>
  </si>
  <si>
    <t>B0111</t>
  </si>
  <si>
    <t>Vibration Monitoring</t>
  </si>
  <si>
    <t>B0112</t>
  </si>
  <si>
    <t>B0113</t>
  </si>
  <si>
    <t>B0114</t>
  </si>
  <si>
    <t>B0115</t>
  </si>
  <si>
    <t>B0116</t>
  </si>
  <si>
    <t>B0201</t>
  </si>
  <si>
    <t>Hazardous Materials</t>
  </si>
  <si>
    <t>B0202</t>
  </si>
  <si>
    <t>B0203</t>
  </si>
  <si>
    <t>B0204</t>
  </si>
  <si>
    <t>B0205</t>
  </si>
  <si>
    <t>B0206</t>
  </si>
  <si>
    <t>B0305</t>
  </si>
  <si>
    <t>Detailed Excavation</t>
  </si>
  <si>
    <t>B0313</t>
  </si>
  <si>
    <t>Dewatering</t>
  </si>
  <si>
    <t>B0317</t>
  </si>
  <si>
    <t>DM Tipping Fees</t>
  </si>
  <si>
    <t>B0318</t>
  </si>
  <si>
    <t>B0319</t>
  </si>
  <si>
    <t>B0320</t>
  </si>
  <si>
    <t>B0321</t>
  </si>
  <si>
    <t>B0322</t>
  </si>
  <si>
    <t>B0401</t>
  </si>
  <si>
    <t>Lateral Supports</t>
  </si>
  <si>
    <t>B0406</t>
  </si>
  <si>
    <t>Shotcrete Works</t>
  </si>
  <si>
    <t>B0411</t>
  </si>
  <si>
    <t>Soil Nails</t>
  </si>
  <si>
    <t>B0416</t>
  </si>
  <si>
    <t>Ground Anchors</t>
  </si>
  <si>
    <t>B0417</t>
  </si>
  <si>
    <t>B0418</t>
  </si>
  <si>
    <t>B0419</t>
  </si>
  <si>
    <t>B0420</t>
  </si>
  <si>
    <t>B0421</t>
  </si>
  <si>
    <t>B0501</t>
  </si>
  <si>
    <t>Piling</t>
  </si>
  <si>
    <t>B0506</t>
  </si>
  <si>
    <t>Pile Breaking</t>
  </si>
  <si>
    <t>B0511</t>
  </si>
  <si>
    <t>Pile Treatment</t>
  </si>
  <si>
    <t>B0512</t>
  </si>
  <si>
    <t>Shoring</t>
  </si>
  <si>
    <t>B0513</t>
  </si>
  <si>
    <t>B0514</t>
  </si>
  <si>
    <t>B0515</t>
  </si>
  <si>
    <t>B0516</t>
  </si>
  <si>
    <t>C0102</t>
  </si>
  <si>
    <t>C0106</t>
  </si>
  <si>
    <t>Placing Equipment</t>
  </si>
  <si>
    <t>C0111</t>
  </si>
  <si>
    <t>Concrete Sundries</t>
  </si>
  <si>
    <t>C0112</t>
  </si>
  <si>
    <t>C0113</t>
  </si>
  <si>
    <t>C0114</t>
  </si>
  <si>
    <t>C0115</t>
  </si>
  <si>
    <t>C0116</t>
  </si>
  <si>
    <t>C0201</t>
  </si>
  <si>
    <t>Formwork System</t>
  </si>
  <si>
    <t>C0206</t>
  </si>
  <si>
    <t>Jumpform System</t>
  </si>
  <si>
    <t>C0211</t>
  </si>
  <si>
    <t>Formwork Materials</t>
  </si>
  <si>
    <t>C0212</t>
  </si>
  <si>
    <t>C0213</t>
  </si>
  <si>
    <t>C0214</t>
  </si>
  <si>
    <t>C0215</t>
  </si>
  <si>
    <t>C0216</t>
  </si>
  <si>
    <t>C0306</t>
  </si>
  <si>
    <t>Mesh</t>
  </si>
  <si>
    <t>C0309</t>
  </si>
  <si>
    <t>Couplers</t>
  </si>
  <si>
    <t>C0311</t>
  </si>
  <si>
    <t>Reinforcing Sundries</t>
  </si>
  <si>
    <t>C0312</t>
  </si>
  <si>
    <t>C0313</t>
  </si>
  <si>
    <t>C0314</t>
  </si>
  <si>
    <t>C0315</t>
  </si>
  <si>
    <t>C0316</t>
  </si>
  <si>
    <t>C0401</t>
  </si>
  <si>
    <t>Post Tensioning</t>
  </si>
  <si>
    <t>C0403</t>
  </si>
  <si>
    <t>Tendon Locking</t>
  </si>
  <si>
    <t>C0406</t>
  </si>
  <si>
    <t>PT Sundries</t>
  </si>
  <si>
    <t>C0407</t>
  </si>
  <si>
    <t>C0408</t>
  </si>
  <si>
    <t>C0409</t>
  </si>
  <si>
    <t>C0410</t>
  </si>
  <si>
    <t>C0411</t>
  </si>
  <si>
    <t>C0503</t>
  </si>
  <si>
    <t>RCS Labour - #3</t>
  </si>
  <si>
    <t>C0504</t>
  </si>
  <si>
    <t>RCS Labour - #4</t>
  </si>
  <si>
    <t>C0505</t>
  </si>
  <si>
    <t>RCS Labour - #5</t>
  </si>
  <si>
    <t>C0506</t>
  </si>
  <si>
    <t>RCS Plant</t>
  </si>
  <si>
    <t>C0511</t>
  </si>
  <si>
    <t>RCS Tools</t>
  </si>
  <si>
    <t>C0516</t>
  </si>
  <si>
    <t>RCS Sundries</t>
  </si>
  <si>
    <t>C0517</t>
  </si>
  <si>
    <t>C0518</t>
  </si>
  <si>
    <t>C0519</t>
  </si>
  <si>
    <t>C0520</t>
  </si>
  <si>
    <t>C0521</t>
  </si>
  <si>
    <t>C0601</t>
  </si>
  <si>
    <t>Concrete Testing</t>
  </si>
  <si>
    <t>C0606</t>
  </si>
  <si>
    <t>Structural Strengthening</t>
  </si>
  <si>
    <t>C0611</t>
  </si>
  <si>
    <t>Concrete Works Sundries</t>
  </si>
  <si>
    <t>C0612</t>
  </si>
  <si>
    <t>C0613</t>
  </si>
  <si>
    <t>C0614</t>
  </si>
  <si>
    <t>C0615</t>
  </si>
  <si>
    <t>C0616</t>
  </si>
  <si>
    <t>D0105</t>
  </si>
  <si>
    <t>Precast Beams</t>
  </si>
  <si>
    <t>D0106</t>
  </si>
  <si>
    <t>D0107</t>
  </si>
  <si>
    <t>D0108</t>
  </si>
  <si>
    <t>D0109</t>
  </si>
  <si>
    <t>D0110</t>
  </si>
  <si>
    <t>D0202</t>
  </si>
  <si>
    <t>D0203</t>
  </si>
  <si>
    <t>D0204</t>
  </si>
  <si>
    <t>D0205</t>
  </si>
  <si>
    <t>D0206</t>
  </si>
  <si>
    <t>D0301</t>
  </si>
  <si>
    <t>Expansion Joints</t>
  </si>
  <si>
    <t>D0302</t>
  </si>
  <si>
    <t>D0303</t>
  </si>
  <si>
    <t>D0304</t>
  </si>
  <si>
    <t>D0305</t>
  </si>
  <si>
    <t>D0306</t>
  </si>
  <si>
    <t>D0401</t>
  </si>
  <si>
    <t>Masonry Works</t>
  </si>
  <si>
    <t>D0416</t>
  </si>
  <si>
    <t>Masonry Sundries</t>
  </si>
  <si>
    <t>D0417</t>
  </si>
  <si>
    <t>D0418</t>
  </si>
  <si>
    <t>D0419</t>
  </si>
  <si>
    <t>D0420</t>
  </si>
  <si>
    <t>D0421</t>
  </si>
  <si>
    <t>D0503</t>
  </si>
  <si>
    <t>External Waterproofing</t>
  </si>
  <si>
    <t>D0509</t>
  </si>
  <si>
    <t>Guniting</t>
  </si>
  <si>
    <t>D0511</t>
  </si>
  <si>
    <t>D0512</t>
  </si>
  <si>
    <t>D0513</t>
  </si>
  <si>
    <t>D0514</t>
  </si>
  <si>
    <t>D0612</t>
  </si>
  <si>
    <t>D0613</t>
  </si>
  <si>
    <t>D0614</t>
  </si>
  <si>
    <t>D0615</t>
  </si>
  <si>
    <t>D0616</t>
  </si>
  <si>
    <t>D0701</t>
  </si>
  <si>
    <t>Curtain Wall</t>
  </si>
  <si>
    <t>D0706</t>
  </si>
  <si>
    <t>Shop Fronts</t>
  </si>
  <si>
    <t>D0711</t>
  </si>
  <si>
    <t>Façade Feature</t>
  </si>
  <si>
    <t>D0716</t>
  </si>
  <si>
    <t>Aluminium Insulated Panels</t>
  </si>
  <si>
    <t>D0721</t>
  </si>
  <si>
    <t>Aluminium Cladding</t>
  </si>
  <si>
    <t>D0726</t>
  </si>
  <si>
    <t>Louvres</t>
  </si>
  <si>
    <t>D0727</t>
  </si>
  <si>
    <t>GRC</t>
  </si>
  <si>
    <t>D0730</t>
  </si>
  <si>
    <t>D0731</t>
  </si>
  <si>
    <t>D0801</t>
  </si>
  <si>
    <t>Roofing</t>
  </si>
  <si>
    <t>D0806</t>
  </si>
  <si>
    <t>Glazed Roofing</t>
  </si>
  <si>
    <t>D0811</t>
  </si>
  <si>
    <t>Canopies</t>
  </si>
  <si>
    <t>D0812</t>
  </si>
  <si>
    <t>Access Hatches</t>
  </si>
  <si>
    <t>D0813</t>
  </si>
  <si>
    <t>Standing Seam</t>
  </si>
  <si>
    <t>D0814</t>
  </si>
  <si>
    <t>D0815</t>
  </si>
  <si>
    <t>D0816</t>
  </si>
  <si>
    <t>Stone Cladding</t>
  </si>
  <si>
    <t>D0906</t>
  </si>
  <si>
    <t>D0907</t>
  </si>
  <si>
    <t>D0908</t>
  </si>
  <si>
    <t>D0909</t>
  </si>
  <si>
    <t>D0910</t>
  </si>
  <si>
    <t>D1001</t>
  </si>
  <si>
    <t>Building Maintenance Unit</t>
  </si>
  <si>
    <t>D1006</t>
  </si>
  <si>
    <t>Life Safety Lines</t>
  </si>
  <si>
    <t>D1007</t>
  </si>
  <si>
    <t>D1008</t>
  </si>
  <si>
    <t>D1009</t>
  </si>
  <si>
    <t>D1010</t>
  </si>
  <si>
    <t>D1011</t>
  </si>
  <si>
    <t>E0106</t>
  </si>
  <si>
    <t>Decorative Metalwork</t>
  </si>
  <si>
    <t>E0109</t>
  </si>
  <si>
    <t>Decorative Metal Screens</t>
  </si>
  <si>
    <t>E0111</t>
  </si>
  <si>
    <t>Balustrades &amp; Handrails</t>
  </si>
  <si>
    <t>E0129</t>
  </si>
  <si>
    <t>Dock Levellers</t>
  </si>
  <si>
    <t>E0131</t>
  </si>
  <si>
    <t>Carpark Accessories</t>
  </si>
  <si>
    <t>E0136</t>
  </si>
  <si>
    <t>Bollards</t>
  </si>
  <si>
    <t>E0141</t>
  </si>
  <si>
    <t>Tactiles</t>
  </si>
  <si>
    <t>E0142</t>
  </si>
  <si>
    <t>E0143</t>
  </si>
  <si>
    <t>E0144</t>
  </si>
  <si>
    <t>E0145</t>
  </si>
  <si>
    <t>E0146</t>
  </si>
  <si>
    <t>E0205</t>
  </si>
  <si>
    <t>Timber Doors</t>
  </si>
  <si>
    <t>Doors &amp; Door Hardware</t>
  </si>
  <si>
    <t>E0211</t>
  </si>
  <si>
    <t>Sanitary Hardware</t>
  </si>
  <si>
    <t>E0212</t>
  </si>
  <si>
    <t>E0213</t>
  </si>
  <si>
    <t>E0214</t>
  </si>
  <si>
    <t>E0215</t>
  </si>
  <si>
    <t>E0216</t>
  </si>
  <si>
    <t>E0301</t>
  </si>
  <si>
    <t>Internal Waterproofing</t>
  </si>
  <si>
    <t>E0302</t>
  </si>
  <si>
    <t>E0303</t>
  </si>
  <si>
    <t>E0304</t>
  </si>
  <si>
    <t>E0305</t>
  </si>
  <si>
    <t>E0306</t>
  </si>
  <si>
    <t>E0405</t>
  </si>
  <si>
    <t>Decorative Ceilings</t>
  </si>
  <si>
    <t>E0406</t>
  </si>
  <si>
    <t>Soffit Insulation</t>
  </si>
  <si>
    <t>E0411</t>
  </si>
  <si>
    <t>Acoustic Linings</t>
  </si>
  <si>
    <t>E0416</t>
  </si>
  <si>
    <t>Toilet Partitions</t>
  </si>
  <si>
    <t>E0421</t>
  </si>
  <si>
    <t>Operable Walls</t>
  </si>
  <si>
    <t>E0422</t>
  </si>
  <si>
    <t>E0423</t>
  </si>
  <si>
    <t>E0424</t>
  </si>
  <si>
    <t>E0425</t>
  </si>
  <si>
    <t>E0426</t>
  </si>
  <si>
    <t>Porcelein Cladding</t>
  </si>
  <si>
    <t>E0516</t>
  </si>
  <si>
    <t>Tiling and Stone Labour</t>
  </si>
  <si>
    <t>E0518</t>
  </si>
  <si>
    <t>Stone Labour</t>
  </si>
  <si>
    <t>E0519</t>
  </si>
  <si>
    <t>E0520</t>
  </si>
  <si>
    <t>E0521</t>
  </si>
  <si>
    <t>E0601</t>
  </si>
  <si>
    <t>Bedroom</t>
  </si>
  <si>
    <t>E0609</t>
  </si>
  <si>
    <t>Feature Linings</t>
  </si>
  <si>
    <t>E0611</t>
  </si>
  <si>
    <t>Common Areas</t>
  </si>
  <si>
    <t>E0616</t>
  </si>
  <si>
    <t>Vanities</t>
  </si>
  <si>
    <t>E0620</t>
  </si>
  <si>
    <t>Built-in Joinery</t>
  </si>
  <si>
    <t>E0621</t>
  </si>
  <si>
    <t>ID Fit Out</t>
  </si>
  <si>
    <t>E0622</t>
  </si>
  <si>
    <t>E0623</t>
  </si>
  <si>
    <t>E0624</t>
  </si>
  <si>
    <t>E0625</t>
  </si>
  <si>
    <t>E0701</t>
  </si>
  <si>
    <t>Self-Levelling Screeds</t>
  </si>
  <si>
    <t>E0704</t>
  </si>
  <si>
    <t>Carpet</t>
  </si>
  <si>
    <t>E0707</t>
  </si>
  <si>
    <t>Timber Flooring</t>
  </si>
  <si>
    <t>E0710</t>
  </si>
  <si>
    <t>Access Floors</t>
  </si>
  <si>
    <t>E0713</t>
  </si>
  <si>
    <t>Vinyl Flooring</t>
  </si>
  <si>
    <t>E0716</t>
  </si>
  <si>
    <t>Micro Topping Finish</t>
  </si>
  <si>
    <t>E0719</t>
  </si>
  <si>
    <t>Entrance Mats</t>
  </si>
  <si>
    <t>E0721</t>
  </si>
  <si>
    <t>Acoustic Floor Treatment</t>
  </si>
  <si>
    <t>E0722</t>
  </si>
  <si>
    <t>Anti-Microbial Screed</t>
  </si>
  <si>
    <t>E0723</t>
  </si>
  <si>
    <t>Stair Nosing</t>
  </si>
  <si>
    <t>E0724</t>
  </si>
  <si>
    <t>E0725</t>
  </si>
  <si>
    <t>E0726</t>
  </si>
  <si>
    <t>E0806</t>
  </si>
  <si>
    <t>Wall Paper</t>
  </si>
  <si>
    <t>E0816</t>
  </si>
  <si>
    <t>Decorative Coatings</t>
  </si>
  <si>
    <t>E0817</t>
  </si>
  <si>
    <t>E0818</t>
  </si>
  <si>
    <t>E0819</t>
  </si>
  <si>
    <t>E0820</t>
  </si>
  <si>
    <t>E0821</t>
  </si>
  <si>
    <t>Mirrors</t>
  </si>
  <si>
    <t>E0906</t>
  </si>
  <si>
    <t>Glass Partitions</t>
  </si>
  <si>
    <t>E0912</t>
  </si>
  <si>
    <t>E0913</t>
  </si>
  <si>
    <t>E0914</t>
  </si>
  <si>
    <t>E0915</t>
  </si>
  <si>
    <t>E0916</t>
  </si>
  <si>
    <t>E1006</t>
  </si>
  <si>
    <t>External Signage</t>
  </si>
  <si>
    <t>E1011</t>
  </si>
  <si>
    <t>Wayfinding Signage</t>
  </si>
  <si>
    <t>E1012</t>
  </si>
  <si>
    <t>E1013</t>
  </si>
  <si>
    <t>E1014</t>
  </si>
  <si>
    <t>E1015</t>
  </si>
  <si>
    <t>E1016</t>
  </si>
  <si>
    <t>E1106</t>
  </si>
  <si>
    <t>Laundry Equipment</t>
  </si>
  <si>
    <t>E1111</t>
  </si>
  <si>
    <t>Linen Chutes</t>
  </si>
  <si>
    <t>E1116</t>
  </si>
  <si>
    <t>Garbage Chutes</t>
  </si>
  <si>
    <t>E1118</t>
  </si>
  <si>
    <t>E1119</t>
  </si>
  <si>
    <t>E1120</t>
  </si>
  <si>
    <t>E1121</t>
  </si>
  <si>
    <t>E1201</t>
  </si>
  <si>
    <t>Loose Furniture</t>
  </si>
  <si>
    <t>E1203</t>
  </si>
  <si>
    <t>Lockers</t>
  </si>
  <si>
    <t>E1206</t>
  </si>
  <si>
    <t>Outdoor Furniture</t>
  </si>
  <si>
    <t>E1211</t>
  </si>
  <si>
    <t>Playground Equipment</t>
  </si>
  <si>
    <t>E1216</t>
  </si>
  <si>
    <t>Gym Equipment</t>
  </si>
  <si>
    <t>E1221</t>
  </si>
  <si>
    <t>Whitegoods</t>
  </si>
  <si>
    <t>E1225</t>
  </si>
  <si>
    <t>Sauna &amp; Steam Room</t>
  </si>
  <si>
    <t>E1240</t>
  </si>
  <si>
    <t>Mock-ups</t>
  </si>
  <si>
    <t>E1241</t>
  </si>
  <si>
    <t>E1242</t>
  </si>
  <si>
    <t>E1243</t>
  </si>
  <si>
    <t>E1244</t>
  </si>
  <si>
    <t>E1245</t>
  </si>
  <si>
    <t>F0105</t>
  </si>
  <si>
    <t>Plumbing Services</t>
  </si>
  <si>
    <t>F0109</t>
  </si>
  <si>
    <t>Fire Services</t>
  </si>
  <si>
    <t>F0113</t>
  </si>
  <si>
    <t>Mechanical Services</t>
  </si>
  <si>
    <t>F0117</t>
  </si>
  <si>
    <t>Electrical Services</t>
  </si>
  <si>
    <t>F0121</t>
  </si>
  <si>
    <t>Security</t>
  </si>
  <si>
    <t>F0125</t>
  </si>
  <si>
    <t>Communications</t>
  </si>
  <si>
    <t>F0131</t>
  </si>
  <si>
    <t>Refrigeration</t>
  </si>
  <si>
    <t>F0132</t>
  </si>
  <si>
    <t>Home Automation</t>
  </si>
  <si>
    <t>F0133</t>
  </si>
  <si>
    <t>F0134</t>
  </si>
  <si>
    <t>F0135</t>
  </si>
  <si>
    <t>F0206</t>
  </si>
  <si>
    <t>Escalators &amp; Travelators</t>
  </si>
  <si>
    <t>F0211</t>
  </si>
  <si>
    <t>Dumbwaiter</t>
  </si>
  <si>
    <t>F0212</t>
  </si>
  <si>
    <t>F0213</t>
  </si>
  <si>
    <t>F0214</t>
  </si>
  <si>
    <t>F0215</t>
  </si>
  <si>
    <t>F0216</t>
  </si>
  <si>
    <t>F0301</t>
  </si>
  <si>
    <t>BWIC on Domestic Works</t>
  </si>
  <si>
    <t>F0308</t>
  </si>
  <si>
    <t>Fire &amp; Smoke Curtain</t>
  </si>
  <si>
    <t>F0313</t>
  </si>
  <si>
    <t>Sealing</t>
  </si>
  <si>
    <t>F0317</t>
  </si>
  <si>
    <t>Coring</t>
  </si>
  <si>
    <t>F0318</t>
  </si>
  <si>
    <t>F0319</t>
  </si>
  <si>
    <t>F0320</t>
  </si>
  <si>
    <t>F0321</t>
  </si>
  <si>
    <t>F0322</t>
  </si>
  <si>
    <t>G0101</t>
  </si>
  <si>
    <t>Soft Landscape</t>
  </si>
  <si>
    <t>G0111</t>
  </si>
  <si>
    <t>Landscaping</t>
  </si>
  <si>
    <t>G0112</t>
  </si>
  <si>
    <t>G0113</t>
  </si>
  <si>
    <t>G0114</t>
  </si>
  <si>
    <t>G0115</t>
  </si>
  <si>
    <t>G0116</t>
  </si>
  <si>
    <t>G0201</t>
  </si>
  <si>
    <t>Paving</t>
  </si>
  <si>
    <t>G0205</t>
  </si>
  <si>
    <t>Asphalting</t>
  </si>
  <si>
    <t>G0209</t>
  </si>
  <si>
    <t>Kerbs</t>
  </si>
  <si>
    <t>G0213</t>
  </si>
  <si>
    <t>Traffic Equipment</t>
  </si>
  <si>
    <t>G0217</t>
  </si>
  <si>
    <t xml:space="preserve">Roadmarking </t>
  </si>
  <si>
    <t>G0221</t>
  </si>
  <si>
    <t>Protection of Services</t>
  </si>
  <si>
    <t>G0225</t>
  </si>
  <si>
    <t>Civil Works</t>
  </si>
  <si>
    <t>G0226</t>
  </si>
  <si>
    <t>Road Base Filling</t>
  </si>
  <si>
    <t>G0227</t>
  </si>
  <si>
    <t>RTA Tie-in</t>
  </si>
  <si>
    <t>G0228</t>
  </si>
  <si>
    <t>G0229</t>
  </si>
  <si>
    <t>G0230</t>
  </si>
  <si>
    <t>G0301</t>
  </si>
  <si>
    <t>Fencing</t>
  </si>
  <si>
    <t>G0306</t>
  </si>
  <si>
    <t>Gates</t>
  </si>
  <si>
    <t>G0307</t>
  </si>
  <si>
    <t>G0308</t>
  </si>
  <si>
    <t>G0309</t>
  </si>
  <si>
    <t>G0310</t>
  </si>
  <si>
    <t>G0311</t>
  </si>
  <si>
    <t>G0401</t>
  </si>
  <si>
    <t>Swimming Pools</t>
  </si>
  <si>
    <t>G0406</t>
  </si>
  <si>
    <t>Jacuzzi</t>
  </si>
  <si>
    <t>G0411</t>
  </si>
  <si>
    <t>Water Features</t>
  </si>
  <si>
    <t>G0412</t>
  </si>
  <si>
    <t>G0413</t>
  </si>
  <si>
    <t>G0414</t>
  </si>
  <si>
    <t>G0415</t>
  </si>
  <si>
    <t>G0416</t>
  </si>
  <si>
    <t>H0101</t>
  </si>
  <si>
    <t>Architect</t>
  </si>
  <si>
    <t>H0103</t>
  </si>
  <si>
    <t>Interior Design</t>
  </si>
  <si>
    <t>H0105</t>
  </si>
  <si>
    <t>Structural Engineer</t>
  </si>
  <si>
    <t>H0107</t>
  </si>
  <si>
    <t>Services Engineer</t>
  </si>
  <si>
    <t>H0109</t>
  </si>
  <si>
    <t>Facades Engineer</t>
  </si>
  <si>
    <t>H0111</t>
  </si>
  <si>
    <t>Acoustic Services Engineer</t>
  </si>
  <si>
    <t>H0113</t>
  </si>
  <si>
    <t>Geotechnical Engineer</t>
  </si>
  <si>
    <t>H0115</t>
  </si>
  <si>
    <t>Traffic Engineer</t>
  </si>
  <si>
    <t>H0117</t>
  </si>
  <si>
    <t>Disability Consultant</t>
  </si>
  <si>
    <t>H0119</t>
  </si>
  <si>
    <t>Environmental Consultant</t>
  </si>
  <si>
    <t>H0121</t>
  </si>
  <si>
    <t>Landscape Architect</t>
  </si>
  <si>
    <t>H0122</t>
  </si>
  <si>
    <t>H0123</t>
  </si>
  <si>
    <t>H0124</t>
  </si>
  <si>
    <t>H0125</t>
  </si>
  <si>
    <t>H0126</t>
  </si>
  <si>
    <t>H0201</t>
  </si>
  <si>
    <t>H0203</t>
  </si>
  <si>
    <t>H0205</t>
  </si>
  <si>
    <t>H0207</t>
  </si>
  <si>
    <t>Facade Engineer</t>
  </si>
  <si>
    <t>H0209</t>
  </si>
  <si>
    <t>BIM Modelling</t>
  </si>
  <si>
    <t>H0211</t>
  </si>
  <si>
    <t>Temporary Engineering</t>
  </si>
  <si>
    <t>H0212</t>
  </si>
  <si>
    <t>House of Expertise</t>
  </si>
  <si>
    <t>H0213</t>
  </si>
  <si>
    <t>Miscellaneous Design</t>
  </si>
  <si>
    <t>H0214</t>
  </si>
  <si>
    <t>H0215</t>
  </si>
  <si>
    <t>H0216</t>
  </si>
  <si>
    <t>H0217</t>
  </si>
  <si>
    <t>H0218</t>
  </si>
  <si>
    <t>J0101</t>
  </si>
  <si>
    <t>Original Provisional Sum 001</t>
  </si>
  <si>
    <t>J0102</t>
  </si>
  <si>
    <t>Original Provisional Sum 002</t>
  </si>
  <si>
    <t>J0103</t>
  </si>
  <si>
    <t>Original Provisional Sum 003</t>
  </si>
  <si>
    <t>J0104</t>
  </si>
  <si>
    <t>Original Provisional Sum 004</t>
  </si>
  <si>
    <t>J0105</t>
  </si>
  <si>
    <t>Original Provisional Sum 005</t>
  </si>
  <si>
    <t>J0106</t>
  </si>
  <si>
    <t>Original Provisional Sum 006</t>
  </si>
  <si>
    <t>J0107</t>
  </si>
  <si>
    <t>Original Provisional Sum 007</t>
  </si>
  <si>
    <t>J0108</t>
  </si>
  <si>
    <t>Original Provisional Sum 008</t>
  </si>
  <si>
    <t>J0109</t>
  </si>
  <si>
    <t>Original Provisional Sum 009</t>
  </si>
  <si>
    <t>J0110</t>
  </si>
  <si>
    <t>Original Provisional Sum 010</t>
  </si>
  <si>
    <t>J0111</t>
  </si>
  <si>
    <t>Original Provisional Sum 011</t>
  </si>
  <si>
    <t>J0112</t>
  </si>
  <si>
    <t>Original Provisional Sum 012</t>
  </si>
  <si>
    <t>J0113</t>
  </si>
  <si>
    <t>Original Provisional Sum 013</t>
  </si>
  <si>
    <t>J0114</t>
  </si>
  <si>
    <t>Original Provisional Sum 014</t>
  </si>
  <si>
    <t>J0115</t>
  </si>
  <si>
    <t>Original Provisional Sum 015</t>
  </si>
  <si>
    <t>J0116</t>
  </si>
  <si>
    <t>Original Provisional Sum 016</t>
  </si>
  <si>
    <t>J0117</t>
  </si>
  <si>
    <t>Original Provisional Sum 017</t>
  </si>
  <si>
    <t>J0118</t>
  </si>
  <si>
    <t>Original Provisional Sum 018</t>
  </si>
  <si>
    <t>J0119</t>
  </si>
  <si>
    <t>Original Provisional Sum 019</t>
  </si>
  <si>
    <t>J0120</t>
  </si>
  <si>
    <t>Original Provisional Sum 020</t>
  </si>
  <si>
    <t>J0121</t>
  </si>
  <si>
    <t>Original Provisional Sum 021</t>
  </si>
  <si>
    <t>J0122</t>
  </si>
  <si>
    <t>Original Provisional Sum 022</t>
  </si>
  <si>
    <t>J0123</t>
  </si>
  <si>
    <t>Original Provisional Sum 023</t>
  </si>
  <si>
    <t>J0124</t>
  </si>
  <si>
    <t>Original Provisional Sum 024</t>
  </si>
  <si>
    <t>J0125</t>
  </si>
  <si>
    <t>Original Provisional Sum 025</t>
  </si>
  <si>
    <t>J0126</t>
  </si>
  <si>
    <t>Original Provisional Sum 026</t>
  </si>
  <si>
    <t>J0127</t>
  </si>
  <si>
    <t>Original Provisional Sum 027</t>
  </si>
  <si>
    <t>J0128</t>
  </si>
  <si>
    <t>Original Provisional Sum 028</t>
  </si>
  <si>
    <t>J0129</t>
  </si>
  <si>
    <t>Original Provisional Sum 029</t>
  </si>
  <si>
    <t>J0130</t>
  </si>
  <si>
    <t>Original Provisional Sum 030</t>
  </si>
  <si>
    <t>J0201</t>
  </si>
  <si>
    <t>Awarded Provisional Sum 001</t>
  </si>
  <si>
    <t>J0202</t>
  </si>
  <si>
    <t>Awarded Provisional Sum 002</t>
  </si>
  <si>
    <t>J0203</t>
  </si>
  <si>
    <t>Awarded Provisional Sum 003</t>
  </si>
  <si>
    <t>J0204</t>
  </si>
  <si>
    <t>Awarded Provisional Sum 004</t>
  </si>
  <si>
    <t>J0205</t>
  </si>
  <si>
    <t>Awarded Provisional Sum 005</t>
  </si>
  <si>
    <t>J0206</t>
  </si>
  <si>
    <t>Awarded Provisional Sum 006</t>
  </si>
  <si>
    <t>J0207</t>
  </si>
  <si>
    <t>Awarded Provisional Sum 007</t>
  </si>
  <si>
    <t>J0208</t>
  </si>
  <si>
    <t>Awarded Provisional Sum 008</t>
  </si>
  <si>
    <t>J0209</t>
  </si>
  <si>
    <t>Awarded Provisional Sum 009</t>
  </si>
  <si>
    <t>J0210</t>
  </si>
  <si>
    <t>Awarded Provisional Sum 010</t>
  </si>
  <si>
    <t>J0211</t>
  </si>
  <si>
    <t>Awarded Provisional Sum 011</t>
  </si>
  <si>
    <t>J0212</t>
  </si>
  <si>
    <t>Awarded Provisional Sum 012</t>
  </si>
  <si>
    <t>J0213</t>
  </si>
  <si>
    <t>Awarded Provisional Sum 013</t>
  </si>
  <si>
    <t>J0214</t>
  </si>
  <si>
    <t>Awarded Provisional Sum 014</t>
  </si>
  <si>
    <t>J0215</t>
  </si>
  <si>
    <t>Awarded Provisional Sum 015</t>
  </si>
  <si>
    <t>J0216</t>
  </si>
  <si>
    <t>Awarded Provisional Sum 016</t>
  </si>
  <si>
    <t>J0217</t>
  </si>
  <si>
    <t>Awarded Provisional Sum 017</t>
  </si>
  <si>
    <t>J0218</t>
  </si>
  <si>
    <t>Awarded Provisional Sum 018</t>
  </si>
  <si>
    <t>J0219</t>
  </si>
  <si>
    <t>Awarded Provisional Sum 019</t>
  </si>
  <si>
    <t>J0220</t>
  </si>
  <si>
    <t>Awarded Provisional Sum 020</t>
  </si>
  <si>
    <t>J0221</t>
  </si>
  <si>
    <t>Awarded Provisional Sum 021</t>
  </si>
  <si>
    <t>J0222</t>
  </si>
  <si>
    <t>Awarded Provisional Sum 022</t>
  </si>
  <si>
    <t>J0223</t>
  </si>
  <si>
    <t>Awarded Provisional Sum 023</t>
  </si>
  <si>
    <t>J0224</t>
  </si>
  <si>
    <t>Awarded Provisional Sum 024</t>
  </si>
  <si>
    <t>J0225</t>
  </si>
  <si>
    <t>Awarded Provisional Sum 025</t>
  </si>
  <si>
    <t>J0226</t>
  </si>
  <si>
    <t>Awarded Provisional Sum 026</t>
  </si>
  <si>
    <t>J0227</t>
  </si>
  <si>
    <t>Awarded Provisional Sum 027</t>
  </si>
  <si>
    <t>J0228</t>
  </si>
  <si>
    <t>Awarded Provisional Sum 028</t>
  </si>
  <si>
    <t>J0229</t>
  </si>
  <si>
    <t>Awarded Provisional Sum 029</t>
  </si>
  <si>
    <t>J0230</t>
  </si>
  <si>
    <t>Awarded Provisional Sum 030</t>
  </si>
  <si>
    <t>J0301</t>
  </si>
  <si>
    <t>Attendance on Provisional Sums</t>
  </si>
  <si>
    <t>J0305</t>
  </si>
  <si>
    <t>Builder's Work on Provisional Sums</t>
  </si>
  <si>
    <t>X0101</t>
  </si>
  <si>
    <t>Risk Allowance</t>
  </si>
  <si>
    <t>X0103</t>
  </si>
  <si>
    <t>Escalation</t>
  </si>
  <si>
    <t>X0105</t>
  </si>
  <si>
    <t>Estimator's Contingency</t>
  </si>
  <si>
    <t>X0107</t>
  </si>
  <si>
    <t>Quantity Variance</t>
  </si>
  <si>
    <t>Y0101</t>
  </si>
  <si>
    <t>Own Work</t>
  </si>
  <si>
    <t>Y0102</t>
  </si>
  <si>
    <t>Internal Divisions</t>
  </si>
  <si>
    <t>Y0103</t>
  </si>
  <si>
    <t>MEP Works</t>
  </si>
  <si>
    <t>Y0104</t>
  </si>
  <si>
    <t>Interiors</t>
  </si>
  <si>
    <t>Y0105</t>
  </si>
  <si>
    <t>Provisional Sums</t>
  </si>
  <si>
    <t>Y0109</t>
  </si>
  <si>
    <t>Variation Margin</t>
  </si>
  <si>
    <t>TRF Process</t>
  </si>
  <si>
    <t>Order Will be Processed This week</t>
  </si>
  <si>
    <r>
      <t xml:space="preserve">OBT Approved </t>
    </r>
    <r>
      <rPr>
        <b/>
        <sz val="11"/>
        <color theme="1"/>
        <rFont val="Aptos Narrow"/>
        <family val="2"/>
        <scheme val="minor"/>
      </rPr>
      <t xml:space="preserve">Urban Landscape </t>
    </r>
  </si>
  <si>
    <t>Closed with MRG</t>
  </si>
  <si>
    <t>Closed with Waterseal.</t>
  </si>
  <si>
    <t>Closed with Favorite Plus.</t>
  </si>
  <si>
    <t>Closed with Techno Serve.</t>
  </si>
  <si>
    <t>Closed with Graniti</t>
  </si>
  <si>
    <t>OBT Approved
LPO Issued</t>
  </si>
  <si>
    <t>Order Concluded with Bin Dasmal</t>
  </si>
  <si>
    <t>Closed</t>
  </si>
  <si>
    <t>Awarded with Al Shafar</t>
  </si>
  <si>
    <t>Supply &amp; Installation of Roof Access Hatch</t>
  </si>
  <si>
    <t xml:space="preserve">Awarded with Kone 
</t>
  </si>
  <si>
    <t>Awarded with Stonetta</t>
  </si>
  <si>
    <t xml:space="preserve">OBT Under approval Halmark (100 Villa) </t>
  </si>
  <si>
    <t xml:space="preserve">Site teamto discuss Joint Matrix/PTCs with  DIJ </t>
  </si>
  <si>
    <r>
      <t>TRF Under Process with</t>
    </r>
    <r>
      <rPr>
        <sz val="11"/>
        <color theme="3" tint="0.249977111117893"/>
        <rFont val="Aptos Narrow"/>
        <family val="2"/>
        <scheme val="minor"/>
      </rPr>
      <t xml:space="preserve"> Water Seal.</t>
    </r>
  </si>
  <si>
    <t>TRF Under process awarded value changed from 199 villasto 70 villas.</t>
  </si>
  <si>
    <t>PTCs prepared, Mid bid meeting completed, Waiting for discounted rates.</t>
  </si>
  <si>
    <t xml:space="preserve">	17446</t>
  </si>
  <si>
    <t>waiting for the final discounted quotations</t>
  </si>
  <si>
    <t>waiting for the Signed PTC's &amp; TRF Documents</t>
  </si>
  <si>
    <t>TRF Documents under preparation</t>
  </si>
  <si>
    <t>PTC's Under review with project team</t>
  </si>
  <si>
    <t>TRF Under Process with Water Seal.</t>
  </si>
  <si>
    <t xml:space="preserve">OBT Approved Urban Landscape </t>
  </si>
  <si>
    <t>Awarded with AQC.</t>
  </si>
  <si>
    <t xml:space="preserve">Site team to discuss Joint Matrix/PTCs with DIJ </t>
  </si>
  <si>
    <t>Awarded with MRG</t>
  </si>
  <si>
    <t>Awarded with Hallmark</t>
  </si>
  <si>
    <t>Awarded with Waterseal.</t>
  </si>
  <si>
    <t>Awarded with Favorite Plus.</t>
  </si>
  <si>
    <t>Awarded with Techno Serve.</t>
  </si>
  <si>
    <t>Awarded with Spraytek.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</si>
</sst>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AED]\ #,##0_);\([$AED]\ #,##0\)"/>
    <numFmt numFmtId="166" formatCode="[$-3409]dd\-mmm\-yy;@"/>
    <numFmt numFmtId="167" formatCode="_-* #,##0_-;\-* #,##0_-;_-* &quot;-&quot;??_-;_-@_-"/>
    <numFmt numFmtId="168" formatCode=";;;"/>
    <numFmt numFmtId="169" formatCode="[$-409]dd/mmm/yy;@"/>
    <numFmt numFmtId="170" formatCode="0.0%"/>
    <numFmt numFmtId="171" formatCode="[$-409]dd\-mmm\-yy;@"/>
  </numFmts>
  <fonts count="26" x14ac:knownFonts="1">
    <font>
      <sz val="11"/>
      <color theme="1"/>
      <name val="Aptos Narrow"/>
      <family val="2"/>
      <scheme val="minor"/>
    </font>
    <font>
      <b/>
      <sz val="13"/>
      <color theme="3"/>
      <name val="Aptos Narrow"/>
      <family val="2"/>
      <scheme val="minor"/>
    </font>
    <font>
      <b/>
      <sz val="11"/>
      <color theme="3"/>
      <name val="Aptos Narrow"/>
      <family val="2"/>
      <scheme val="minor"/>
    </font>
    <font>
      <sz val="11"/>
      <color rgb="FF3F3F76"/>
      <name val="Aptos Narrow"/>
      <family val="2"/>
      <scheme val="minor"/>
    </font>
    <font>
      <b/>
      <sz val="11"/>
      <color theme="1"/>
      <name val="Aptos Narrow"/>
      <family val="2"/>
      <scheme val="minor"/>
    </font>
    <font>
      <b/>
      <sz val="10"/>
      <color theme="3"/>
      <name val="Aptos Narrow"/>
      <family val="2"/>
      <scheme val="minor"/>
    </font>
    <font>
      <sz val="11"/>
      <color rgb="FF3F3F76"/>
      <name val="Aptos Narrow"/>
      <family val="2"/>
    </font>
    <font>
      <b/>
      <sz val="18"/>
      <color theme="1"/>
      <name val="Aptos Display"/>
      <family val="2"/>
      <scheme val="major"/>
    </font>
    <font>
      <sz val="11"/>
      <color rgb="FF3F3F76"/>
      <name val="Aptos Display"/>
      <family val="2"/>
      <scheme val="major"/>
    </font>
    <font>
      <sz val="11"/>
      <color theme="1"/>
      <name val="Aptos Narrow"/>
      <family val="2"/>
      <scheme val="minor"/>
    </font>
    <font>
      <sz val="10"/>
      <name val="Arial"/>
      <family val="2"/>
    </font>
    <font>
      <sz val="10"/>
      <name val="Aptos Narrow"/>
      <family val="2"/>
      <scheme val="minor"/>
    </font>
    <font>
      <b/>
      <sz val="11"/>
      <color theme="0"/>
      <name val="Aptos Narrow"/>
      <family val="2"/>
      <scheme val="minor"/>
    </font>
    <font>
      <b/>
      <sz val="11"/>
      <color rgb="FF3F3F76"/>
      <name val="Aptos Narrow"/>
      <family val="2"/>
    </font>
    <font>
      <sz val="8"/>
      <name val="Aptos Narrow"/>
      <family val="2"/>
      <scheme val="minor"/>
    </font>
    <font>
      <sz val="11"/>
      <color theme="1" tint="0.249977111117893"/>
      <name val="Aptos Narrow"/>
      <family val="2"/>
      <scheme val="minor"/>
    </font>
    <font>
      <b/>
      <u/>
      <sz val="10"/>
      <color theme="2" tint="-0.499984740745262"/>
      <name val="Aptos Narrow"/>
      <family val="2"/>
      <scheme val="minor"/>
    </font>
    <font>
      <b/>
      <sz val="11"/>
      <color theme="2" tint="-0.499984740745262"/>
      <name val="Aptos Narrow"/>
      <family val="2"/>
      <scheme val="minor"/>
    </font>
    <font>
      <b/>
      <sz val="11"/>
      <color theme="1" tint="0.14999847407452621"/>
      <name val="Aptos Narrow"/>
      <family val="2"/>
      <scheme val="minor"/>
    </font>
    <font>
      <b/>
      <sz val="22"/>
      <color theme="1"/>
      <name val="Aptos Narrow"/>
      <family val="2"/>
      <scheme val="minor"/>
    </font>
    <font>
      <sz val="10"/>
      <color theme="1"/>
      <name val="Aptos Narrow"/>
      <family val="2"/>
      <scheme val="minor"/>
    </font>
    <font>
      <b/>
      <sz val="10"/>
      <color theme="1"/>
      <name val="Aptos Narrow"/>
      <family val="2"/>
      <scheme val="minor"/>
    </font>
    <font>
      <b/>
      <sz val="11"/>
      <color rgb="FFFF0000"/>
      <name val="Aptos Narrow"/>
      <family val="2"/>
      <scheme val="minor"/>
    </font>
    <font>
      <sz val="11"/>
      <color theme="3" tint="0.499984740745262"/>
      <name val="Aptos Narrow"/>
      <family val="2"/>
      <scheme val="minor"/>
    </font>
    <font>
      <sz val="11"/>
      <name val="Aptos Narrow"/>
      <family val="2"/>
      <scheme val="minor"/>
    </font>
    <font>
      <sz val="11"/>
      <color theme="3" tint="0.249977111117893"/>
      <name val="Aptos Narrow"/>
      <family val="2"/>
      <scheme val="minor"/>
    </font>
  </fonts>
  <fills count="22">
    <fill>
      <patternFill patternType="none"/>
    </fill>
    <fill>
      <patternFill patternType="gray125"/>
    </fill>
    <fill>
      <patternFill patternType="solid">
        <fgColor rgb="FFFFCC99"/>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002981"/>
        <bgColor indexed="64"/>
      </patternFill>
    </fill>
    <fill>
      <patternFill patternType="solid">
        <fgColor rgb="FFFED31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608EFD"/>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C99"/>
        <bgColor indexed="64"/>
      </patternFill>
    </fill>
    <fill>
      <patternFill patternType="solid">
        <fgColor rgb="FFD9D9D9"/>
        <bgColor indexed="64"/>
      </patternFill>
    </fill>
    <fill>
      <patternFill patternType="solid">
        <fgColor rgb="FFDAE9F8"/>
        <bgColor indexed="64"/>
      </patternFill>
    </fill>
    <fill>
      <patternFill patternType="solid">
        <fgColor rgb="FFE8E8E8"/>
        <bgColor indexed="64"/>
      </patternFill>
    </fill>
  </fills>
  <borders count="36">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theme="7"/>
      </top>
      <bottom/>
      <diagonal/>
    </border>
    <border>
      <left/>
      <right style="thin">
        <color theme="0" tint="-0.14996795556505021"/>
      </right>
      <top style="thin">
        <color theme="7"/>
      </top>
      <bottom style="thick">
        <color theme="4" tint="0.499984740745262"/>
      </bottom>
      <diagonal/>
    </border>
    <border>
      <left style="thin">
        <color theme="0" tint="-0.14996795556505021"/>
      </left>
      <right style="thin">
        <color theme="0" tint="-0.14996795556505021"/>
      </right>
      <top style="thin">
        <color theme="7"/>
      </top>
      <bottom style="thick">
        <color theme="4" tint="0.499984740745262"/>
      </bottom>
      <diagonal/>
    </border>
    <border>
      <left style="thin">
        <color theme="0" tint="-0.14996795556505021"/>
      </left>
      <right/>
      <top style="thin">
        <color theme="7"/>
      </top>
      <bottom style="thick">
        <color theme="4" tint="0.499984740745262"/>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7"/>
      </top>
      <bottom/>
      <diagonal/>
    </border>
    <border>
      <left style="thin">
        <color theme="0" tint="-0.14996795556505021"/>
      </left>
      <right style="thin">
        <color theme="0" tint="-0.14996795556505021"/>
      </right>
      <top style="thin">
        <color theme="7"/>
      </top>
      <bottom/>
      <diagonal/>
    </border>
    <border>
      <left style="thin">
        <color theme="0" tint="-0.14996795556505021"/>
      </left>
      <right/>
      <top style="thin">
        <color theme="7"/>
      </top>
      <bottom/>
      <diagonal/>
    </border>
    <border>
      <left/>
      <right style="thin">
        <color theme="0" tint="-0.14996795556505021"/>
      </right>
      <top/>
      <bottom style="thick">
        <color theme="4" tint="0.499984740745262"/>
      </bottom>
      <diagonal/>
    </border>
    <border>
      <left style="thin">
        <color theme="0" tint="-0.14996795556505021"/>
      </left>
      <right style="thin">
        <color theme="0" tint="-0.14996795556505021"/>
      </right>
      <top/>
      <bottom style="thick">
        <color theme="4" tint="0.499984740745262"/>
      </bottom>
      <diagonal/>
    </border>
    <border>
      <left style="thin">
        <color theme="0" tint="-0.14996795556505021"/>
      </left>
      <right/>
      <top/>
      <bottom style="thick">
        <color theme="4" tint="0.49998474074526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6795556505021"/>
      </left>
      <right/>
      <top style="thin">
        <color theme="7"/>
      </top>
      <bottom style="thin">
        <color theme="7"/>
      </bottom>
      <diagonal/>
    </border>
    <border>
      <left style="thin">
        <color indexed="64"/>
      </left>
      <right style="thin">
        <color indexed="64"/>
      </right>
      <top style="thin">
        <color indexed="64"/>
      </top>
      <bottom style="thin">
        <color indexed="64"/>
      </bottom>
      <diagonal/>
    </border>
    <border>
      <left/>
      <right/>
      <top/>
      <bottom style="thin">
        <color theme="7"/>
      </bottom>
      <diagonal/>
    </border>
    <border>
      <left style="thin">
        <color theme="0" tint="-4.9989318521683403E-2"/>
      </left>
      <right style="thin">
        <color theme="0" tint="-4.9989318521683403E-2"/>
      </right>
      <top style="thin">
        <color theme="0" tint="-4.9989318521683403E-2"/>
      </top>
      <bottom style="thin">
        <color theme="7"/>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C8C8C8"/>
      </left>
      <right style="thin">
        <color rgb="FFC8C8C8"/>
      </right>
      <top style="thin">
        <color rgb="FFC8C8C8"/>
      </top>
      <bottom style="thin">
        <color rgb="FFC8C8C8"/>
      </bottom>
      <diagonal/>
    </border>
    <border>
      <left style="thin">
        <color theme="0" tint="-0.14996795556505021"/>
      </left>
      <right/>
      <top/>
      <bottom style="thin">
        <color theme="7"/>
      </bottom>
      <diagonal/>
    </border>
    <border>
      <left style="thin">
        <color rgb="FFC8C8C8"/>
      </left>
      <right style="thin">
        <color rgb="FFC8C8C8"/>
      </right>
      <top style="thin">
        <color rgb="FFC8C8C8"/>
      </top>
      <bottom/>
      <diagonal/>
    </border>
    <border>
      <left style="thin">
        <color rgb="FFC8C8C8"/>
      </left>
      <right style="thin">
        <color rgb="FFC8C8C8"/>
      </right>
      <top/>
      <bottom style="thin">
        <color rgb="FFC8C8C8"/>
      </bottom>
      <diagonal/>
    </border>
    <border>
      <left style="thin">
        <color rgb="FFC8C8C8"/>
      </left>
      <right style="thin">
        <color rgb="FFC8C8C8"/>
      </right>
      <top/>
      <bottom/>
      <diagonal/>
    </border>
  </borders>
  <cellStyleXfs count="10">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164"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9" fillId="0" borderId="0"/>
    <xf numFmtId="164" fontId="10" fillId="0" borderId="0" applyFont="0" applyFill="0" applyBorder="0" applyAlignment="0" applyProtection="0"/>
    <xf numFmtId="0" fontId="9" fillId="0" borderId="0"/>
  </cellStyleXfs>
  <cellXfs count="257">
    <xf numFmtId="0" fontId="0" fillId="0" borderId="0" xfId="0"/>
    <xf numFmtId="0" fontId="5" fillId="0" borderId="0" xfId="2" applyFont="1" applyAlignment="1" applyProtection="1">
      <alignment horizontal="right" vertical="center"/>
      <protection hidden="1"/>
    </xf>
    <xf numFmtId="0" fontId="0" fillId="4" borderId="0" xfId="0" applyFill="1" applyProtection="1">
      <protection hidden="1"/>
    </xf>
    <xf numFmtId="0" fontId="0" fillId="0" borderId="0" xfId="0" applyAlignment="1">
      <alignment horizontal="center" vertical="center"/>
    </xf>
    <xf numFmtId="0" fontId="5" fillId="0" borderId="0" xfId="2" applyFont="1" applyFill="1" applyAlignment="1" applyProtection="1">
      <alignment horizontal="right" vertical="center"/>
      <protection hidden="1"/>
    </xf>
    <xf numFmtId="0" fontId="6" fillId="0" borderId="0" xfId="3" applyFont="1" applyFill="1" applyBorder="1" applyProtection="1">
      <protection hidden="1"/>
    </xf>
    <xf numFmtId="0" fontId="7" fillId="4" borderId="0" xfId="0" applyFont="1" applyFill="1" applyAlignment="1" applyProtection="1">
      <alignment horizontal="left" vertical="center" indent="1"/>
      <protection hidden="1"/>
    </xf>
    <xf numFmtId="0" fontId="1" fillId="0" borderId="1" xfId="1" applyAlignment="1" applyProtection="1">
      <alignment vertical="center"/>
      <protection hidden="1"/>
    </xf>
    <xf numFmtId="0" fontId="1" fillId="4" borderId="1" xfId="1" applyFill="1" applyProtection="1">
      <protection hidden="1"/>
    </xf>
    <xf numFmtId="0" fontId="7" fillId="4" borderId="0" xfId="0" applyFont="1" applyFill="1" applyAlignment="1" applyProtection="1">
      <alignment horizontal="left" vertical="center"/>
      <protection hidden="1"/>
    </xf>
    <xf numFmtId="0" fontId="2" fillId="0" borderId="0" xfId="2" applyAlignment="1" applyProtection="1">
      <alignment horizontal="right" vertical="center"/>
      <protection hidden="1"/>
    </xf>
    <xf numFmtId="0" fontId="0" fillId="4" borderId="0" xfId="0" applyFill="1" applyAlignment="1" applyProtection="1">
      <alignment vertical="center"/>
      <protection hidden="1"/>
    </xf>
    <xf numFmtId="0" fontId="6" fillId="3" borderId="2" xfId="3" applyFont="1" applyFill="1" applyAlignment="1" applyProtection="1">
      <alignment horizontal="left" vertical="center"/>
      <protection hidden="1"/>
    </xf>
    <xf numFmtId="0" fontId="0" fillId="4" borderId="0" xfId="0" applyFill="1" applyAlignment="1" applyProtection="1">
      <alignment horizontal="left" vertical="center"/>
      <protection hidden="1"/>
    </xf>
    <xf numFmtId="0" fontId="0" fillId="0" borderId="0" xfId="0" applyAlignment="1" applyProtection="1">
      <alignment horizontal="left" vertical="center"/>
      <protection hidden="1"/>
    </xf>
    <xf numFmtId="0" fontId="6" fillId="0" borderId="0" xfId="3" applyFont="1" applyFill="1" applyBorder="1" applyAlignment="1" applyProtection="1">
      <alignment horizontal="left" vertical="center"/>
      <protection hidden="1"/>
    </xf>
    <xf numFmtId="0" fontId="0" fillId="0" borderId="0" xfId="0" applyProtection="1">
      <protection locked="0"/>
    </xf>
    <xf numFmtId="0" fontId="1" fillId="0" borderId="1" xfId="1" applyFill="1" applyProtection="1">
      <protection hidden="1"/>
    </xf>
    <xf numFmtId="0" fontId="1" fillId="0" borderId="0" xfId="1" applyFill="1" applyBorder="1" applyProtection="1">
      <protection hidden="1"/>
    </xf>
    <xf numFmtId="0" fontId="0" fillId="0" borderId="0" xfId="0" applyAlignment="1" applyProtection="1">
      <alignment horizontal="center" vertical="center"/>
      <protection locked="0"/>
    </xf>
    <xf numFmtId="0" fontId="0" fillId="4" borderId="0" xfId="0" applyFill="1" applyAlignment="1" applyProtection="1">
      <alignment horizontal="center" vertical="center"/>
      <protection hidden="1"/>
    </xf>
    <xf numFmtId="0" fontId="4" fillId="0" borderId="0" xfId="0" applyFont="1" applyAlignment="1">
      <alignment vertical="center"/>
    </xf>
    <xf numFmtId="0" fontId="0" fillId="0" borderId="0" xfId="0" applyProtection="1">
      <protection hidden="1"/>
    </xf>
    <xf numFmtId="0" fontId="4" fillId="0" borderId="0" xfId="0" applyFont="1" applyAlignment="1" applyProtection="1">
      <alignment vertical="center"/>
      <protection hidden="1"/>
    </xf>
    <xf numFmtId="0" fontId="0" fillId="0" borderId="0" xfId="0" applyProtection="1">
      <protection locked="0" hidden="1"/>
    </xf>
    <xf numFmtId="0" fontId="0" fillId="0" borderId="0" xfId="0" applyAlignment="1" applyProtection="1">
      <alignment horizontal="center" vertical="center"/>
      <protection locked="0" hidden="1"/>
    </xf>
    <xf numFmtId="167" fontId="0" fillId="0" borderId="0" xfId="4" applyNumberFormat="1" applyFont="1" applyProtection="1">
      <protection locked="0" hidden="1"/>
    </xf>
    <xf numFmtId="0" fontId="5" fillId="0" borderId="0" xfId="2" applyFont="1" applyAlignment="1" applyProtection="1">
      <alignment horizontal="right" vertical="center"/>
    </xf>
    <xf numFmtId="0" fontId="6" fillId="3" borderId="2" xfId="3" applyFont="1" applyFill="1" applyAlignment="1" applyProtection="1">
      <alignment horizontal="left" vertical="center"/>
    </xf>
    <xf numFmtId="3" fontId="6" fillId="0" borderId="0" xfId="3" applyNumberFormat="1" applyFont="1" applyFill="1" applyBorder="1" applyAlignment="1" applyProtection="1">
      <alignment horizontal="left" vertical="center"/>
    </xf>
    <xf numFmtId="0" fontId="6" fillId="0" borderId="0" xfId="3" applyFont="1" applyFill="1" applyBorder="1" applyAlignment="1" applyProtection="1">
      <alignment horizontal="left" vertical="center"/>
    </xf>
    <xf numFmtId="167" fontId="11" fillId="0" borderId="11" xfId="4" applyNumberFormat="1" applyFont="1" applyFill="1" applyBorder="1" applyAlignment="1" applyProtection="1">
      <alignment horizontal="center" vertical="center"/>
      <protection hidden="1"/>
    </xf>
    <xf numFmtId="9" fontId="11" fillId="0" borderId="12" xfId="5" applyFont="1" applyFill="1" applyBorder="1" applyAlignment="1" applyProtection="1">
      <alignment horizontal="center" vertical="center"/>
      <protection hidden="1"/>
    </xf>
    <xf numFmtId="0" fontId="2" fillId="0" borderId="7" xfId="1" applyFont="1" applyBorder="1" applyAlignment="1">
      <alignment horizontal="center" vertical="center" wrapText="1"/>
    </xf>
    <xf numFmtId="0" fontId="2" fillId="0" borderId="8" xfId="1" applyFont="1" applyBorder="1" applyAlignment="1">
      <alignment horizontal="center" vertical="center" wrapText="1"/>
    </xf>
    <xf numFmtId="0" fontId="2" fillId="0" borderId="8" xfId="1" applyFont="1" applyBorder="1" applyAlignment="1">
      <alignment horizontal="center" vertical="center" textRotation="90" wrapText="1"/>
    </xf>
    <xf numFmtId="0" fontId="2" fillId="0" borderId="9" xfId="1" applyFont="1" applyBorder="1" applyAlignment="1">
      <alignment horizontal="center" vertical="center" textRotation="90" wrapText="1"/>
    </xf>
    <xf numFmtId="0" fontId="2" fillId="0" borderId="7" xfId="1" applyFont="1" applyFill="1" applyBorder="1" applyAlignment="1" applyProtection="1">
      <alignment horizontal="center" vertical="center" wrapText="1"/>
      <protection hidden="1"/>
    </xf>
    <xf numFmtId="0" fontId="2" fillId="0" borderId="8" xfId="1" applyFont="1" applyBorder="1" applyAlignment="1" applyProtection="1">
      <alignment horizontal="center" vertical="center" wrapText="1"/>
      <protection hidden="1"/>
    </xf>
    <xf numFmtId="0" fontId="2" fillId="0" borderId="9" xfId="1" applyFont="1" applyBorder="1" applyAlignment="1" applyProtection="1">
      <alignment horizontal="center" vertical="center" wrapText="1"/>
      <protection hidden="1"/>
    </xf>
    <xf numFmtId="0" fontId="2" fillId="0" borderId="13" xfId="1" applyFont="1" applyBorder="1" applyAlignment="1" applyProtection="1">
      <alignment horizontal="center" vertical="center" wrapText="1"/>
    </xf>
    <xf numFmtId="0" fontId="2" fillId="0" borderId="14" xfId="1" applyFont="1" applyBorder="1" applyAlignment="1" applyProtection="1">
      <alignment horizontal="center" vertical="center" wrapText="1"/>
    </xf>
    <xf numFmtId="0" fontId="2" fillId="0" borderId="15" xfId="1" applyFont="1" applyBorder="1" applyAlignment="1" applyProtection="1">
      <alignment horizontal="center" vertical="center" wrapText="1"/>
    </xf>
    <xf numFmtId="167" fontId="11" fillId="0" borderId="17" xfId="4" applyNumberFormat="1" applyFont="1" applyFill="1" applyBorder="1" applyAlignment="1" applyProtection="1">
      <alignment horizontal="center" vertical="center"/>
      <protection hidden="1"/>
    </xf>
    <xf numFmtId="3" fontId="2" fillId="0" borderId="14" xfId="1" applyNumberFormat="1" applyFont="1" applyBorder="1" applyAlignment="1" applyProtection="1">
      <alignment horizontal="center" vertical="center" wrapText="1"/>
    </xf>
    <xf numFmtId="0" fontId="2" fillId="0" borderId="14" xfId="1" applyFont="1" applyBorder="1" applyAlignment="1" applyProtection="1">
      <alignment horizontal="center" vertical="center" textRotation="90" wrapText="1"/>
    </xf>
    <xf numFmtId="0" fontId="12" fillId="5" borderId="14" xfId="1" applyFont="1" applyFill="1" applyBorder="1" applyAlignment="1" applyProtection="1">
      <alignment horizontal="center" vertical="center" textRotation="90" wrapText="1"/>
    </xf>
    <xf numFmtId="0" fontId="6" fillId="0" borderId="0" xfId="3" applyFont="1" applyFill="1" applyBorder="1" applyProtection="1">
      <protection locked="0"/>
    </xf>
    <xf numFmtId="165" fontId="8" fillId="0" borderId="0" xfId="3" applyNumberFormat="1" applyFont="1" applyFill="1" applyBorder="1" applyAlignment="1" applyProtection="1">
      <alignment horizontal="center" vertical="center" wrapText="1"/>
      <protection locked="0"/>
    </xf>
    <xf numFmtId="166" fontId="8" fillId="0" borderId="0" xfId="3" applyNumberFormat="1" applyFont="1" applyFill="1" applyBorder="1" applyAlignment="1" applyProtection="1">
      <alignment horizontal="center" vertical="center" wrapText="1"/>
      <protection locked="0"/>
    </xf>
    <xf numFmtId="0" fontId="6" fillId="3" borderId="11" xfId="3" applyFont="1" applyFill="1" applyBorder="1" applyProtection="1">
      <protection locked="0"/>
    </xf>
    <xf numFmtId="165" fontId="8" fillId="3" borderId="19" xfId="3" applyNumberFormat="1" applyFont="1" applyFill="1" applyBorder="1" applyAlignment="1" applyProtection="1">
      <alignment horizontal="center" vertical="center" wrapText="1"/>
      <protection locked="0"/>
    </xf>
    <xf numFmtId="166" fontId="8" fillId="3" borderId="19" xfId="3" applyNumberFormat="1" applyFont="1" applyFill="1" applyBorder="1" applyAlignment="1" applyProtection="1">
      <alignment horizontal="center" vertical="center" wrapText="1"/>
      <protection locked="0"/>
    </xf>
    <xf numFmtId="168" fontId="0" fillId="0" borderId="0" xfId="0" applyNumberFormat="1" applyAlignment="1">
      <alignment horizontal="center" vertical="center"/>
    </xf>
    <xf numFmtId="0" fontId="4" fillId="0" borderId="0" xfId="0" applyFont="1" applyAlignment="1">
      <alignment horizontal="center" vertical="center"/>
    </xf>
    <xf numFmtId="0" fontId="16" fillId="0" borderId="0" xfId="1" applyFont="1" applyFill="1" applyBorder="1" applyAlignment="1" applyProtection="1">
      <alignment horizontal="center"/>
      <protection hidden="1"/>
    </xf>
    <xf numFmtId="167" fontId="11" fillId="17" borderId="11" xfId="4" applyNumberFormat="1" applyFont="1" applyFill="1" applyBorder="1" applyAlignment="1" applyProtection="1">
      <alignment horizontal="center" vertical="center"/>
      <protection hidden="1"/>
    </xf>
    <xf numFmtId="9" fontId="11" fillId="17" borderId="12" xfId="5" applyFont="1" applyFill="1" applyBorder="1" applyAlignment="1" applyProtection="1">
      <alignment horizontal="center" vertical="center"/>
      <protection hidden="1"/>
    </xf>
    <xf numFmtId="167" fontId="11" fillId="17" borderId="17" xfId="4" applyNumberFormat="1" applyFont="1" applyFill="1" applyBorder="1" applyAlignment="1" applyProtection="1">
      <alignment horizontal="center" vertical="center"/>
      <protection hidden="1"/>
    </xf>
    <xf numFmtId="9" fontId="11" fillId="17" borderId="18" xfId="5" applyFont="1" applyFill="1" applyBorder="1" applyAlignment="1" applyProtection="1">
      <alignment horizontal="center" vertical="center"/>
      <protection hidden="1"/>
    </xf>
    <xf numFmtId="0" fontId="0" fillId="0" borderId="0" xfId="0" applyAlignment="1">
      <alignment horizontal="right" vertical="center"/>
    </xf>
    <xf numFmtId="169" fontId="0" fillId="0" borderId="0" xfId="0" applyNumberFormat="1" applyAlignment="1">
      <alignment horizontal="center" vertical="center"/>
    </xf>
    <xf numFmtId="0" fontId="2" fillId="0" borderId="0" xfId="2" applyFill="1" applyBorder="1" applyAlignment="1" applyProtection="1">
      <alignment horizontal="center" vertical="center"/>
      <protection hidden="1"/>
    </xf>
    <xf numFmtId="0" fontId="20" fillId="0" borderId="0" xfId="0" applyFont="1" applyAlignment="1">
      <alignment horizontal="right"/>
    </xf>
    <xf numFmtId="0" fontId="20" fillId="0" borderId="0" xfId="0" applyFont="1" applyAlignment="1">
      <alignment horizontal="right" vertical="center"/>
    </xf>
    <xf numFmtId="0" fontId="21" fillId="11" borderId="30" xfId="0" applyFont="1" applyFill="1" applyBorder="1" applyAlignment="1">
      <alignment horizontal="center" vertical="center"/>
    </xf>
    <xf numFmtId="0" fontId="21" fillId="12" borderId="30" xfId="0" applyFont="1" applyFill="1" applyBorder="1" applyAlignment="1">
      <alignment horizontal="center" vertical="center"/>
    </xf>
    <xf numFmtId="0" fontId="21" fillId="13" borderId="30" xfId="0" applyFont="1" applyFill="1" applyBorder="1" applyAlignment="1">
      <alignment horizontal="center" vertical="center"/>
    </xf>
    <xf numFmtId="0" fontId="21" fillId="14" borderId="30" xfId="0" applyFont="1" applyFill="1" applyBorder="1" applyAlignment="1">
      <alignment horizontal="center" vertical="center"/>
    </xf>
    <xf numFmtId="0" fontId="21" fillId="10" borderId="29" xfId="0" applyFont="1" applyFill="1" applyBorder="1" applyAlignment="1">
      <alignment horizontal="center" vertical="center"/>
    </xf>
    <xf numFmtId="0" fontId="21" fillId="8" borderId="29" xfId="0" applyFont="1" applyFill="1" applyBorder="1" applyAlignment="1">
      <alignment horizontal="center" vertical="center"/>
    </xf>
    <xf numFmtId="0" fontId="17"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2" fillId="6" borderId="26" xfId="1" applyFont="1" applyFill="1" applyBorder="1" applyAlignment="1" applyProtection="1">
      <alignment horizontal="center" vertical="center" wrapText="1"/>
      <protection hidden="1"/>
    </xf>
    <xf numFmtId="0" fontId="11" fillId="0" borderId="10" xfId="7" applyFont="1" applyBorder="1" applyAlignment="1" applyProtection="1">
      <alignment horizontal="center" vertical="center"/>
      <protection hidden="1"/>
    </xf>
    <xf numFmtId="0" fontId="11" fillId="0" borderId="16" xfId="7"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15" fillId="0" borderId="0" xfId="0" applyFont="1" applyAlignment="1" applyProtection="1">
      <alignment horizontal="center" vertical="center"/>
      <protection hidden="1"/>
    </xf>
    <xf numFmtId="0" fontId="11" fillId="0" borderId="0" xfId="0" applyFont="1" applyAlignment="1" applyProtection="1">
      <alignment horizontal="center" vertical="center"/>
      <protection hidden="1"/>
    </xf>
    <xf numFmtId="167" fontId="11" fillId="0" borderId="0" xfId="0" applyNumberFormat="1" applyFont="1" applyAlignment="1" applyProtection="1">
      <alignment horizontal="center" vertical="center"/>
      <protection hidden="1"/>
    </xf>
    <xf numFmtId="9" fontId="11" fillId="0" borderId="0" xfId="0" applyNumberFormat="1" applyFont="1" applyAlignment="1" applyProtection="1">
      <alignment horizontal="center" vertical="center"/>
      <protection hidden="1"/>
    </xf>
    <xf numFmtId="0" fontId="2" fillId="0" borderId="6" xfId="1" applyFont="1" applyBorder="1" applyAlignment="1" applyProtection="1">
      <alignment horizontal="center" vertical="center" wrapText="1"/>
      <protection hidden="1"/>
    </xf>
    <xf numFmtId="0" fontId="4" fillId="0" borderId="0" xfId="0" applyFont="1" applyAlignment="1" applyProtection="1">
      <alignment horizontal="left" vertical="center"/>
      <protection hidden="1"/>
    </xf>
    <xf numFmtId="15" fontId="0" fillId="0" borderId="27" xfId="0" applyNumberFormat="1" applyBorder="1" applyAlignment="1" applyProtection="1">
      <alignment horizontal="center" vertical="center"/>
      <protection locked="0" hidden="1"/>
    </xf>
    <xf numFmtId="166" fontId="3" fillId="2" borderId="2" xfId="3" applyNumberFormat="1" applyAlignment="1" applyProtection="1">
      <alignment horizontal="center" vertical="center" wrapText="1"/>
      <protection locked="0" hidden="1"/>
    </xf>
    <xf numFmtId="0" fontId="0" fillId="0" borderId="0" xfId="0" applyAlignment="1" applyProtection="1">
      <alignment horizontal="left" vertical="center" wrapText="1"/>
      <protection locked="0"/>
    </xf>
    <xf numFmtId="0" fontId="4" fillId="0" borderId="0" xfId="0" applyFont="1" applyAlignment="1">
      <alignment horizontal="center" vertical="center" textRotation="90"/>
    </xf>
    <xf numFmtId="0" fontId="7" fillId="4" borderId="0" xfId="0" applyFont="1" applyFill="1" applyAlignment="1" applyProtection="1">
      <alignment vertical="center"/>
      <protection hidden="1"/>
    </xf>
    <xf numFmtId="165" fontId="13" fillId="18" borderId="19" xfId="3" applyNumberFormat="1" applyFont="1" applyFill="1" applyBorder="1" applyAlignment="1" applyProtection="1">
      <alignment horizontal="center" vertical="center" wrapText="1"/>
      <protection locked="0"/>
    </xf>
    <xf numFmtId="166" fontId="8" fillId="18" borderId="19" xfId="3" applyNumberFormat="1" applyFont="1" applyFill="1" applyBorder="1" applyAlignment="1" applyProtection="1">
      <alignment horizontal="center" vertical="center" wrapText="1"/>
      <protection locked="0"/>
    </xf>
    <xf numFmtId="0" fontId="0" fillId="0" borderId="31" xfId="0" applyBorder="1"/>
    <xf numFmtId="0" fontId="0" fillId="0" borderId="31" xfId="0" applyBorder="1" applyAlignment="1" applyProtection="1">
      <alignment horizontal="center" vertical="center"/>
      <protection locked="0"/>
    </xf>
    <xf numFmtId="0" fontId="12" fillId="6" borderId="32" xfId="1" applyFont="1" applyFill="1" applyBorder="1" applyAlignment="1" applyProtection="1">
      <alignment horizontal="center" vertical="center" wrapText="1"/>
      <protection hidden="1"/>
    </xf>
    <xf numFmtId="0" fontId="17" fillId="0" borderId="31" xfId="0" applyFont="1" applyBorder="1" applyAlignment="1" applyProtection="1">
      <alignment horizontal="center" vertical="center"/>
      <protection hidden="1"/>
    </xf>
    <xf numFmtId="0" fontId="18" fillId="0" borderId="31" xfId="0" applyFont="1" applyBorder="1" applyAlignment="1" applyProtection="1">
      <alignment horizontal="center" vertical="center"/>
      <protection hidden="1"/>
    </xf>
    <xf numFmtId="0" fontId="12" fillId="6" borderId="31" xfId="1" applyFont="1" applyFill="1" applyBorder="1" applyAlignment="1" applyProtection="1">
      <alignment horizontal="center" vertical="center" wrapText="1"/>
      <protection hidden="1"/>
    </xf>
    <xf numFmtId="3" fontId="4" fillId="19" borderId="31" xfId="0" applyNumberFormat="1" applyFont="1" applyFill="1" applyBorder="1" applyProtection="1">
      <protection hidden="1"/>
    </xf>
    <xf numFmtId="0" fontId="4" fillId="19" borderId="31" xfId="0" applyFont="1" applyFill="1" applyBorder="1" applyAlignment="1" applyProtection="1">
      <alignment horizontal="center" vertical="center"/>
      <protection hidden="1"/>
    </xf>
    <xf numFmtId="0" fontId="0" fillId="0" borderId="31" xfId="0" applyBorder="1" applyProtection="1">
      <protection locked="0"/>
    </xf>
    <xf numFmtId="3" fontId="0" fillId="0" borderId="31" xfId="0" applyNumberFormat="1" applyBorder="1" applyProtection="1">
      <protection locked="0"/>
    </xf>
    <xf numFmtId="0" fontId="0" fillId="0" borderId="31" xfId="0" applyBorder="1" applyAlignment="1" applyProtection="1">
      <alignment horizontal="center" vertical="center"/>
      <protection hidden="1"/>
    </xf>
    <xf numFmtId="171" fontId="0" fillId="21" borderId="31" xfId="0" applyNumberFormat="1" applyFill="1" applyBorder="1" applyAlignment="1" applyProtection="1">
      <alignment horizontal="center" vertical="center"/>
      <protection hidden="1"/>
    </xf>
    <xf numFmtId="0" fontId="0" fillId="20" borderId="31" xfId="0" applyFill="1" applyBorder="1" applyAlignment="1" applyProtection="1">
      <alignment horizontal="center" vertical="center"/>
      <protection hidden="1"/>
    </xf>
    <xf numFmtId="171" fontId="0" fillId="21" borderId="31" xfId="0" applyNumberFormat="1" applyFill="1" applyBorder="1" applyAlignment="1" applyProtection="1">
      <alignment horizontal="center" vertical="center"/>
      <protection locked="0"/>
    </xf>
    <xf numFmtId="0" fontId="0" fillId="0" borderId="33" xfId="0" applyBorder="1" applyAlignment="1" applyProtection="1">
      <alignment horizontal="center" vertical="center"/>
      <protection hidden="1"/>
    </xf>
    <xf numFmtId="0" fontId="0" fillId="0" borderId="33" xfId="0" applyBorder="1" applyAlignment="1" applyProtection="1">
      <alignment horizontal="center" vertical="center"/>
      <protection locked="0"/>
    </xf>
    <xf numFmtId="171" fontId="0" fillId="0" borderId="31" xfId="0" applyNumberFormat="1" applyBorder="1" applyAlignment="1" applyProtection="1">
      <alignment horizontal="center" vertical="center"/>
      <protection locked="0"/>
    </xf>
    <xf numFmtId="167" fontId="0" fillId="0" borderId="31" xfId="4" applyNumberFormat="1" applyFont="1" applyBorder="1" applyProtection="1">
      <protection hidden="1"/>
    </xf>
    <xf numFmtId="0" fontId="0" fillId="0" borderId="33" xfId="0" applyBorder="1"/>
    <xf numFmtId="0" fontId="0" fillId="0" borderId="33" xfId="0" applyBorder="1" applyProtection="1">
      <protection locked="0"/>
    </xf>
    <xf numFmtId="3" fontId="0" fillId="0" borderId="33" xfId="0" applyNumberFormat="1" applyBorder="1" applyProtection="1">
      <protection locked="0"/>
    </xf>
    <xf numFmtId="171" fontId="0" fillId="0" borderId="33" xfId="0" applyNumberFormat="1" applyBorder="1" applyAlignment="1" applyProtection="1">
      <alignment horizontal="center" vertical="center"/>
      <protection locked="0"/>
    </xf>
    <xf numFmtId="167" fontId="0" fillId="0" borderId="33" xfId="4" applyNumberFormat="1" applyFont="1" applyBorder="1" applyProtection="1">
      <protection hidden="1"/>
    </xf>
    <xf numFmtId="3" fontId="4" fillId="19" borderId="34" xfId="0" applyNumberFormat="1" applyFont="1" applyFill="1" applyBorder="1" applyProtection="1">
      <protection hidden="1"/>
    </xf>
    <xf numFmtId="0" fontId="4" fillId="19" borderId="34" xfId="0" applyFont="1" applyFill="1" applyBorder="1" applyAlignment="1" applyProtection="1">
      <alignment horizontal="center" vertical="center"/>
      <protection hidden="1"/>
    </xf>
    <xf numFmtId="171" fontId="0" fillId="21" borderId="33" xfId="0" applyNumberFormat="1" applyFill="1" applyBorder="1" applyAlignment="1" applyProtection="1">
      <alignment horizontal="center" vertical="center"/>
      <protection locked="0"/>
    </xf>
    <xf numFmtId="171" fontId="0" fillId="21" borderId="34" xfId="0" applyNumberFormat="1" applyFill="1" applyBorder="1" applyAlignment="1" applyProtection="1">
      <alignment horizontal="center" vertical="center"/>
      <protection locked="0"/>
    </xf>
    <xf numFmtId="0" fontId="0" fillId="0" borderId="35" xfId="0" applyBorder="1"/>
    <xf numFmtId="0" fontId="0" fillId="0" borderId="35" xfId="0" applyBorder="1" applyAlignment="1" applyProtection="1">
      <alignment horizontal="center" vertical="center"/>
      <protection hidden="1"/>
    </xf>
    <xf numFmtId="167" fontId="0" fillId="0" borderId="35" xfId="4" applyNumberFormat="1" applyFont="1" applyBorder="1" applyProtection="1">
      <protection hidden="1"/>
    </xf>
    <xf numFmtId="171" fontId="0" fillId="21" borderId="35" xfId="0" applyNumberFormat="1" applyFill="1" applyBorder="1" applyAlignment="1" applyProtection="1">
      <alignment horizontal="center" vertical="center"/>
      <protection locked="0"/>
    </xf>
    <xf numFmtId="0" fontId="0" fillId="0" borderId="31" xfId="0" applyBorder="1" applyProtection="1">
      <protection locked="0" hidden="1"/>
    </xf>
    <xf numFmtId="3" fontId="0" fillId="0" borderId="31" xfId="0" applyNumberFormat="1" applyBorder="1" applyProtection="1">
      <protection locked="0" hidden="1"/>
    </xf>
    <xf numFmtId="0" fontId="0" fillId="0" borderId="33" xfId="0" applyBorder="1" applyProtection="1">
      <protection locked="0" hidden="1"/>
    </xf>
    <xf numFmtId="3" fontId="0" fillId="0" borderId="33" xfId="0" applyNumberFormat="1" applyBorder="1" applyProtection="1">
      <protection locked="0" hidden="1"/>
    </xf>
    <xf numFmtId="0" fontId="4" fillId="19" borderId="33" xfId="0" applyFont="1" applyFill="1" applyBorder="1" applyAlignment="1" applyProtection="1">
      <alignment horizontal="center" vertical="center"/>
      <protection locked="0"/>
    </xf>
    <xf numFmtId="0" fontId="4" fillId="19" borderId="31" xfId="0" applyFont="1" applyFill="1" applyBorder="1" applyAlignment="1" applyProtection="1">
      <alignment horizontal="center" vertical="center"/>
      <protection locked="0"/>
    </xf>
    <xf numFmtId="0" fontId="0" fillId="20" borderId="31" xfId="0" applyFill="1" applyBorder="1" applyAlignment="1" applyProtection="1">
      <alignment horizontal="center" vertical="center"/>
      <protection locked="0"/>
    </xf>
    <xf numFmtId="0" fontId="0" fillId="20" borderId="33" xfId="0" applyFill="1" applyBorder="1" applyAlignment="1" applyProtection="1">
      <alignment horizontal="center" vertical="center"/>
      <protection locked="0"/>
    </xf>
    <xf numFmtId="0" fontId="4" fillId="19" borderId="34" xfId="0" applyFont="1" applyFill="1" applyBorder="1" applyAlignment="1" applyProtection="1">
      <alignment horizontal="center" vertical="center"/>
      <protection locked="0"/>
    </xf>
    <xf numFmtId="0" fontId="0" fillId="20" borderId="34" xfId="0" applyFill="1" applyBorder="1" applyAlignment="1" applyProtection="1">
      <alignment horizontal="center" vertical="center"/>
      <protection locked="0"/>
    </xf>
    <xf numFmtId="0" fontId="4" fillId="19" borderId="35" xfId="0" applyFont="1" applyFill="1" applyBorder="1" applyAlignment="1" applyProtection="1">
      <alignment horizontal="center" vertical="center"/>
      <protection locked="0"/>
    </xf>
    <xf numFmtId="0" fontId="0" fillId="20" borderId="35" xfId="0" applyFill="1" applyBorder="1" applyAlignment="1" applyProtection="1">
      <alignment horizontal="center" vertical="center"/>
      <protection locked="0"/>
    </xf>
    <xf numFmtId="0" fontId="23" fillId="0" borderId="33" xfId="0" applyFont="1" applyBorder="1" applyAlignment="1" applyProtection="1">
      <alignment horizontal="center" vertical="center"/>
      <protection locked="0"/>
    </xf>
    <xf numFmtId="3" fontId="4" fillId="19" borderId="33" xfId="0" applyNumberFormat="1" applyFont="1" applyFill="1" applyBorder="1" applyProtection="1">
      <protection hidden="1"/>
    </xf>
    <xf numFmtId="0" fontId="4" fillId="19" borderId="33" xfId="0" applyFont="1" applyFill="1" applyBorder="1" applyAlignment="1" applyProtection="1">
      <alignment horizontal="center" vertical="center"/>
      <protection hidden="1"/>
    </xf>
    <xf numFmtId="0" fontId="0" fillId="0" borderId="34" xfId="0" applyBorder="1"/>
    <xf numFmtId="0" fontId="0" fillId="0" borderId="34" xfId="0" applyBorder="1" applyAlignment="1" applyProtection="1">
      <alignment horizontal="center" vertical="center"/>
      <protection hidden="1"/>
    </xf>
    <xf numFmtId="167" fontId="0" fillId="0" borderId="34" xfId="4" applyNumberFormat="1" applyFont="1" applyBorder="1" applyProtection="1">
      <protection hidden="1"/>
    </xf>
    <xf numFmtId="171" fontId="0" fillId="4" borderId="33" xfId="0" applyNumberFormat="1" applyFill="1" applyBorder="1" applyAlignment="1" applyProtection="1">
      <alignment horizontal="center" vertical="center"/>
      <protection locked="0"/>
    </xf>
    <xf numFmtId="0" fontId="0" fillId="4" borderId="33" xfId="0" applyFill="1" applyBorder="1" applyAlignment="1" applyProtection="1">
      <alignment horizontal="center" vertical="center"/>
      <protection locked="0"/>
    </xf>
    <xf numFmtId="171" fontId="24" fillId="0" borderId="33" xfId="0" applyNumberFormat="1" applyFont="1" applyBorder="1" applyAlignment="1" applyProtection="1">
      <alignment horizontal="center" vertical="center"/>
      <protection locked="0"/>
    </xf>
    <xf numFmtId="0" fontId="0" fillId="0" borderId="33" xfId="0" applyBorder="1" applyAlignment="1">
      <alignment horizontal="left"/>
    </xf>
    <xf numFmtId="0" fontId="0" fillId="0" borderId="31" xfId="0" applyBorder="1" applyAlignment="1">
      <alignment horizontal="left"/>
    </xf>
    <xf numFmtId="3" fontId="4" fillId="0" borderId="0" xfId="0" applyNumberFormat="1" applyFont="1" applyAlignment="1">
      <alignment horizontal="left" vertical="center"/>
    </xf>
    <xf numFmtId="3" fontId="0" fillId="0" borderId="0" xfId="0" applyNumberFormat="1"/>
    <xf numFmtId="0" fontId="0" fillId="4" borderId="0" xfId="0" applyFill="1" applyAlignment="1">
      <alignment horizontal="left" vertical="center"/>
    </xf>
    <xf numFmtId="3" fontId="0" fillId="0" borderId="0" xfId="0" applyNumberFormat="1" applyAlignment="1">
      <alignment horizontal="left" vertical="center"/>
    </xf>
    <xf numFmtId="0" fontId="4" fillId="19" borderId="31" xfId="0" applyFont="1" applyFill="1" applyBorder="1" applyAlignment="1">
      <alignment horizontal="center"/>
    </xf>
    <xf numFmtId="0" fontId="4" fillId="19" borderId="31" xfId="0" applyFont="1" applyFill="1" applyBorder="1" applyAlignment="1">
      <alignment horizontal="left"/>
    </xf>
    <xf numFmtId="3" fontId="4" fillId="19" borderId="31" xfId="0" applyNumberFormat="1" applyFont="1" applyFill="1" applyBorder="1"/>
    <xf numFmtId="0" fontId="4" fillId="19" borderId="31" xfId="0" applyFont="1" applyFill="1" applyBorder="1"/>
    <xf numFmtId="0" fontId="0" fillId="0" borderId="31" xfId="0" applyBorder="1" applyAlignment="1">
      <alignment horizontal="center"/>
    </xf>
    <xf numFmtId="3" fontId="0" fillId="0" borderId="31" xfId="0" applyNumberFormat="1" applyBorder="1"/>
    <xf numFmtId="0" fontId="0" fillId="0" borderId="33" xfId="0" applyBorder="1" applyAlignment="1">
      <alignment horizontal="center"/>
    </xf>
    <xf numFmtId="3" fontId="0" fillId="0" borderId="33" xfId="0" applyNumberFormat="1" applyBorder="1"/>
    <xf numFmtId="0" fontId="4" fillId="19" borderId="34" xfId="0" applyFont="1" applyFill="1" applyBorder="1" applyAlignment="1">
      <alignment horizontal="center"/>
    </xf>
    <xf numFmtId="0" fontId="4" fillId="19" borderId="34" xfId="0" applyFont="1" applyFill="1" applyBorder="1" applyAlignment="1">
      <alignment horizontal="left"/>
    </xf>
    <xf numFmtId="3" fontId="4" fillId="19" borderId="34" xfId="0" applyNumberFormat="1" applyFont="1" applyFill="1" applyBorder="1"/>
    <xf numFmtId="0" fontId="4" fillId="19" borderId="34" xfId="0" applyFont="1" applyFill="1" applyBorder="1"/>
    <xf numFmtId="0" fontId="4" fillId="19" borderId="33" xfId="0" applyFont="1" applyFill="1" applyBorder="1" applyAlignment="1">
      <alignment horizontal="center"/>
    </xf>
    <xf numFmtId="0" fontId="4" fillId="19" borderId="33" xfId="0" applyFont="1" applyFill="1" applyBorder="1" applyAlignment="1">
      <alignment horizontal="left"/>
    </xf>
    <xf numFmtId="3" fontId="4" fillId="19" borderId="33" xfId="0" applyNumberFormat="1" applyFont="1" applyFill="1" applyBorder="1"/>
    <xf numFmtId="0" fontId="4" fillId="19" borderId="33" xfId="0" applyFont="1" applyFill="1" applyBorder="1"/>
    <xf numFmtId="0" fontId="4" fillId="0" borderId="0" xfId="0" applyFont="1" applyAlignment="1">
      <alignment horizontal="left" vertical="center"/>
    </xf>
    <xf numFmtId="0" fontId="0" fillId="0" borderId="0" xfId="0" applyAlignment="1">
      <alignment horizontal="center" vertical="center" wrapText="1"/>
    </xf>
    <xf numFmtId="0" fontId="0" fillId="0" borderId="0" xfId="0" applyAlignment="1">
      <alignment horizontal="left" vertical="center"/>
    </xf>
    <xf numFmtId="0" fontId="4" fillId="0" borderId="0" xfId="0" applyFont="1" applyAlignment="1">
      <alignment horizontal="right"/>
    </xf>
    <xf numFmtId="0" fontId="4" fillId="11" borderId="0" xfId="0" applyFont="1" applyFill="1" applyAlignment="1">
      <alignment horizontal="center" vertical="center"/>
    </xf>
    <xf numFmtId="0" fontId="4" fillId="12" borderId="0" xfId="0" applyFont="1" applyFill="1" applyAlignment="1">
      <alignment horizontal="center" vertical="center"/>
    </xf>
    <xf numFmtId="0" fontId="4" fillId="13" borderId="0" xfId="0" applyFont="1" applyFill="1" applyAlignment="1">
      <alignment horizontal="center" vertical="center"/>
    </xf>
    <xf numFmtId="0" fontId="4" fillId="14" borderId="0" xfId="0" applyFont="1" applyFill="1" applyAlignment="1">
      <alignment horizontal="center" vertical="center"/>
    </xf>
    <xf numFmtId="0" fontId="4" fillId="0" borderId="0" xfId="0" applyFont="1" applyAlignment="1">
      <alignment horizontal="right" vertical="center"/>
    </xf>
    <xf numFmtId="0" fontId="4" fillId="8" borderId="0" xfId="0" applyFont="1" applyFill="1" applyAlignment="1">
      <alignment horizontal="center" vertical="center"/>
    </xf>
    <xf numFmtId="0" fontId="4" fillId="0" borderId="0" xfId="0" applyFont="1" applyAlignment="1">
      <alignment horizontal="center" vertical="center" wrapText="1"/>
    </xf>
    <xf numFmtId="0" fontId="0" fillId="4" borderId="31" xfId="0" applyFill="1" applyBorder="1" applyAlignment="1" applyProtection="1">
      <alignment horizontal="center" vertical="center"/>
      <protection locked="0"/>
    </xf>
    <xf numFmtId="171" fontId="0" fillId="4" borderId="31" xfId="0" applyNumberFormat="1" applyFill="1" applyBorder="1" applyAlignment="1" applyProtection="1">
      <alignment horizontal="center" vertical="center"/>
      <protection locked="0"/>
    </xf>
    <xf numFmtId="0" fontId="24" fillId="0" borderId="33" xfId="0" applyFont="1" applyBorder="1" applyAlignment="1" applyProtection="1">
      <alignment horizontal="center" vertical="center"/>
      <protection locked="0"/>
    </xf>
    <xf numFmtId="49" fontId="0" fillId="0" borderId="0" xfId="0" applyNumberFormat="1" applyProtection="1">
      <protection locked="0"/>
    </xf>
    <xf numFmtId="0" fontId="0" fillId="0" borderId="31"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22" fillId="0" borderId="31" xfId="0" applyFont="1" applyBorder="1" applyAlignment="1" applyProtection="1">
      <alignment horizontal="left" vertical="center" wrapText="1"/>
      <protection locked="0"/>
    </xf>
    <xf numFmtId="0" fontId="0" fillId="0" borderId="31" xfId="0" applyBorder="1" applyAlignment="1" applyProtection="1">
      <alignment horizontal="center" vertical="center"/>
      <protection hidden="1"/>
    </xf>
    <xf numFmtId="0" fontId="0" fillId="0" borderId="31" xfId="0" applyBorder="1" applyAlignment="1" applyProtection="1">
      <alignment horizontal="left" vertical="center"/>
      <protection hidden="1"/>
    </xf>
    <xf numFmtId="15" fontId="0" fillId="0" borderId="31" xfId="0" applyNumberFormat="1" applyBorder="1" applyAlignment="1" applyProtection="1">
      <alignment horizontal="center" vertical="center"/>
      <protection hidden="1"/>
    </xf>
    <xf numFmtId="171" fontId="0" fillId="21" borderId="31" xfId="0" applyNumberFormat="1" applyFill="1" applyBorder="1" applyAlignment="1" applyProtection="1">
      <alignment horizontal="center" vertical="center"/>
      <protection hidden="1"/>
    </xf>
    <xf numFmtId="0" fontId="0" fillId="0" borderId="31" xfId="0" applyBorder="1" applyAlignment="1" applyProtection="1">
      <alignment horizontal="left" vertical="center"/>
      <protection locked="0"/>
    </xf>
    <xf numFmtId="0" fontId="0" fillId="0" borderId="33" xfId="0" applyBorder="1" applyAlignment="1" applyProtection="1">
      <alignment horizontal="left" vertical="center"/>
      <protection locked="0"/>
    </xf>
    <xf numFmtId="15" fontId="0" fillId="0" borderId="31" xfId="0" applyNumberFormat="1" applyBorder="1" applyAlignment="1" applyProtection="1">
      <alignment horizontal="center" vertical="center"/>
      <protection locked="0"/>
    </xf>
    <xf numFmtId="15" fontId="0" fillId="0" borderId="33" xfId="0" applyNumberFormat="1" applyBorder="1" applyAlignment="1" applyProtection="1">
      <alignment horizontal="center" vertical="center"/>
      <protection locked="0"/>
    </xf>
    <xf numFmtId="171" fontId="0" fillId="21" borderId="31" xfId="0" applyNumberFormat="1" applyFill="1" applyBorder="1" applyAlignment="1" applyProtection="1">
      <alignment horizontal="center" vertical="center"/>
      <protection locked="0"/>
    </xf>
    <xf numFmtId="171" fontId="0" fillId="21" borderId="33" xfId="0" applyNumberFormat="1" applyFill="1" applyBorder="1" applyAlignment="1" applyProtection="1">
      <alignment horizontal="center" vertical="center"/>
      <protection locked="0"/>
    </xf>
    <xf numFmtId="0" fontId="0" fillId="0" borderId="31" xfId="0" applyBorder="1" applyAlignment="1" applyProtection="1">
      <alignment horizontal="left" vertical="center" wrapText="1"/>
      <protection locked="0"/>
    </xf>
    <xf numFmtId="0" fontId="0" fillId="0" borderId="33" xfId="0" applyBorder="1" applyAlignment="1" applyProtection="1">
      <alignment horizontal="left" vertical="center" wrapText="1"/>
      <protection locked="0"/>
    </xf>
    <xf numFmtId="0" fontId="0" fillId="4" borderId="31" xfId="0" applyFill="1" applyBorder="1" applyAlignment="1" applyProtection="1">
      <alignment horizontal="center" vertical="center"/>
      <protection locked="0"/>
    </xf>
    <xf numFmtId="0" fontId="0" fillId="4" borderId="33" xfId="0" applyFill="1" applyBorder="1" applyAlignment="1" applyProtection="1">
      <alignment horizontal="center" vertical="center"/>
      <protection locked="0"/>
    </xf>
    <xf numFmtId="0" fontId="0" fillId="4" borderId="31" xfId="0" applyFill="1" applyBorder="1" applyAlignment="1" applyProtection="1">
      <alignment horizontal="left" vertical="center"/>
      <protection locked="0"/>
    </xf>
    <xf numFmtId="0" fontId="0" fillId="4" borderId="33" xfId="0" applyFill="1" applyBorder="1" applyAlignment="1" applyProtection="1">
      <alignment horizontal="left" vertical="center"/>
      <protection locked="0"/>
    </xf>
    <xf numFmtId="15" fontId="0" fillId="0" borderId="34" xfId="0" applyNumberFormat="1" applyBorder="1" applyAlignment="1" applyProtection="1">
      <alignment horizontal="center" vertical="center"/>
      <protection locked="0"/>
    </xf>
    <xf numFmtId="0" fontId="0" fillId="0" borderId="34" xfId="0" applyBorder="1" applyAlignment="1" applyProtection="1">
      <alignment horizontal="center" vertical="center"/>
      <protection locked="0"/>
    </xf>
    <xf numFmtId="171" fontId="0" fillId="21" borderId="34" xfId="0" applyNumberFormat="1" applyFill="1" applyBorder="1" applyAlignment="1" applyProtection="1">
      <alignment horizontal="center" vertical="center"/>
      <protection locked="0"/>
    </xf>
    <xf numFmtId="0" fontId="0" fillId="4" borderId="34" xfId="0" applyFill="1" applyBorder="1" applyAlignment="1" applyProtection="1">
      <alignment horizontal="center" vertical="center"/>
      <protection locked="0"/>
    </xf>
    <xf numFmtId="0" fontId="0" fillId="4" borderId="34" xfId="0" applyFill="1" applyBorder="1" applyAlignment="1" applyProtection="1">
      <alignment horizontal="left" vertical="center"/>
      <protection locked="0"/>
    </xf>
    <xf numFmtId="49" fontId="0" fillId="0" borderId="31" xfId="0" applyNumberFormat="1" applyBorder="1" applyAlignment="1" applyProtection="1">
      <alignment horizontal="left" vertical="center" wrapText="1"/>
      <protection locked="0"/>
    </xf>
    <xf numFmtId="49" fontId="0" fillId="0" borderId="33" xfId="0" applyNumberFormat="1" applyBorder="1" applyAlignment="1" applyProtection="1">
      <alignment horizontal="left" vertical="center" wrapText="1"/>
      <protection locked="0"/>
    </xf>
    <xf numFmtId="49" fontId="22" fillId="0" borderId="31" xfId="0" applyNumberFormat="1" applyFont="1" applyBorder="1" applyAlignment="1" applyProtection="1">
      <alignment horizontal="left" vertical="center" wrapText="1"/>
      <protection locked="0"/>
    </xf>
    <xf numFmtId="49" fontId="22" fillId="0" borderId="33" xfId="0" applyNumberFormat="1" applyFont="1" applyBorder="1" applyAlignment="1" applyProtection="1">
      <alignment horizontal="left" vertical="center" wrapText="1"/>
      <protection locked="0"/>
    </xf>
    <xf numFmtId="49" fontId="24" fillId="0" borderId="33" xfId="0" applyNumberFormat="1" applyFont="1" applyBorder="1" applyAlignment="1" applyProtection="1">
      <alignment horizontal="left" vertical="center" wrapText="1"/>
      <protection locked="0"/>
    </xf>
    <xf numFmtId="49" fontId="24" fillId="0" borderId="31" xfId="0" applyNumberFormat="1" applyFont="1" applyBorder="1" applyAlignment="1" applyProtection="1">
      <alignment horizontal="left" vertical="center" wrapText="1"/>
      <protection locked="0"/>
    </xf>
    <xf numFmtId="0" fontId="0" fillId="0" borderId="34" xfId="0" applyBorder="1" applyAlignment="1" applyProtection="1">
      <alignment horizontal="left" vertical="center"/>
      <protection locked="0"/>
    </xf>
    <xf numFmtId="0" fontId="0" fillId="0" borderId="35" xfId="0" applyBorder="1" applyAlignment="1" applyProtection="1">
      <alignment horizontal="center" vertical="center"/>
      <protection locked="0"/>
    </xf>
    <xf numFmtId="15" fontId="0" fillId="0" borderId="35" xfId="0" applyNumberFormat="1" applyBorder="1" applyAlignment="1" applyProtection="1">
      <alignment horizontal="center" vertical="center"/>
      <protection locked="0"/>
    </xf>
    <xf numFmtId="171" fontId="0" fillId="21" borderId="35" xfId="0" applyNumberFormat="1" applyFill="1" applyBorder="1" applyAlignment="1" applyProtection="1">
      <alignment horizontal="center" vertical="center"/>
      <protection locked="0"/>
    </xf>
    <xf numFmtId="0" fontId="0" fillId="0" borderId="35" xfId="0" applyBorder="1" applyAlignment="1" applyProtection="1">
      <alignment horizontal="left" vertical="center"/>
      <protection locked="0"/>
    </xf>
    <xf numFmtId="49" fontId="0" fillId="0" borderId="34" xfId="0" applyNumberFormat="1" applyBorder="1" applyAlignment="1" applyProtection="1">
      <alignment horizontal="left" vertical="center" wrapText="1"/>
      <protection locked="0"/>
    </xf>
    <xf numFmtId="49" fontId="0" fillId="0" borderId="35" xfId="0" applyNumberFormat="1" applyBorder="1" applyAlignment="1" applyProtection="1">
      <alignment horizontal="left" vertical="center" wrapText="1"/>
      <protection locked="0"/>
    </xf>
    <xf numFmtId="49" fontId="24" fillId="4" borderId="31" xfId="0" applyNumberFormat="1" applyFont="1" applyFill="1" applyBorder="1" applyAlignment="1" applyProtection="1">
      <alignment horizontal="left" vertical="center" wrapText="1"/>
      <protection locked="0"/>
    </xf>
    <xf numFmtId="49" fontId="24" fillId="4" borderId="33" xfId="0" applyNumberFormat="1" applyFont="1" applyFill="1" applyBorder="1" applyAlignment="1" applyProtection="1">
      <alignment horizontal="left" vertical="center" wrapText="1"/>
      <protection locked="0"/>
    </xf>
    <xf numFmtId="49" fontId="22" fillId="0" borderId="34" xfId="0" applyNumberFormat="1" applyFont="1" applyBorder="1" applyAlignment="1" applyProtection="1">
      <alignment horizontal="left" vertical="center" wrapText="1"/>
      <protection locked="0"/>
    </xf>
    <xf numFmtId="49" fontId="24" fillId="0" borderId="35" xfId="0" applyNumberFormat="1" applyFont="1" applyBorder="1" applyAlignment="1" applyProtection="1">
      <alignment horizontal="left" vertical="center" wrapText="1"/>
      <protection locked="0"/>
    </xf>
    <xf numFmtId="0" fontId="7" fillId="4" borderId="0" xfId="0" applyFont="1" applyFill="1" applyAlignment="1">
      <alignment horizontal="left" vertical="center" indent="3"/>
    </xf>
    <xf numFmtId="0" fontId="6" fillId="3" borderId="3" xfId="3" applyFont="1" applyFill="1" applyBorder="1" applyAlignment="1" applyProtection="1">
      <alignment horizontal="left" vertical="center"/>
    </xf>
    <xf numFmtId="0" fontId="6" fillId="3" borderId="4" xfId="3" applyFont="1" applyFill="1" applyBorder="1" applyAlignment="1" applyProtection="1">
      <alignment horizontal="left" vertical="center"/>
    </xf>
    <xf numFmtId="0" fontId="6" fillId="3" borderId="5" xfId="3" applyFont="1" applyFill="1" applyBorder="1" applyAlignment="1" applyProtection="1">
      <alignment horizontal="left" vertical="center"/>
    </xf>
    <xf numFmtId="0" fontId="4" fillId="13" borderId="0" xfId="0" applyFont="1" applyFill="1" applyAlignment="1">
      <alignment horizontal="center" vertical="center"/>
    </xf>
    <xf numFmtId="0" fontId="4" fillId="16" borderId="0" xfId="0" applyFont="1" applyFill="1" applyAlignment="1">
      <alignment horizontal="center" vertical="center"/>
    </xf>
    <xf numFmtId="0" fontId="4" fillId="15" borderId="0" xfId="0" applyFont="1" applyFill="1" applyAlignment="1">
      <alignment horizontal="center" vertical="center"/>
    </xf>
    <xf numFmtId="0" fontId="4" fillId="10" borderId="0" xfId="0" applyFont="1" applyFill="1" applyAlignment="1">
      <alignment horizontal="center" vertical="center"/>
    </xf>
    <xf numFmtId="0" fontId="4" fillId="11" borderId="0" xfId="0" applyFont="1" applyFill="1" applyAlignment="1">
      <alignment horizontal="center" vertical="center"/>
    </xf>
    <xf numFmtId="0" fontId="4" fillId="12" borderId="0" xfId="0" applyFont="1" applyFill="1" applyAlignment="1">
      <alignment horizontal="center" vertical="center"/>
    </xf>
    <xf numFmtId="0" fontId="4" fillId="9" borderId="0" xfId="0" applyFont="1" applyFill="1" applyAlignment="1">
      <alignment horizontal="center" vertical="center"/>
    </xf>
    <xf numFmtId="0" fontId="6" fillId="3" borderId="20" xfId="3" applyFont="1" applyFill="1" applyBorder="1" applyAlignment="1" applyProtection="1">
      <protection locked="0"/>
    </xf>
    <xf numFmtId="0" fontId="6" fillId="3" borderId="21" xfId="3" applyFont="1" applyFill="1" applyBorder="1" applyAlignment="1" applyProtection="1">
      <protection locked="0"/>
    </xf>
    <xf numFmtId="0" fontId="6" fillId="3" borderId="22" xfId="3" applyFont="1" applyFill="1" applyBorder="1" applyAlignment="1" applyProtection="1">
      <protection locked="0"/>
    </xf>
    <xf numFmtId="0" fontId="6" fillId="3" borderId="23" xfId="3" applyFont="1" applyFill="1" applyBorder="1" applyAlignment="1" applyProtection="1">
      <protection locked="0"/>
    </xf>
    <xf numFmtId="0" fontId="6" fillId="3" borderId="24" xfId="3" applyFont="1" applyFill="1" applyBorder="1" applyAlignment="1" applyProtection="1">
      <protection locked="0"/>
    </xf>
    <xf numFmtId="0" fontId="6" fillId="3" borderId="25" xfId="3" applyFont="1" applyFill="1" applyBorder="1" applyAlignment="1" applyProtection="1">
      <protection locked="0"/>
    </xf>
    <xf numFmtId="0" fontId="7" fillId="4" borderId="0" xfId="0" applyFont="1" applyFill="1" applyAlignment="1" applyProtection="1">
      <alignment horizontal="left" vertical="center" indent="3"/>
      <protection hidden="1"/>
    </xf>
    <xf numFmtId="0" fontId="0" fillId="0" borderId="33" xfId="0" applyBorder="1" applyAlignment="1">
      <alignment horizontal="left"/>
    </xf>
    <xf numFmtId="0" fontId="0" fillId="0" borderId="31" xfId="0" applyBorder="1" applyAlignment="1">
      <alignment horizontal="left"/>
    </xf>
    <xf numFmtId="0" fontId="0" fillId="0" borderId="35" xfId="0" applyBorder="1" applyAlignment="1">
      <alignment horizontal="left"/>
    </xf>
    <xf numFmtId="0" fontId="0" fillId="0" borderId="34" xfId="0" applyBorder="1" applyAlignment="1">
      <alignment horizontal="left"/>
    </xf>
    <xf numFmtId="170" fontId="19" fillId="0" borderId="6" xfId="5" applyNumberFormat="1" applyFont="1" applyBorder="1" applyAlignment="1" applyProtection="1">
      <alignment horizontal="center" vertical="center"/>
      <protection hidden="1"/>
    </xf>
    <xf numFmtId="170" fontId="19" fillId="0" borderId="0" xfId="5" applyNumberFormat="1" applyFont="1" applyBorder="1" applyAlignment="1" applyProtection="1">
      <alignment horizontal="center" vertical="center"/>
      <protection hidden="1"/>
    </xf>
    <xf numFmtId="170" fontId="19" fillId="0" borderId="28" xfId="5" applyNumberFormat="1" applyFont="1" applyBorder="1" applyAlignment="1" applyProtection="1">
      <alignment horizontal="center" vertical="center"/>
      <protection hidden="1"/>
    </xf>
    <xf numFmtId="0" fontId="4" fillId="7" borderId="0" xfId="0" applyFont="1" applyFill="1" applyAlignment="1" applyProtection="1">
      <alignment horizontal="center" vertical="center" textRotation="90"/>
      <protection hidden="1"/>
    </xf>
    <xf numFmtId="0" fontId="6" fillId="3" borderId="3" xfId="3" applyFont="1" applyFill="1" applyBorder="1" applyAlignment="1" applyProtection="1">
      <alignment horizontal="left" vertical="center"/>
      <protection hidden="1"/>
    </xf>
    <xf numFmtId="0" fontId="6" fillId="3" borderId="4" xfId="3" applyFont="1" applyFill="1" applyBorder="1" applyAlignment="1" applyProtection="1">
      <alignment horizontal="left" vertical="center"/>
      <protection hidden="1"/>
    </xf>
    <xf numFmtId="0" fontId="6" fillId="3" borderId="5" xfId="3" applyFont="1" applyFill="1" applyBorder="1" applyAlignment="1" applyProtection="1">
      <alignment horizontal="left" vertical="center"/>
      <protection hidden="1"/>
    </xf>
    <xf numFmtId="0" fontId="2" fillId="0" borderId="6" xfId="1" applyFont="1" applyBorder="1" applyAlignment="1" applyProtection="1">
      <alignment horizontal="center" vertical="center" wrapText="1"/>
      <protection hidden="1"/>
    </xf>
    <xf numFmtId="0" fontId="7" fillId="4" borderId="0" xfId="0" applyFont="1" applyFill="1" applyAlignment="1" applyProtection="1">
      <alignment horizontal="center" vertical="center"/>
      <protection hidden="1"/>
    </xf>
    <xf numFmtId="0" fontId="21" fillId="11" borderId="30" xfId="0" applyFont="1" applyFill="1" applyBorder="1" applyAlignment="1">
      <alignment horizontal="center" vertical="center"/>
    </xf>
    <xf numFmtId="0" fontId="21" fillId="12" borderId="30" xfId="0" applyFont="1" applyFill="1" applyBorder="1" applyAlignment="1">
      <alignment horizontal="center" vertical="center"/>
    </xf>
    <xf numFmtId="0" fontId="21" fillId="13" borderId="30" xfId="0" applyFont="1" applyFill="1" applyBorder="1" applyAlignment="1">
      <alignment horizontal="center" vertical="center"/>
    </xf>
    <xf numFmtId="0" fontId="21" fillId="15" borderId="29" xfId="0" applyFont="1" applyFill="1" applyBorder="1" applyAlignment="1">
      <alignment horizontal="center" vertical="center"/>
    </xf>
    <xf numFmtId="0" fontId="21" fillId="9" borderId="29" xfId="0" applyFont="1" applyFill="1" applyBorder="1" applyAlignment="1">
      <alignment horizontal="center" vertical="center"/>
    </xf>
    <xf numFmtId="0" fontId="21" fillId="16" borderId="29" xfId="0" applyFont="1" applyFill="1" applyBorder="1" applyAlignment="1">
      <alignment horizontal="center" vertical="center"/>
    </xf>
  </cellXfs>
  <cellStyles count="10">
    <cellStyle name="Comma" xfId="4" builtinId="3"/>
    <cellStyle name="Comma 2" xfId="6" xr:uid="{AA7AC327-3E1D-4559-99CC-210D10ED95E7}"/>
    <cellStyle name="Comma 2 10 11" xfId="8" xr:uid="{9614B944-2CE2-4BD3-9F5E-698AD91D2C39}"/>
    <cellStyle name="Heading 2" xfId="1" builtinId="17"/>
    <cellStyle name="Heading 4" xfId="2" builtinId="19"/>
    <cellStyle name="Input" xfId="3" builtinId="20"/>
    <cellStyle name="Normal" xfId="0" builtinId="0"/>
    <cellStyle name="Normal 2" xfId="7" xr:uid="{0F7A7291-C5B6-4BC3-8029-D8D12B797B21}"/>
    <cellStyle name="Normal 4" xfId="9" xr:uid="{3D499F33-44BB-4B4B-AC20-C05E22C20806}"/>
    <cellStyle name="Percent" xfId="5" builtinId="5"/>
  </cellStyles>
  <dxfs count="63">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alignment horizontal="center" vertical="center" indent="0" justifyLastLine="0" shrinkToFit="0" readingOrder="0"/>
    </dxf>
    <dxf>
      <border>
        <bottom style="thick">
          <color theme="4" tint="0.499984740745262"/>
        </bottom>
      </border>
    </dxf>
    <dxf>
      <font>
        <b/>
        <i val="0"/>
        <strike val="0"/>
        <condense val="0"/>
        <extend val="0"/>
        <outline val="0"/>
        <shadow val="0"/>
        <u val="none"/>
        <vertAlign val="baseline"/>
        <sz val="11"/>
        <color theme="3"/>
        <name val="Aptos Narrow"/>
        <family val="2"/>
        <scheme val="minor"/>
      </font>
      <alignment horizontal="center" vertical="center" textRotation="0" wrapText="1" indent="0" justifyLastLine="0" shrinkToFit="0" readingOrder="0"/>
    </dxf>
    <dxf>
      <numFmt numFmtId="167" formatCode="_-* #,##0_-;\-* #,##0_-;_-* &quot;-&quot;??_-;_-@_-"/>
      <protection locked="0" hidden="1"/>
    </dxf>
    <dxf>
      <protection locked="0" hidden="1"/>
    </dxf>
    <dxf>
      <alignment horizontal="center"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1" hidden="1"/>
    </dxf>
    <dxf>
      <protection locked="0" hidden="1"/>
    </dxf>
    <dxf>
      <border>
        <bottom style="thick">
          <color theme="4" tint="0.499984740745262"/>
        </bottom>
      </border>
    </dxf>
    <dxf>
      <font>
        <b/>
        <i val="0"/>
        <strike val="0"/>
        <condense val="0"/>
        <extend val="0"/>
        <outline val="0"/>
        <shadow val="0"/>
        <u val="none"/>
        <vertAlign val="baseline"/>
        <sz val="11"/>
        <color theme="3"/>
        <name val="Aptos Narrow"/>
        <family val="2"/>
        <scheme val="minor"/>
      </font>
      <alignment horizontal="center" vertical="center" textRotation="0" wrapText="1" indent="0" justifyLastLine="0" shrinkToFit="0" readingOrder="0"/>
      <protection locked="1" hidden="1"/>
    </dxf>
    <dxf>
      <font>
        <color theme="6"/>
      </font>
      <fill>
        <patternFill>
          <bgColor theme="9" tint="0.79998168889431442"/>
        </patternFill>
      </fill>
    </dxf>
    <dxf>
      <font>
        <color rgb="FF196B24"/>
      </font>
      <fill>
        <patternFill>
          <bgColor rgb="FFDAF2D0"/>
        </patternFill>
      </fill>
    </dxf>
    <dxf>
      <font>
        <color theme="6"/>
      </font>
      <fill>
        <patternFill>
          <bgColor theme="9" tint="0.79998168889431442"/>
        </patternFill>
      </fill>
    </dxf>
    <dxf>
      <font>
        <b val="0"/>
        <i val="0"/>
        <strike val="0"/>
        <condense val="0"/>
        <extend val="0"/>
        <outline val="0"/>
        <shadow val="0"/>
        <u val="none"/>
        <vertAlign val="baseline"/>
        <sz val="10"/>
        <color auto="1"/>
        <name val="Aptos Narrow"/>
        <family val="2"/>
        <scheme val="minor"/>
      </font>
      <numFmt numFmtId="13" formatCode="0%"/>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ptos Narrow"/>
        <family val="2"/>
        <scheme val="minor"/>
      </font>
      <numFmt numFmtId="13"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14996795556505021"/>
        </left>
        <right/>
        <top/>
        <bottom/>
      </border>
      <protection locked="1" hidden="1"/>
    </dxf>
    <dxf>
      <font>
        <b val="0"/>
        <i val="0"/>
        <strike val="0"/>
        <condense val="0"/>
        <extend val="0"/>
        <outline val="0"/>
        <shadow val="0"/>
        <u val="none"/>
        <vertAlign val="baseline"/>
        <sz val="10"/>
        <color auto="1"/>
        <name val="Aptos Narrow"/>
        <family val="2"/>
        <scheme val="minor"/>
      </font>
      <numFmt numFmtId="167" formatCode="_-* #,##0_-;\-* #,##0_-;_-* &quot;-&quot;??_-;_-@_-"/>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ptos Narrow"/>
        <family val="2"/>
        <scheme val="minor"/>
      </font>
      <numFmt numFmtId="167"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14996795556505021"/>
        </left>
        <right style="thin">
          <color theme="0" tint="-0.14996795556505021"/>
        </right>
        <top/>
        <bottom/>
      </border>
      <protection locked="1" hidden="1"/>
    </dxf>
    <dxf>
      <font>
        <b val="0"/>
        <i val="0"/>
        <strike val="0"/>
        <condense val="0"/>
        <extend val="0"/>
        <outline val="0"/>
        <shadow val="0"/>
        <u val="none"/>
        <vertAlign val="baseline"/>
        <sz val="10"/>
        <color auto="1"/>
        <name val="Aptos Narrow"/>
        <family val="2"/>
        <scheme val="minor"/>
      </font>
      <numFmt numFmtId="167" formatCode="_-* #,##0_-;\-* #,##0_-;_-* &quot;-&quot;??_-;_-@_-"/>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ptos Narrow"/>
        <family val="2"/>
        <scheme val="minor"/>
      </font>
      <numFmt numFmtId="167"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14996795556505021"/>
        </left>
        <right style="thin">
          <color theme="0" tint="-0.14996795556505021"/>
        </right>
        <top/>
        <bottom/>
      </border>
      <protection locked="1" hidden="1"/>
    </dxf>
    <dxf>
      <font>
        <b val="0"/>
        <i val="0"/>
        <strike val="0"/>
        <condense val="0"/>
        <extend val="0"/>
        <outline val="0"/>
        <shadow val="0"/>
        <u val="none"/>
        <vertAlign val="baseline"/>
        <sz val="10"/>
        <color auto="1"/>
        <name val="Aptos Narrow"/>
        <family val="2"/>
        <scheme val="minor"/>
      </font>
      <numFmt numFmtId="167" formatCode="_-* #,##0_-;\-* #,##0_-;_-* &quot;-&quot;??_-;_-@_-"/>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ptos Narrow"/>
        <family val="2"/>
        <scheme val="minor"/>
      </font>
      <numFmt numFmtId="167"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14996795556505021"/>
        </left>
        <right style="thin">
          <color theme="0" tint="-0.14996795556505021"/>
        </right>
        <top/>
        <bottom/>
      </border>
      <protection locked="1" hidden="1"/>
    </dxf>
    <dxf>
      <font>
        <b val="0"/>
        <i val="0"/>
        <strike val="0"/>
        <condense val="0"/>
        <extend val="0"/>
        <outline val="0"/>
        <shadow val="0"/>
        <u val="none"/>
        <vertAlign val="baseline"/>
        <sz val="10"/>
        <color auto="1"/>
        <name val="Aptos Narrow"/>
        <family val="2"/>
        <scheme val="minor"/>
      </font>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ptos Narrow"/>
        <family val="2"/>
        <scheme val="minor"/>
      </font>
      <alignment horizontal="center" vertical="center" textRotation="0" wrapText="0" indent="0" justifyLastLine="0" shrinkToFit="0" readingOrder="0"/>
      <border diagonalUp="0" diagonalDown="0" outline="0">
        <left/>
        <right style="thin">
          <color theme="0" tint="-0.14996795556505021"/>
        </right>
        <top/>
        <bottom/>
      </border>
      <protection locked="1" hidden="1"/>
    </dxf>
    <dxf>
      <protection locked="1" hidden="1"/>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center" vertical="center" textRotation="0" wrapText="0" indent="0" justifyLastLine="0" shrinkToFit="0" readingOrder="0"/>
      <protection locked="1" hidden="1"/>
    </dxf>
    <dxf>
      <border>
        <bottom style="thin">
          <color rgb="FFC8C8C8"/>
        </bottom>
      </border>
    </dxf>
    <dxf>
      <font>
        <b/>
        <i val="0"/>
        <strike val="0"/>
        <condense val="0"/>
        <extend val="0"/>
        <outline val="0"/>
        <shadow val="0"/>
        <u val="none"/>
        <vertAlign val="baseline"/>
        <sz val="11"/>
        <color theme="0"/>
        <name val="Aptos Narrow"/>
        <family val="2"/>
        <scheme val="minor"/>
      </font>
      <fill>
        <patternFill patternType="solid">
          <fgColor indexed="64"/>
          <bgColor rgb="FF002981"/>
        </patternFill>
      </fill>
      <alignment horizontal="center" vertical="center" textRotation="0" wrapText="1" indent="0" justifyLastLine="0" shrinkToFit="0" readingOrder="0"/>
      <border diagonalUp="0" diagonalDown="0" outline="0">
        <left style="thin">
          <color rgb="FFC8C8C8"/>
        </left>
        <right style="thin">
          <color rgb="FFC8C8C8"/>
        </right>
        <top/>
        <bottom/>
      </border>
      <protection locked="1" hidden="1"/>
    </dxf>
    <dxf>
      <fill>
        <patternFill>
          <bgColor rgb="FFFF7C80"/>
        </patternFill>
      </fill>
    </dxf>
    <dxf>
      <font>
        <color rgb="FF9C0006"/>
      </font>
      <fill>
        <patternFill>
          <bgColor rgb="FFFFC7CE"/>
        </patternFill>
      </fill>
    </dxf>
    <dxf>
      <fill>
        <patternFill>
          <bgColor rgb="FF00B0F0"/>
        </patternFill>
      </fill>
    </dxf>
    <dxf>
      <fill>
        <patternFill>
          <bgColor theme="6" tint="0.79998168889431442"/>
        </patternFill>
      </fill>
    </dxf>
    <dxf>
      <fill>
        <patternFill>
          <bgColor rgb="FFFFFF99"/>
        </patternFill>
      </fill>
    </dxf>
    <dxf>
      <fill>
        <patternFill>
          <bgColor rgb="FFFFCC66"/>
        </patternFill>
      </fill>
    </dxf>
    <dxf>
      <fill>
        <patternFill>
          <bgColor rgb="FFF3AA81"/>
        </patternFill>
      </fill>
    </dxf>
    <dxf>
      <fill>
        <patternFill>
          <bgColor rgb="FFFF9999"/>
        </patternFill>
      </fill>
    </dxf>
    <dxf>
      <fill>
        <patternFill>
          <bgColor theme="0" tint="-0.14996795556505021"/>
        </patternFill>
      </fill>
    </dxf>
    <dxf>
      <font>
        <color theme="0"/>
      </font>
      <fill>
        <patternFill>
          <bgColor theme="1" tint="0.24994659260841701"/>
        </patternFill>
      </fill>
    </dxf>
    <dxf>
      <fill>
        <patternFill>
          <bgColor rgb="FF00B0F0"/>
        </patternFill>
      </fill>
    </dxf>
    <dxf>
      <fill>
        <patternFill>
          <bgColor theme="6" tint="0.79998168889431442"/>
        </patternFill>
      </fill>
    </dxf>
    <dxf>
      <fill>
        <patternFill>
          <bgColor rgb="FFFFFF99"/>
        </patternFill>
      </fill>
    </dxf>
    <dxf>
      <fill>
        <patternFill>
          <bgColor rgb="FFFFCC66"/>
        </patternFill>
      </fill>
    </dxf>
    <dxf>
      <fill>
        <patternFill>
          <bgColor theme="5" tint="0.59996337778862885"/>
        </patternFill>
      </fill>
    </dxf>
    <dxf>
      <fill>
        <patternFill>
          <bgColor theme="0" tint="-0.14996795556505021"/>
        </patternFill>
      </fill>
    </dxf>
    <dxf>
      <font>
        <color theme="0"/>
      </font>
      <fill>
        <patternFill>
          <bgColor theme="1" tint="0.24994659260841701"/>
        </patternFill>
      </fill>
    </dxf>
  </dxfs>
  <tableStyles count="1" defaultTableStyle="TableStyleMedium2" defaultPivotStyle="PivotStyleLight16">
    <tableStyle name="Invisible" pivot="0" table="0" count="0" xr9:uid="{A3428D2C-BF28-4A98-8350-8C1145BAF222}"/>
  </tableStyles>
  <colors>
    <mruColors>
      <color rgb="FFFFCC99"/>
      <color rgb="FFFF7C80"/>
      <color rgb="FFF3AA81"/>
      <color rgb="FFFF9999"/>
      <color rgb="FFFED315"/>
      <color rgb="FF002981"/>
      <color rgb="FFFFCC66"/>
      <color rgb="FFFFFF99"/>
      <color rgb="FF99FF66"/>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1757182</xdr:colOff>
      <xdr:row>0</xdr:row>
      <xdr:rowOff>129227</xdr:rowOff>
    </xdr:from>
    <xdr:to>
      <xdr:col>4</xdr:col>
      <xdr:colOff>17835</xdr:colOff>
      <xdr:row>3</xdr:row>
      <xdr:rowOff>102541</xdr:rowOff>
    </xdr:to>
    <xdr:pic>
      <xdr:nvPicPr>
        <xdr:cNvPr id="2" name="Picture 1">
          <a:extLst>
            <a:ext uri="{FF2B5EF4-FFF2-40B4-BE49-F238E27FC236}">
              <a16:creationId xmlns:a16="http://schemas.microsoft.com/office/drawing/2014/main" id="{6E2DC386-4348-4873-9006-0292DB7F25E5}"/>
            </a:ext>
          </a:extLst>
        </xdr:cNvPr>
        <xdr:cNvPicPr>
          <a:picLocks noChangeAspect="1"/>
        </xdr:cNvPicPr>
      </xdr:nvPicPr>
      <xdr:blipFill>
        <a:blip xmlns:r="http://schemas.openxmlformats.org/officeDocument/2006/relationships" r:embed="rId1"/>
        <a:stretch>
          <a:fillRect/>
        </a:stretch>
      </xdr:blipFill>
      <xdr:spPr>
        <a:xfrm>
          <a:off x="6284358" y="129227"/>
          <a:ext cx="1275035" cy="5479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988598</xdr:colOff>
      <xdr:row>0</xdr:row>
      <xdr:rowOff>162844</xdr:rowOff>
    </xdr:from>
    <xdr:to>
      <xdr:col>9</xdr:col>
      <xdr:colOff>1099193</xdr:colOff>
      <xdr:row>3</xdr:row>
      <xdr:rowOff>144413</xdr:rowOff>
    </xdr:to>
    <xdr:pic>
      <xdr:nvPicPr>
        <xdr:cNvPr id="2" name="Picture 1">
          <a:extLst>
            <a:ext uri="{FF2B5EF4-FFF2-40B4-BE49-F238E27FC236}">
              <a16:creationId xmlns:a16="http://schemas.microsoft.com/office/drawing/2014/main" id="{C3CD58D2-6348-44FF-97D5-4243ADA5DA00}"/>
            </a:ext>
          </a:extLst>
        </xdr:cNvPr>
        <xdr:cNvPicPr>
          <a:picLocks noChangeAspect="1"/>
        </xdr:cNvPicPr>
      </xdr:nvPicPr>
      <xdr:blipFill>
        <a:blip xmlns:r="http://schemas.openxmlformats.org/officeDocument/2006/relationships" r:embed="rId1"/>
        <a:stretch>
          <a:fillRect/>
        </a:stretch>
      </xdr:blipFill>
      <xdr:spPr>
        <a:xfrm>
          <a:off x="6760748" y="162844"/>
          <a:ext cx="1264390" cy="5479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41</xdr:col>
      <xdr:colOff>1956955</xdr:colOff>
      <xdr:row>0</xdr:row>
      <xdr:rowOff>163287</xdr:rowOff>
    </xdr:from>
    <xdr:to>
      <xdr:col>41</xdr:col>
      <xdr:colOff>3489044</xdr:colOff>
      <xdr:row>4</xdr:row>
      <xdr:rowOff>59620</xdr:rowOff>
    </xdr:to>
    <xdr:pic>
      <xdr:nvPicPr>
        <xdr:cNvPr id="2" name="Picture 1">
          <a:extLst>
            <a:ext uri="{FF2B5EF4-FFF2-40B4-BE49-F238E27FC236}">
              <a16:creationId xmlns:a16="http://schemas.microsoft.com/office/drawing/2014/main" id="{1800C33D-CE2B-4350-BF9E-38744201688C}"/>
            </a:ext>
          </a:extLst>
        </xdr:cNvPr>
        <xdr:cNvPicPr>
          <a:picLocks noChangeAspect="1"/>
        </xdr:cNvPicPr>
      </xdr:nvPicPr>
      <xdr:blipFill>
        <a:blip xmlns:r="http://schemas.openxmlformats.org/officeDocument/2006/relationships" r:embed="rId1"/>
        <a:stretch>
          <a:fillRect/>
        </a:stretch>
      </xdr:blipFill>
      <xdr:spPr>
        <a:xfrm>
          <a:off x="33129682" y="163287"/>
          <a:ext cx="1536534" cy="6665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691964</xdr:colOff>
      <xdr:row>6</xdr:row>
      <xdr:rowOff>114300</xdr:rowOff>
    </xdr:from>
    <xdr:to>
      <xdr:col>9</xdr:col>
      <xdr:colOff>358477</xdr:colOff>
      <xdr:row>8</xdr:row>
      <xdr:rowOff>99060</xdr:rowOff>
    </xdr:to>
    <xdr:sp macro="[0]!DeleteInstance" textlink="">
      <xdr:nvSpPr>
        <xdr:cNvPr id="2" name="Rectangle: Rounded Corners 1">
          <a:extLst>
            <a:ext uri="{FF2B5EF4-FFF2-40B4-BE49-F238E27FC236}">
              <a16:creationId xmlns:a16="http://schemas.microsoft.com/office/drawing/2014/main" id="{EF5D6CC9-77FC-4B47-A074-47CA0CB81869}"/>
            </a:ext>
          </a:extLst>
        </xdr:cNvPr>
        <xdr:cNvSpPr/>
      </xdr:nvSpPr>
      <xdr:spPr>
        <a:xfrm>
          <a:off x="10239376" y="1257300"/>
          <a:ext cx="1280160" cy="365760"/>
        </a:xfrm>
        <a:prstGeom prst="roundRect">
          <a:avLst/>
        </a:prstGeom>
        <a:solidFill>
          <a:srgbClr val="FF0000"/>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chemeClr val="bg1"/>
              </a:solidFill>
              <a:effectLst/>
              <a:uLnTx/>
              <a:uFillTx/>
              <a:latin typeface="Aptos Narrow" panose="02110004020202020204"/>
              <a:ea typeface="+mn-ea"/>
              <a:cs typeface="+mn-cs"/>
            </a:rPr>
            <a:t>Delete Instance</a:t>
          </a:r>
        </a:p>
      </xdr:txBody>
    </xdr:sp>
    <xdr:clientData/>
  </xdr:twoCellAnchor>
  <xdr:twoCellAnchor>
    <xdr:from>
      <xdr:col>5</xdr:col>
      <xdr:colOff>496420</xdr:colOff>
      <xdr:row>6</xdr:row>
      <xdr:rowOff>114300</xdr:rowOff>
    </xdr:from>
    <xdr:to>
      <xdr:col>6</xdr:col>
      <xdr:colOff>599962</xdr:colOff>
      <xdr:row>8</xdr:row>
      <xdr:rowOff>99060</xdr:rowOff>
    </xdr:to>
    <xdr:sp macro="[0]!AddPackage" textlink="">
      <xdr:nvSpPr>
        <xdr:cNvPr id="3" name="Rectangle: Rounded Corners 2">
          <a:extLst>
            <a:ext uri="{FF2B5EF4-FFF2-40B4-BE49-F238E27FC236}">
              <a16:creationId xmlns:a16="http://schemas.microsoft.com/office/drawing/2014/main" id="{CE1AF32A-E3FF-40B8-957F-38E9707E5F6A}"/>
            </a:ext>
          </a:extLst>
        </xdr:cNvPr>
        <xdr:cNvSpPr/>
      </xdr:nvSpPr>
      <xdr:spPr>
        <a:xfrm>
          <a:off x="7455273" y="1257300"/>
          <a:ext cx="1280160" cy="365760"/>
        </a:xfrm>
        <a:prstGeom prst="roundRect">
          <a:avLst/>
        </a:prstGeom>
        <a:solidFill>
          <a:srgbClr val="196B24">
            <a:lumMod val="60000"/>
            <a:lumOff val="40000"/>
          </a:srgbClr>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ysClr val="windowText" lastClr="000000"/>
              </a:solidFill>
              <a:effectLst/>
              <a:uLnTx/>
              <a:uFillTx/>
              <a:latin typeface="Aptos Narrow" panose="02110004020202020204"/>
              <a:ea typeface="+mn-ea"/>
              <a:cs typeface="+mn-cs"/>
            </a:rPr>
            <a:t>Add New Package</a:t>
          </a:r>
        </a:p>
      </xdr:txBody>
    </xdr:sp>
    <xdr:clientData/>
  </xdr:twoCellAnchor>
  <xdr:twoCellAnchor>
    <xdr:from>
      <xdr:col>7</xdr:col>
      <xdr:colOff>281</xdr:colOff>
      <xdr:row>6</xdr:row>
      <xdr:rowOff>114300</xdr:rowOff>
    </xdr:from>
    <xdr:to>
      <xdr:col>8</xdr:col>
      <xdr:colOff>585676</xdr:colOff>
      <xdr:row>8</xdr:row>
      <xdr:rowOff>99060</xdr:rowOff>
    </xdr:to>
    <xdr:sp macro="[0]!InsertInstances" textlink="">
      <xdr:nvSpPr>
        <xdr:cNvPr id="4" name="Rectangle: Rounded Corners 3">
          <a:extLst>
            <a:ext uri="{FF2B5EF4-FFF2-40B4-BE49-F238E27FC236}">
              <a16:creationId xmlns:a16="http://schemas.microsoft.com/office/drawing/2014/main" id="{52858C38-A826-4FA8-B71C-2744D8241386}"/>
            </a:ext>
          </a:extLst>
        </xdr:cNvPr>
        <xdr:cNvSpPr/>
      </xdr:nvSpPr>
      <xdr:spPr>
        <a:xfrm>
          <a:off x="8852928" y="1257300"/>
          <a:ext cx="1280160" cy="365760"/>
        </a:xfrm>
        <a:prstGeom prst="roundRect">
          <a:avLst/>
        </a:prstGeom>
        <a:solidFill>
          <a:srgbClr val="196B24">
            <a:lumMod val="60000"/>
            <a:lumOff val="40000"/>
          </a:srgbClr>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ysClr val="windowText" lastClr="000000"/>
              </a:solidFill>
              <a:effectLst/>
              <a:uLnTx/>
              <a:uFillTx/>
              <a:latin typeface="Aptos Narrow" panose="02110004020202020204"/>
              <a:ea typeface="+mn-ea"/>
              <a:cs typeface="+mn-cs"/>
            </a:rPr>
            <a:t>Insert Instances</a:t>
          </a:r>
        </a:p>
      </xdr:txBody>
    </xdr:sp>
    <xdr:clientData/>
  </xdr:twoCellAnchor>
  <xdr:twoCellAnchor editAs="oneCell">
    <xdr:from>
      <xdr:col>18</xdr:col>
      <xdr:colOff>1914071</xdr:colOff>
      <xdr:row>1</xdr:row>
      <xdr:rowOff>0</xdr:rowOff>
    </xdr:from>
    <xdr:to>
      <xdr:col>19</xdr:col>
      <xdr:colOff>252200</xdr:colOff>
      <xdr:row>3</xdr:row>
      <xdr:rowOff>158734</xdr:rowOff>
    </xdr:to>
    <xdr:pic>
      <xdr:nvPicPr>
        <xdr:cNvPr id="5" name="Picture 4">
          <a:extLst>
            <a:ext uri="{FF2B5EF4-FFF2-40B4-BE49-F238E27FC236}">
              <a16:creationId xmlns:a16="http://schemas.microsoft.com/office/drawing/2014/main" id="{08A8BFAF-A52A-4557-A183-25D0CBF8D490}"/>
            </a:ext>
          </a:extLst>
        </xdr:cNvPr>
        <xdr:cNvPicPr>
          <a:picLocks noChangeAspect="1"/>
        </xdr:cNvPicPr>
      </xdr:nvPicPr>
      <xdr:blipFill>
        <a:blip xmlns:r="http://schemas.openxmlformats.org/officeDocument/2006/relationships" r:embed="rId1"/>
        <a:stretch>
          <a:fillRect/>
        </a:stretch>
      </xdr:blipFill>
      <xdr:spPr>
        <a:xfrm>
          <a:off x="20814392" y="190500"/>
          <a:ext cx="1273462" cy="547989"/>
        </a:xfrm>
        <a:prstGeom prst="rect">
          <a:avLst/>
        </a:prstGeom>
      </xdr:spPr>
    </xdr:pic>
    <xdr:clientData/>
  </xdr:twoCellAnchor>
  <xdr:twoCellAnchor>
    <xdr:from>
      <xdr:col>9</xdr:col>
      <xdr:colOff>472889</xdr:colOff>
      <xdr:row>6</xdr:row>
      <xdr:rowOff>123825</xdr:rowOff>
    </xdr:from>
    <xdr:to>
      <xdr:col>11</xdr:col>
      <xdr:colOff>120352</xdr:colOff>
      <xdr:row>8</xdr:row>
      <xdr:rowOff>108585</xdr:rowOff>
    </xdr:to>
    <xdr:sp macro="[0]!DeletePackage" textlink="">
      <xdr:nvSpPr>
        <xdr:cNvPr id="6" name="Rectangle: Rounded Corners 5">
          <a:extLst>
            <a:ext uri="{FF2B5EF4-FFF2-40B4-BE49-F238E27FC236}">
              <a16:creationId xmlns:a16="http://schemas.microsoft.com/office/drawing/2014/main" id="{8F7E88A8-2C79-0949-6006-F2F5B5033911}"/>
            </a:ext>
          </a:extLst>
        </xdr:cNvPr>
        <xdr:cNvSpPr/>
      </xdr:nvSpPr>
      <xdr:spPr>
        <a:xfrm>
          <a:off x="11626664" y="1266825"/>
          <a:ext cx="1276238" cy="365760"/>
        </a:xfrm>
        <a:prstGeom prst="roundRect">
          <a:avLst/>
        </a:prstGeom>
        <a:solidFill>
          <a:srgbClr val="FF0000"/>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chemeClr val="bg1"/>
              </a:solidFill>
              <a:effectLst/>
              <a:uLnTx/>
              <a:uFillTx/>
              <a:latin typeface="Aptos Narrow" panose="02110004020202020204"/>
              <a:ea typeface="+mn-ea"/>
              <a:cs typeface="+mn-cs"/>
            </a:rPr>
            <a:t>Delete Package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29695</xdr:colOff>
      <xdr:row>7</xdr:row>
      <xdr:rowOff>142874</xdr:rowOff>
    </xdr:from>
    <xdr:to>
      <xdr:col>9</xdr:col>
      <xdr:colOff>1126975</xdr:colOff>
      <xdr:row>9</xdr:row>
      <xdr:rowOff>121284</xdr:rowOff>
    </xdr:to>
    <xdr:sp macro="[0]!DeleteTableRows" textlink="">
      <xdr:nvSpPr>
        <xdr:cNvPr id="4" name="Rectangle: Rounded Corners 3">
          <a:extLst>
            <a:ext uri="{FF2B5EF4-FFF2-40B4-BE49-F238E27FC236}">
              <a16:creationId xmlns:a16="http://schemas.microsoft.com/office/drawing/2014/main" id="{2ADE7F55-9F7E-4901-887B-FBFBAEF1BC15}"/>
            </a:ext>
          </a:extLst>
        </xdr:cNvPr>
        <xdr:cNvSpPr>
          <a:spLocks noChangeAspect="1"/>
        </xdr:cNvSpPr>
      </xdr:nvSpPr>
      <xdr:spPr>
        <a:xfrm>
          <a:off x="11302813" y="1476374"/>
          <a:ext cx="1097280" cy="365760"/>
        </a:xfrm>
        <a:prstGeom prst="roundRect">
          <a:avLst/>
        </a:prstGeom>
        <a:solidFill>
          <a:srgbClr val="FF0000"/>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chemeClr val="bg1"/>
              </a:solidFill>
              <a:effectLst/>
              <a:uLnTx/>
              <a:uFillTx/>
              <a:latin typeface="Aptos Narrow" panose="02110004020202020204"/>
              <a:ea typeface="+mn-ea"/>
              <a:cs typeface="+mn-cs"/>
            </a:rPr>
            <a:t>Delete Rows</a:t>
          </a:r>
        </a:p>
      </xdr:txBody>
    </xdr:sp>
    <xdr:clientData/>
  </xdr:twoCellAnchor>
  <xdr:twoCellAnchor editAs="oneCell">
    <xdr:from>
      <xdr:col>8</xdr:col>
      <xdr:colOff>2087095</xdr:colOff>
      <xdr:row>1</xdr:row>
      <xdr:rowOff>0</xdr:rowOff>
    </xdr:from>
    <xdr:to>
      <xdr:col>10</xdr:col>
      <xdr:colOff>49299</xdr:colOff>
      <xdr:row>3</xdr:row>
      <xdr:rowOff>160639</xdr:rowOff>
    </xdr:to>
    <xdr:pic>
      <xdr:nvPicPr>
        <xdr:cNvPr id="5" name="Picture 4">
          <a:extLst>
            <a:ext uri="{FF2B5EF4-FFF2-40B4-BE49-F238E27FC236}">
              <a16:creationId xmlns:a16="http://schemas.microsoft.com/office/drawing/2014/main" id="{723BDE81-1EE9-46C8-B2C5-ECACC5541684}"/>
            </a:ext>
          </a:extLst>
        </xdr:cNvPr>
        <xdr:cNvPicPr>
          <a:picLocks noChangeAspect="1"/>
        </xdr:cNvPicPr>
      </xdr:nvPicPr>
      <xdr:blipFill>
        <a:blip xmlns:r="http://schemas.openxmlformats.org/officeDocument/2006/relationships" r:embed="rId1"/>
        <a:stretch>
          <a:fillRect/>
        </a:stretch>
      </xdr:blipFill>
      <xdr:spPr>
        <a:xfrm>
          <a:off x="12004301" y="190500"/>
          <a:ext cx="1261589" cy="547989"/>
        </a:xfrm>
        <a:prstGeom prst="rect">
          <a:avLst/>
        </a:prstGeom>
      </xdr:spPr>
    </xdr:pic>
    <xdr:clientData/>
  </xdr:twoCellAnchor>
  <xdr:twoCellAnchor editAs="oneCell">
    <xdr:from>
      <xdr:col>8</xdr:col>
      <xdr:colOff>993403</xdr:colOff>
      <xdr:row>7</xdr:row>
      <xdr:rowOff>142874</xdr:rowOff>
    </xdr:from>
    <xdr:to>
      <xdr:col>8</xdr:col>
      <xdr:colOff>2084333</xdr:colOff>
      <xdr:row>9</xdr:row>
      <xdr:rowOff>121284</xdr:rowOff>
    </xdr:to>
    <xdr:sp macro="[0]!PushEntries" textlink="">
      <xdr:nvSpPr>
        <xdr:cNvPr id="2" name="Rectangle: Rounded Corners 1">
          <a:extLst>
            <a:ext uri="{FF2B5EF4-FFF2-40B4-BE49-F238E27FC236}">
              <a16:creationId xmlns:a16="http://schemas.microsoft.com/office/drawing/2014/main" id="{A3D8B04D-6F20-99A7-D9B8-1CB7B2079138}"/>
            </a:ext>
          </a:extLst>
        </xdr:cNvPr>
        <xdr:cNvSpPr>
          <a:spLocks noChangeAspect="1"/>
        </xdr:cNvSpPr>
      </xdr:nvSpPr>
      <xdr:spPr>
        <a:xfrm>
          <a:off x="10137403" y="1476374"/>
          <a:ext cx="1097280" cy="365760"/>
        </a:xfrm>
        <a:prstGeom prst="roundRect">
          <a:avLst/>
        </a:prstGeom>
        <a:solidFill>
          <a:srgbClr val="196B24">
            <a:lumMod val="60000"/>
            <a:lumOff val="40000"/>
          </a:srgbClr>
        </a:solidFill>
        <a:ln w="19050" cap="flat" cmpd="sng" algn="ctr">
          <a:noFill/>
          <a:prstDash val="solid"/>
          <a:miter lim="800000"/>
        </a:ln>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1100" b="1" i="0" u="none" strike="noStrike" kern="0" cap="none" spc="0" normalizeH="0" baseline="0">
              <a:ln>
                <a:noFill/>
              </a:ln>
              <a:solidFill>
                <a:sysClr val="windowText" lastClr="000000"/>
              </a:solidFill>
              <a:effectLst/>
              <a:uLnTx/>
              <a:uFillTx/>
              <a:latin typeface="Aptos Narrow" panose="02110004020202020204"/>
              <a:ea typeface="+mn-ea"/>
              <a:cs typeface="+mn-cs"/>
            </a:rPr>
            <a:t>Push Entries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485775</xdr:colOff>
      <xdr:row>1</xdr:row>
      <xdr:rowOff>0</xdr:rowOff>
    </xdr:from>
    <xdr:to>
      <xdr:col>18</xdr:col>
      <xdr:colOff>30809</xdr:colOff>
      <xdr:row>3</xdr:row>
      <xdr:rowOff>160639</xdr:rowOff>
    </xdr:to>
    <xdr:pic>
      <xdr:nvPicPr>
        <xdr:cNvPr id="2" name="Picture 1">
          <a:extLst>
            <a:ext uri="{FF2B5EF4-FFF2-40B4-BE49-F238E27FC236}">
              <a16:creationId xmlns:a16="http://schemas.microsoft.com/office/drawing/2014/main" id="{8B48815E-B20F-41AC-BC8E-3C360632301E}"/>
            </a:ext>
          </a:extLst>
        </xdr:cNvPr>
        <xdr:cNvPicPr>
          <a:picLocks noChangeAspect="1"/>
        </xdr:cNvPicPr>
      </xdr:nvPicPr>
      <xdr:blipFill>
        <a:blip xmlns:r="http://schemas.openxmlformats.org/officeDocument/2006/relationships" r:embed="rId1"/>
        <a:stretch>
          <a:fillRect/>
        </a:stretch>
      </xdr:blipFill>
      <xdr:spPr>
        <a:xfrm>
          <a:off x="14582775" y="190500"/>
          <a:ext cx="1253184" cy="54798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F55603-5B88-46BA-B482-2BF441FCF4D2}" name="Table2" displayName="Table2" ref="E12:I21" totalsRowCount="1" headerRowDxfId="45" dataDxfId="43" totalsRowDxfId="42" headerRowBorderDxfId="44" headerRowCellStyle="Heading 2" dataCellStyle="Comma">
  <autoFilter ref="E12:I20" xr:uid="{5FF55603-5B88-46BA-B482-2BF441FCF4D2}"/>
  <tableColumns count="5">
    <tableColumn id="2" xr3:uid="{2F889FF2-B796-4ED9-81FD-F3C85D78779D}" name="Status" dataDxfId="41" totalsRowDxfId="40" dataCellStyle="Normal 2"/>
    <tableColumn id="3" xr3:uid="{51F55DCC-FF19-41D1-9AD9-5D913474267F}" name="Allowable" totalsRowFunction="sum" dataDxfId="39" totalsRowDxfId="38" dataCellStyle="Comma">
      <calculatedColumnFormula>SUMIF(INDIRECT("$G$22:$G$1000"),Table2[[#This Row],[Status]],INDIRECT("$H$22:$H$1000"))</calculatedColumnFormula>
    </tableColumn>
    <tableColumn id="4" xr3:uid="{AE9DFA8C-A13B-4CFE-9DE5-4D1D5E103469}" name="Cost" totalsRowFunction="sum" dataDxfId="37" totalsRowDxfId="36" dataCellStyle="Comma">
      <calculatedColumnFormula>SUMIF(INDIRECT("$G$22:$G$1000"),Table2[[#This Row],[Status]],INDIRECT("$I$22:$I$1000"))</calculatedColumnFormula>
    </tableColumn>
    <tableColumn id="5" xr3:uid="{759E7CA6-9F85-4D81-AFA5-3F79BD64F586}" name="Margin" totalsRowFunction="sum" dataDxfId="35" totalsRowDxfId="34" dataCellStyle="Comma">
      <calculatedColumnFormula>IF(Table2[[#This Row],[Cost]]=0,"-",F13-G13)</calculatedColumnFormula>
    </tableColumn>
    <tableColumn id="6" xr3:uid="{824C30A2-61BF-4A0E-95F6-C9DCCA9BE700}" name="Margin %" dataDxfId="33" totalsRowDxfId="32" dataCellStyle="Percent">
      <calculatedColumnFormula>IF(OR(Table2[[#This Row],[Allowable]]=0,Table2[[#This Row],[Cost]]=0),"-",Table2[[#This Row],[Margin]]/Table2[[#This Row],[Allowable]])</calculatedColumnFormula>
    </tableColumn>
  </tableColumns>
  <tableStyleInfo name="TableStyleLight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772E14-19E3-47CB-9EBA-64BBEF49D2C3}" name="Tbl_Input" displayName="Tbl_Input" ref="B11:J99" totalsRowShown="0" headerRowDxfId="28" dataDxfId="26" headerRowBorderDxfId="27" headerRowCellStyle="Heading 2">
  <autoFilter ref="B11:J99" xr:uid="{E1772E14-19E3-47CB-9EBA-64BBEF49D2C3}"/>
  <tableColumns count="9">
    <tableColumn id="9" xr3:uid="{F5EB23B7-949B-4FC0-A923-9BEAED4B6AB6}" name="Sl. No" dataDxfId="25"/>
    <tableColumn id="1" xr3:uid="{44E87056-C1A6-44DD-AD37-3BC2E5C1F4BE}" name="Work Package (Specific)" dataDxfId="24"/>
    <tableColumn id="2" xr3:uid="{E691151B-CB93-4EE9-983E-CFC11C5566F3}" name="Work Package Standard" dataDxfId="23"/>
    <tableColumn id="3" xr3:uid="{D7CCE177-6CE2-4DB7-9CB4-8DA4306E6F68}" name="Standard Reference No." dataDxfId="22"/>
    <tableColumn id="4" xr3:uid="{BB25953C-DBFB-40E1-9820-35C4B6CC7CE5}" name="Package Category" dataDxfId="21"/>
    <tableColumn id="5" xr3:uid="{3AFBFA3F-8B20-4922-B185-5B291FF59FF9}" name="No. of Instances" dataDxfId="20"/>
    <tableColumn id="6" xr3:uid="{888C0475-B823-4935-969F-8D68F96A8F53}" name="Prime Package Y/N" dataDxfId="19"/>
    <tableColumn id="7" xr3:uid="{3E5F1FFB-2144-4055-9F8E-BF5D4812FEA5}" name="Package Manager" dataDxfId="18"/>
    <tableColumn id="8" xr3:uid="{34741EDF-6F84-428E-B7E9-159257A8CAA4}" name="Tender Allowance" dataDxfId="17" dataCellStyle="Comma"/>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BE9153-18A1-4BCB-A5C4-B45385C289FC}" name="Table1" displayName="Table1" ref="B13:R696" totalsRowShown="0" headerRowDxfId="16" headerRowBorderDxfId="15" headerRowCellStyle="Heading 2">
  <autoFilter ref="B13:R696" xr:uid="{28BE9153-18A1-4BCB-A5C4-B45385C289FC}"/>
  <tableColumns count="17">
    <tableColumn id="1" xr3:uid="{2B392449-3C7E-458F-ADDD-BA8F13EFDCDE}" name="Standard Reference No."/>
    <tableColumn id="2" xr3:uid="{809E548F-710D-4FFA-AFF7-DD89CD21E733}" name="Work Package"/>
    <tableColumn id="3" xr3:uid="{1352670B-97F8-47E2-B1FD-A2FB2FE9E84D}" name="DTP Received" dataDxfId="14"/>
    <tableColumn id="4" xr3:uid="{34969512-2AB0-49A0-8741-EA391CCAA94F}" name="STP Created" dataDxfId="13"/>
    <tableColumn id="5" xr3:uid="{F122886D-4200-4BBE-A64D-68223E295970}" name="Provide Link to STP" dataDxfId="12"/>
    <tableColumn id="6" xr3:uid="{AD0A39DC-2679-4336-BD5C-FB11DD224803}" name="Float RFPs" dataDxfId="11"/>
    <tableColumn id="7" xr3:uid="{E62E6D33-BCAF-41C0-A0EA-F58F013D6782}" name="TQ Process" dataDxfId="10"/>
    <tableColumn id="8" xr3:uid="{33F9C3E6-B0CF-45EB-854A-F003448D9C10}" name="TQs Closed" dataDxfId="9"/>
    <tableColumn id="9" xr3:uid="{9267FAB9-1A47-4CAD-B543-2CE4DC580E2D}" name="Initial Proposals Received" dataDxfId="8"/>
    <tableColumn id="10" xr3:uid="{8CE6D1E2-F539-4C9B-9114-E7B1E3174AC5}" name="Initial Bid Tab" dataDxfId="7"/>
    <tableColumn id="11" xr3:uid="{2A65F7FC-9602-411B-ABAC-BBA2ECC0D06A}" name="PTC Process" dataDxfId="6"/>
    <tableColumn id="12" xr3:uid="{4292C37B-9814-4A38-ADBC-69E0CFE06924}" name="PTC Closed" dataDxfId="5"/>
    <tableColumn id="13" xr3:uid="{9CE3E787-D41A-4574-A61C-AE19BA2A1D75}" name="LAFO Proposal Received" dataDxfId="4"/>
    <tableColumn id="14" xr3:uid="{AB177500-6E91-4230-AF6C-D3AA86AEEF79}" name="Final Bid Tab" dataDxfId="3"/>
    <tableColumn id="15" xr3:uid="{58A8319A-B618-482D-8903-DE259E7C38D6}" name="TRF Created" dataDxfId="2"/>
    <tableColumn id="16" xr3:uid="{17EB5957-712F-428D-B355-D3D38C447D7A}" name="Uploaded to OBT" dataDxfId="1"/>
    <tableColumn id="18" xr3:uid="{9A847D6F-609E-4B0F-B14B-D7659BB2E6FC}" name="LPO/ LOA/ SOA Issue Date"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87479-6394-4631-BCBF-2FB535C80752}">
  <sheetPr codeName="Sheet1"/>
  <dimension ref="A1:K27"/>
  <sheetViews>
    <sheetView showGridLines="0" view="pageBreakPreview" zoomScale="85" zoomScaleNormal="100" zoomScaleSheetLayoutView="85" workbookViewId="0">
      <pane ySplit="6" topLeftCell="A7" activePane="bottomLeft" state="frozen"/>
      <selection activeCell="G30" sqref="G30:G31"/>
      <selection pane="bottomLeft" activeCell="C13" sqref="C13:C15"/>
    </sheetView>
  </sheetViews>
  <sheetFormatPr defaultRowHeight="15" x14ac:dyDescent="0.25"/>
  <cols>
    <col min="1" max="1" width="3.42578125" customWidth="1"/>
    <col min="2" max="2" width="19.28515625" customWidth="1"/>
    <col min="3" max="3" width="17.5703125" customWidth="1"/>
    <col min="4" max="4" width="45.28515625" customWidth="1"/>
    <col min="5" max="5" width="3.42578125" customWidth="1"/>
    <col min="8" max="8" width="16.28515625" style="3" customWidth="1"/>
    <col min="9" max="9" width="9.28515625" style="3"/>
    <col min="10" max="10" width="10" style="61" hidden="1" customWidth="1"/>
    <col min="11" max="11" width="9.28515625" style="3"/>
  </cols>
  <sheetData>
    <row r="1" spans="1:10" x14ac:dyDescent="0.25">
      <c r="A1" s="237" t="s">
        <v>0</v>
      </c>
      <c r="B1" s="237"/>
      <c r="C1" s="237"/>
      <c r="D1" s="237"/>
      <c r="E1" s="237"/>
      <c r="J1" s="53"/>
    </row>
    <row r="2" spans="1:10" x14ac:dyDescent="0.25">
      <c r="A2" s="237"/>
      <c r="B2" s="237"/>
      <c r="C2" s="237"/>
      <c r="D2" s="237"/>
      <c r="E2" s="237"/>
      <c r="G2" s="60" t="s">
        <v>1</v>
      </c>
      <c r="H2" s="83">
        <v>45849</v>
      </c>
      <c r="J2" s="61" cm="1">
        <f t="array" ref="J2:J6">TRANSPOSE(_xlfn.SEQUENCE(1,(($C$15-$C$14)/30)+5,$H$2 + MOD(6 - WEEKDAY($H$2), 7),7))</f>
        <v>45849</v>
      </c>
    </row>
    <row r="3" spans="1:10" x14ac:dyDescent="0.25">
      <c r="A3" s="237"/>
      <c r="B3" s="237"/>
      <c r="C3" s="237"/>
      <c r="D3" s="237"/>
      <c r="E3" s="237"/>
      <c r="J3" s="61">
        <v>45856</v>
      </c>
    </row>
    <row r="4" spans="1:10" ht="17.25" customHeight="1" x14ac:dyDescent="0.25">
      <c r="A4" s="6"/>
      <c r="B4" s="10" t="s">
        <v>2</v>
      </c>
      <c r="C4" s="89">
        <v>46181</v>
      </c>
      <c r="D4" s="6"/>
      <c r="E4" s="6"/>
      <c r="J4" s="61">
        <v>45863</v>
      </c>
    </row>
    <row r="5" spans="1:10" ht="17.25" customHeight="1" x14ac:dyDescent="0.25">
      <c r="A5" s="6"/>
      <c r="B5" s="6"/>
      <c r="C5" s="6"/>
      <c r="D5" s="6"/>
      <c r="E5" s="6"/>
      <c r="J5" s="61">
        <v>45870</v>
      </c>
    </row>
    <row r="6" spans="1:10" ht="24.75" thickBot="1" x14ac:dyDescent="0.35">
      <c r="A6" s="6"/>
      <c r="B6" s="7" t="s">
        <v>3</v>
      </c>
      <c r="C6" s="8"/>
      <c r="D6" s="8"/>
      <c r="E6" s="6"/>
      <c r="J6" s="61">
        <v>45877</v>
      </c>
    </row>
    <row r="7" spans="1:10" ht="15.75" customHeight="1" thickTop="1" x14ac:dyDescent="0.25">
      <c r="A7" s="6"/>
      <c r="B7" s="9"/>
      <c r="C7" s="6"/>
      <c r="D7" s="6"/>
      <c r="E7" s="6"/>
    </row>
    <row r="8" spans="1:10" x14ac:dyDescent="0.25">
      <c r="A8" s="2"/>
      <c r="B8" s="10" t="s">
        <v>4</v>
      </c>
      <c r="C8" s="231"/>
      <c r="D8" s="232"/>
      <c r="E8" s="2"/>
    </row>
    <row r="9" spans="1:10" x14ac:dyDescent="0.25">
      <c r="A9" s="2"/>
      <c r="B9" s="10" t="s">
        <v>5</v>
      </c>
      <c r="C9" s="50"/>
      <c r="D9" s="47"/>
      <c r="E9" s="2"/>
    </row>
    <row r="10" spans="1:10" x14ac:dyDescent="0.25">
      <c r="A10" s="2"/>
      <c r="B10" s="10" t="s">
        <v>6</v>
      </c>
      <c r="C10" s="233"/>
      <c r="D10" s="234"/>
      <c r="E10" s="2"/>
    </row>
    <row r="11" spans="1:10" x14ac:dyDescent="0.25">
      <c r="A11" s="2"/>
      <c r="B11" s="10" t="s">
        <v>7</v>
      </c>
      <c r="C11" s="235"/>
      <c r="D11" s="236"/>
      <c r="E11" s="2"/>
    </row>
    <row r="12" spans="1:10" x14ac:dyDescent="0.25">
      <c r="A12" s="2"/>
      <c r="B12" s="11"/>
      <c r="C12" s="2"/>
      <c r="D12" s="2"/>
      <c r="E12" s="2"/>
    </row>
    <row r="13" spans="1:10" x14ac:dyDescent="0.25">
      <c r="A13" s="2"/>
      <c r="B13" s="10" t="s">
        <v>8</v>
      </c>
      <c r="C13" s="51"/>
      <c r="D13" s="48"/>
      <c r="E13" s="2"/>
    </row>
    <row r="14" spans="1:10" x14ac:dyDescent="0.25">
      <c r="A14" s="2"/>
      <c r="B14" s="10" t="s">
        <v>9</v>
      </c>
      <c r="C14" s="52"/>
      <c r="D14" s="49"/>
      <c r="E14" s="2"/>
    </row>
    <row r="15" spans="1:10" x14ac:dyDescent="0.25">
      <c r="A15" s="2"/>
      <c r="B15" s="10" t="s">
        <v>10</v>
      </c>
      <c r="C15" s="52"/>
      <c r="D15" s="49"/>
      <c r="E15" s="2"/>
    </row>
    <row r="16" spans="1:10" x14ac:dyDescent="0.25">
      <c r="A16" s="2"/>
      <c r="B16" s="11"/>
      <c r="C16" s="2"/>
      <c r="D16" s="2"/>
      <c r="E16" s="2"/>
    </row>
    <row r="17" spans="1:5" x14ac:dyDescent="0.25">
      <c r="A17" s="2"/>
      <c r="B17" s="10" t="s">
        <v>11</v>
      </c>
      <c r="C17" s="88" t="s">
        <v>12</v>
      </c>
      <c r="D17" s="2"/>
      <c r="E17" s="2"/>
    </row>
    <row r="18" spans="1:5" x14ac:dyDescent="0.25">
      <c r="A18" s="2"/>
      <c r="B18" s="11"/>
      <c r="C18" s="2"/>
      <c r="D18" s="2"/>
      <c r="E18" s="2"/>
    </row>
    <row r="19" spans="1:5" ht="18" thickBot="1" x14ac:dyDescent="0.35">
      <c r="A19" s="2"/>
      <c r="B19" s="7" t="s">
        <v>13</v>
      </c>
      <c r="C19" s="8"/>
      <c r="D19" s="8"/>
      <c r="E19" s="2"/>
    </row>
    <row r="20" spans="1:5" ht="15.75" thickTop="1" x14ac:dyDescent="0.25">
      <c r="A20" s="2"/>
      <c r="B20" s="11"/>
      <c r="C20" s="2"/>
      <c r="D20" s="2"/>
      <c r="E20" s="2"/>
    </row>
    <row r="21" spans="1:5" x14ac:dyDescent="0.25">
      <c r="A21" s="2"/>
      <c r="B21" s="10" t="s">
        <v>14</v>
      </c>
      <c r="C21" s="231"/>
      <c r="D21" s="232"/>
      <c r="E21" s="2"/>
    </row>
    <row r="22" spans="1:5" x14ac:dyDescent="0.25">
      <c r="A22" s="2"/>
      <c r="B22" s="10" t="s">
        <v>15</v>
      </c>
      <c r="C22" s="231"/>
      <c r="D22" s="232"/>
      <c r="E22" s="2"/>
    </row>
    <row r="23" spans="1:5" x14ac:dyDescent="0.25">
      <c r="A23" s="2"/>
      <c r="B23" s="10" t="s">
        <v>16</v>
      </c>
      <c r="C23" s="231"/>
      <c r="D23" s="232"/>
      <c r="E23" s="2"/>
    </row>
    <row r="24" spans="1:5" x14ac:dyDescent="0.25">
      <c r="A24" s="2"/>
      <c r="B24" s="10" t="s">
        <v>17</v>
      </c>
      <c r="C24" s="231"/>
      <c r="D24" s="232"/>
      <c r="E24" s="2"/>
    </row>
    <row r="25" spans="1:5" x14ac:dyDescent="0.25">
      <c r="A25" s="2"/>
      <c r="B25" s="10" t="s">
        <v>18</v>
      </c>
      <c r="C25" s="231"/>
      <c r="D25" s="232"/>
      <c r="E25" s="2"/>
    </row>
    <row r="26" spans="1:5" x14ac:dyDescent="0.25">
      <c r="A26" s="2"/>
      <c r="B26" s="2"/>
      <c r="C26" s="2"/>
      <c r="D26" s="2"/>
      <c r="E26" s="2"/>
    </row>
    <row r="27" spans="1:5" x14ac:dyDescent="0.25">
      <c r="A27" s="2"/>
      <c r="B27" s="2"/>
      <c r="C27" s="2"/>
      <c r="D27" s="2"/>
      <c r="E27" s="2"/>
    </row>
  </sheetData>
  <sheetProtection algorithmName="SHA-512" hashValue="ART3BFBiWP3N5TY3/S1FxREQW8DZJM/cA/slQ0nhwwtOZLqcQdrL7/xUp/+xa3SJIamqsGLDhaLOvlul2YaZww==" saltValue="BZxnmdpUat4Z9e95wSdo7g==" spinCount="100000" sheet="1" objects="1" scenarios="1"/>
  <protectedRanges>
    <protectedRange algorithmName="SHA-512" hashValue="sl1XmkZLPG+5xCc+lpUkD/TzkenTLsVjC2kDq9s/izI80cUVgPlDv1XEZ/w/kziiAVFb3122RaWvA0RaIc8s2A==" saltValue="7Mm/oKnFHOSUJ11r1LTHug==" spinCount="100000" sqref="B19:B24 B6" name="Editable_PMO_3"/>
    <protectedRange algorithmName="SHA-512" hashValue="sl1XmkZLPG+5xCc+lpUkD/TzkenTLsVjC2kDq9s/izI80cUVgPlDv1XEZ/w/kziiAVFb3122RaWvA0RaIc8s2A==" saltValue="7Mm/oKnFHOSUJ11r1LTHug==" spinCount="100000" sqref="C17" name="Editable_PMO_5"/>
  </protectedRanges>
  <mergeCells count="9">
    <mergeCell ref="C25:D25"/>
    <mergeCell ref="C10:D10"/>
    <mergeCell ref="C11:D11"/>
    <mergeCell ref="C8:D8"/>
    <mergeCell ref="A1:E3"/>
    <mergeCell ref="C21:D21"/>
    <mergeCell ref="C22:D22"/>
    <mergeCell ref="C23:D23"/>
    <mergeCell ref="C24:D24"/>
  </mergeCells>
  <dataValidations count="4">
    <dataValidation type="list" allowBlank="1" showInputMessage="1" showErrorMessage="1" sqref="C17" xr:uid="{C857C20B-1683-44E7-A71B-3EBE22003553}">
      <formula1>"Tender, Live (Pre-con), Live (On-Site), Closed"</formula1>
    </dataValidation>
    <dataValidation type="whole" operator="greaterThan" allowBlank="1" showInputMessage="1" showErrorMessage="1" sqref="C13:D13" xr:uid="{FE7BDB1E-73BB-48F7-A61F-48737F839AE1}">
      <formula1>0</formula1>
    </dataValidation>
    <dataValidation type="date" operator="greaterThan" allowBlank="1" showInputMessage="1" showErrorMessage="1" sqref="C14:D15" xr:uid="{3653B949-D700-4F25-9EAD-8721B49013E3}">
      <formula1>43831</formula1>
    </dataValidation>
    <dataValidation type="date" operator="greaterThan" allowBlank="1" showInputMessage="1" showErrorMessage="1" sqref="C4 H2" xr:uid="{D12C98B5-E02C-46B2-B12E-9F591811A193}">
      <formula1>45292</formula1>
    </dataValidation>
  </dataValidations>
  <pageMargins left="0.7" right="0.7" top="0.75" bottom="0.75" header="0.3" footer="0.3"/>
  <pageSetup paperSize="9" scale="7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3A781-74F1-4FDA-88C2-693A28050EE1}">
  <sheetPr codeName="Sheet6">
    <pageSetUpPr fitToPage="1"/>
  </sheetPr>
  <dimension ref="A1:K97"/>
  <sheetViews>
    <sheetView showGridLines="0" view="pageBreakPreview" zoomScale="85" zoomScaleNormal="115" zoomScaleSheetLayoutView="85" workbookViewId="0">
      <selection activeCell="J18" sqref="J18:J20"/>
    </sheetView>
  </sheetViews>
  <sheetFormatPr defaultRowHeight="15" outlineLevelRow="1" x14ac:dyDescent="0.25"/>
  <cols>
    <col min="1" max="1" width="5.28515625" customWidth="1"/>
    <col min="2" max="4" width="8.5703125" customWidth="1"/>
    <col min="5" max="10" width="17.28515625" customWidth="1"/>
    <col min="11" max="11" width="4.5703125" customWidth="1"/>
    <col min="15" max="15" width="12.7109375" customWidth="1"/>
    <col min="16" max="16" width="12" customWidth="1"/>
  </cols>
  <sheetData>
    <row r="1" spans="1:11" x14ac:dyDescent="0.25">
      <c r="A1" s="237" t="s">
        <v>19</v>
      </c>
      <c r="B1" s="237"/>
      <c r="C1" s="237"/>
      <c r="D1" s="237"/>
      <c r="E1" s="237"/>
      <c r="F1" s="237"/>
      <c r="G1" s="22"/>
      <c r="H1" s="82"/>
      <c r="I1" s="22"/>
      <c r="J1" s="22"/>
      <c r="K1" s="22"/>
    </row>
    <row r="2" spans="1:11" x14ac:dyDescent="0.25">
      <c r="A2" s="237"/>
      <c r="B2" s="237"/>
      <c r="C2" s="237"/>
      <c r="D2" s="237"/>
      <c r="E2" s="237"/>
      <c r="F2" s="237"/>
      <c r="G2" s="22"/>
      <c r="H2" s="82"/>
      <c r="I2" s="22"/>
      <c r="J2" s="22"/>
      <c r="K2" s="22"/>
    </row>
    <row r="3" spans="1:11" x14ac:dyDescent="0.25">
      <c r="A3" s="237"/>
      <c r="B3" s="237"/>
      <c r="C3" s="237"/>
      <c r="D3" s="237"/>
      <c r="E3" s="237"/>
      <c r="F3" s="237"/>
      <c r="G3" s="22"/>
      <c r="H3" s="22"/>
      <c r="I3" s="22"/>
      <c r="J3" s="22"/>
      <c r="K3" s="22"/>
    </row>
    <row r="4" spans="1:11" x14ac:dyDescent="0.25">
      <c r="A4" s="22"/>
      <c r="B4" s="22"/>
      <c r="C4" s="22"/>
      <c r="D4" s="22"/>
      <c r="E4" s="22"/>
      <c r="F4" s="22"/>
      <c r="G4" s="22"/>
      <c r="H4" s="22"/>
      <c r="I4" s="22"/>
      <c r="J4" s="22"/>
      <c r="K4" s="22"/>
    </row>
    <row r="5" spans="1:11" x14ac:dyDescent="0.25">
      <c r="A5" s="22"/>
      <c r="B5" s="1" t="s">
        <v>4</v>
      </c>
      <c r="C5" s="246">
        <f>'Project Information'!C8</f>
        <v>0</v>
      </c>
      <c r="D5" s="247"/>
      <c r="E5" s="247"/>
      <c r="F5" s="247"/>
      <c r="G5" s="248"/>
      <c r="H5" s="22"/>
      <c r="I5" s="22"/>
      <c r="J5" s="22"/>
      <c r="K5" s="22"/>
    </row>
    <row r="6" spans="1:11" x14ac:dyDescent="0.25">
      <c r="A6" s="22"/>
      <c r="B6" s="1" t="s">
        <v>5</v>
      </c>
      <c r="C6" s="246">
        <f>'Project Information'!C9</f>
        <v>0</v>
      </c>
      <c r="D6" s="248"/>
      <c r="E6" s="13"/>
      <c r="F6" s="13"/>
      <c r="G6" s="13"/>
      <c r="H6" s="14"/>
      <c r="I6" s="22"/>
      <c r="J6" s="22"/>
      <c r="K6" s="22"/>
    </row>
    <row r="7" spans="1:11" x14ac:dyDescent="0.25">
      <c r="A7" s="22"/>
      <c r="B7" s="1" t="s">
        <v>6</v>
      </c>
      <c r="C7" s="246">
        <f>'Project Information'!C10</f>
        <v>0</v>
      </c>
      <c r="D7" s="247"/>
      <c r="E7" s="247"/>
      <c r="F7" s="247"/>
      <c r="G7" s="248"/>
      <c r="H7" s="22"/>
      <c r="I7" s="22"/>
      <c r="J7" s="22"/>
      <c r="K7" s="22"/>
    </row>
    <row r="8" spans="1:11" x14ac:dyDescent="0.25">
      <c r="A8" s="22"/>
      <c r="B8" s="1" t="s">
        <v>7</v>
      </c>
      <c r="C8" s="246">
        <f>'Project Information'!C11</f>
        <v>0</v>
      </c>
      <c r="D8" s="247"/>
      <c r="E8" s="247"/>
      <c r="F8" s="247"/>
      <c r="G8" s="248"/>
      <c r="H8" s="15"/>
      <c r="I8" s="10" t="s">
        <v>2</v>
      </c>
      <c r="J8" s="84">
        <v>46178</v>
      </c>
      <c r="K8" s="22"/>
    </row>
    <row r="9" spans="1:11" x14ac:dyDescent="0.25">
      <c r="A9" s="22"/>
      <c r="B9" s="22"/>
      <c r="C9" s="22"/>
      <c r="D9" s="22"/>
      <c r="E9" s="22"/>
      <c r="F9" s="22"/>
      <c r="G9" s="22"/>
      <c r="H9" s="22"/>
      <c r="I9" s="22"/>
      <c r="J9" s="22"/>
      <c r="K9" s="22"/>
    </row>
    <row r="10" spans="1:11" ht="42.75" customHeight="1" thickBot="1" x14ac:dyDescent="0.35">
      <c r="A10" s="22"/>
      <c r="B10" s="7" t="s">
        <v>20</v>
      </c>
      <c r="C10" s="17"/>
      <c r="D10" s="17"/>
      <c r="E10" s="17"/>
      <c r="F10" s="17"/>
      <c r="G10" s="17"/>
      <c r="H10" s="17"/>
      <c r="I10" s="17"/>
      <c r="J10" s="17"/>
      <c r="K10" s="22"/>
    </row>
    <row r="11" spans="1:11" ht="18" outlineLevel="1" thickTop="1" x14ac:dyDescent="0.3">
      <c r="A11" s="22"/>
      <c r="B11" s="55" t="s">
        <v>21</v>
      </c>
      <c r="C11" s="55" t="s">
        <v>22</v>
      </c>
      <c r="D11" s="55" t="s">
        <v>23</v>
      </c>
      <c r="E11" s="18"/>
      <c r="F11" s="18"/>
      <c r="G11" s="18"/>
      <c r="H11" s="18"/>
      <c r="I11" s="18"/>
      <c r="J11" s="22"/>
      <c r="K11" s="22"/>
    </row>
    <row r="12" spans="1:11" ht="25.5" customHeight="1" outlineLevel="1" x14ac:dyDescent="0.25">
      <c r="A12" s="22"/>
      <c r="B12" s="93">
        <f>COUNTIF('Procurement Schedule'!H:H,"&lt;=" &amp; MIN('Procurement Schedule'!H:H))</f>
        <v>66</v>
      </c>
      <c r="C12" s="93">
        <f>IF(COUNTIFS('Procurement Schedule'!$H:$H,"&lt;=" &amp; ($J$8-7))&lt;=$B$12,$B$12,COUNTIFS('Procurement Schedule'!$H:$H,"&lt;=" &amp; ($J$8-7)))</f>
        <v>66</v>
      </c>
      <c r="D12" s="94">
        <f>COUNTIFS('Procurement Schedule'!$H:$H,"&lt;=" &amp; $J$8)</f>
        <v>66</v>
      </c>
      <c r="E12" s="95" t="s">
        <v>24</v>
      </c>
      <c r="F12" s="95" t="s">
        <v>25</v>
      </c>
      <c r="G12" s="95" t="s">
        <v>26</v>
      </c>
      <c r="H12" s="95" t="s">
        <v>27</v>
      </c>
      <c r="I12" s="95" t="s">
        <v>28</v>
      </c>
      <c r="J12" s="95" t="s">
        <v>29</v>
      </c>
      <c r="K12" s="22"/>
    </row>
    <row r="13" spans="1:11" ht="15" customHeight="1" outlineLevel="1" x14ac:dyDescent="0.25">
      <c r="A13" s="22"/>
      <c r="B13" s="245" t="s">
        <v>30</v>
      </c>
      <c r="C13" s="71">
        <f>COUNTIFS('Procurement Schedule'!$AN:$AN,"&lt;=" &amp; ($J$8-7),'Procurement Schedule'!$AO:$AO,Table2[[#This Row],[Status]])</f>
        <v>26</v>
      </c>
      <c r="D13" s="72">
        <f>COUNTIFS('Procurement Schedule'!$AN:$AN,"&lt;=" &amp; $J$8,'Procurement Schedule'!$AO:$AO,Table2[[#This Row],[Status]])</f>
        <v>32</v>
      </c>
      <c r="E13" s="74" t="s">
        <v>31</v>
      </c>
      <c r="F13" s="31">
        <f ca="1">SUMIF(INDIRECT("$G$22:$G$1000"),Table2[[#This Row],[Status]],INDIRECT("$H$22:$H$1000"))</f>
        <v>56906967.029999994</v>
      </c>
      <c r="G13" s="31">
        <f ca="1">SUMIF(INDIRECT("$G$22:$G$1000"),Table2[[#This Row],[Status]],INDIRECT("$I$22:$I$1000"))</f>
        <v>400149579.64999998</v>
      </c>
      <c r="H13" s="31">
        <f ca="1">IF(Table2[[#This Row],[Cost]]=0,"-",F13-G13)</f>
        <v>-343242612.62</v>
      </c>
      <c r="I13" s="32">
        <f ca="1">IF(OR(Table2[[#This Row],[Allowable]]=0,Table2[[#This Row],[Cost]]=0),"-",Table2[[#This Row],[Margin]]/Table2[[#This Row],[Allowable]])</f>
        <v>-6.0316448149318989</v>
      </c>
      <c r="J13" s="92" t="s">
        <v>32</v>
      </c>
      <c r="K13" s="22"/>
    </row>
    <row r="14" spans="1:11" ht="15" customHeight="1" outlineLevel="1" x14ac:dyDescent="0.25">
      <c r="A14" s="22"/>
      <c r="B14" s="245"/>
      <c r="C14" s="71">
        <f>COUNTIFS('Procurement Schedule'!$AN:$AN,"&lt;=" &amp; ($J$8-7),'Procurement Schedule'!$AO:$AO,Table2[[#This Row],[Status]])</f>
        <v>0</v>
      </c>
      <c r="D14" s="72">
        <f>COUNTIFS('Procurement Schedule'!$AN:$AN,"&lt;=" &amp; $J$8,'Procurement Schedule'!$AO:$AO,Table2[[#This Row],[Status]])</f>
        <v>0</v>
      </c>
      <c r="E14" s="74" t="s">
        <v>33</v>
      </c>
      <c r="F14" s="31">
        <f ca="1">SUMIF(INDIRECT("$G$22:$G$1000"),Table2[[#This Row],[Status]],INDIRECT("$H$22:$H$1000"))</f>
        <v>0</v>
      </c>
      <c r="G14" s="56"/>
      <c r="H14" s="56"/>
      <c r="I14" s="57"/>
      <c r="J14" s="242">
        <f ca="1">IFERROR($F$13/Table2[[#Totals],[Allowable]],"-")</f>
        <v>0.97110114408692216</v>
      </c>
      <c r="K14" s="22"/>
    </row>
    <row r="15" spans="1:11" ht="15" customHeight="1" outlineLevel="1" x14ac:dyDescent="0.25">
      <c r="A15" s="22"/>
      <c r="B15" s="245"/>
      <c r="C15" s="71">
        <f>COUNTIFS('Procurement Schedule'!$AN:$AN,"&lt;=" &amp; ($J$8-7),'Procurement Schedule'!$AO:$AO,Table2[[#This Row],[Status]])</f>
        <v>0</v>
      </c>
      <c r="D15" s="72">
        <f>COUNTIFS('Procurement Schedule'!$AN:$AN,"&lt;=" &amp; $J$8,'Procurement Schedule'!$AO:$AO,Table2[[#This Row],[Status]])</f>
        <v>0</v>
      </c>
      <c r="E15" s="74" t="s">
        <v>34</v>
      </c>
      <c r="F15" s="31">
        <f ca="1">SUMIF(INDIRECT("$G$22:$G$1000"),Table2[[#This Row],[Status]],INDIRECT("$H$22:$H$1000"))</f>
        <v>1183875</v>
      </c>
      <c r="G15" s="56"/>
      <c r="H15" s="56"/>
      <c r="I15" s="57"/>
      <c r="J15" s="243"/>
      <c r="K15" s="22"/>
    </row>
    <row r="16" spans="1:11" ht="15" customHeight="1" outlineLevel="1" x14ac:dyDescent="0.25">
      <c r="A16" s="22"/>
      <c r="B16" s="245"/>
      <c r="C16" s="71">
        <f>COUNTIFS('Procurement Schedule'!$AN:$AN,"&lt;=" &amp; ($J$8-7),'Procurement Schedule'!$AO:$AO,Table2[[#This Row],[Status]])</f>
        <v>1</v>
      </c>
      <c r="D16" s="72">
        <f>COUNTIFS('Procurement Schedule'!$AN:$AN,"&lt;=" &amp; $J$8,'Procurement Schedule'!$AO:$AO,Table2[[#This Row],[Status]])</f>
        <v>1</v>
      </c>
      <c r="E16" s="74" t="s">
        <v>35</v>
      </c>
      <c r="F16" s="31">
        <f ca="1">SUMIF(INDIRECT("$G$22:$G$1000"),Table2[[#This Row],[Status]],INDIRECT("$H$22:$H$1000"))</f>
        <v>509611.05</v>
      </c>
      <c r="G16" s="56"/>
      <c r="H16" s="56"/>
      <c r="I16" s="57"/>
      <c r="J16" s="244"/>
      <c r="K16" s="22"/>
    </row>
    <row r="17" spans="1:11" ht="15" customHeight="1" outlineLevel="1" x14ac:dyDescent="0.25">
      <c r="A17" s="22"/>
      <c r="B17" s="245"/>
      <c r="C17" s="71">
        <f>COUNTIFS('Procurement Schedule'!$AN:$AN,"&lt;=" &amp; ($J$8-7),'Procurement Schedule'!$AO:$AO,Table2[[#This Row],[Status]])</f>
        <v>1</v>
      </c>
      <c r="D17" s="72">
        <f>COUNTIFS('Procurement Schedule'!$AN:$AN,"&lt;=" &amp; $J$8,'Procurement Schedule'!$AO:$AO,Table2[[#This Row],[Status]])</f>
        <v>1</v>
      </c>
      <c r="E17" s="74" t="s">
        <v>36</v>
      </c>
      <c r="F17" s="31">
        <f ca="1">SUMIF(INDIRECT("$G$22:$G$1000"),Table2[[#This Row],[Status]],INDIRECT("$H$22:$H$1000"))</f>
        <v>0</v>
      </c>
      <c r="G17" s="56"/>
      <c r="H17" s="56"/>
      <c r="I17" s="57"/>
      <c r="J17" s="73" t="s">
        <v>37</v>
      </c>
      <c r="K17" s="22"/>
    </row>
    <row r="18" spans="1:11" ht="15" customHeight="1" outlineLevel="1" x14ac:dyDescent="0.25">
      <c r="A18" s="22"/>
      <c r="B18" s="245"/>
      <c r="C18" s="71">
        <f>COUNTIFS('Procurement Schedule'!$AN:$AN,"&lt;=" &amp; ($J$8-7),'Procurement Schedule'!$AO:$AO,Table2[[#This Row],[Status]])</f>
        <v>0</v>
      </c>
      <c r="D18" s="72">
        <f>COUNTIFS('Procurement Schedule'!$AN:$AN,"&lt;=" &amp; $J$8,'Procurement Schedule'!$AO:$AO,Table2[[#This Row],[Status]])</f>
        <v>0</v>
      </c>
      <c r="E18" s="74" t="s">
        <v>38</v>
      </c>
      <c r="F18" s="31">
        <f ca="1">SUMIF(INDIRECT("$G$22:$G$1000"),Table2[[#This Row],[Status]],INDIRECT("$H$22:$H$1000"))</f>
        <v>0</v>
      </c>
      <c r="G18" s="56"/>
      <c r="H18" s="56"/>
      <c r="I18" s="57"/>
      <c r="J18" s="242">
        <f>IFERROR($D$13/$D$12,"-")</f>
        <v>0.48484848484848486</v>
      </c>
      <c r="K18" s="22"/>
    </row>
    <row r="19" spans="1:11" ht="15" customHeight="1" outlineLevel="1" x14ac:dyDescent="0.25">
      <c r="A19" s="22"/>
      <c r="B19" s="245"/>
      <c r="C19" s="71">
        <f>COUNTIFS('Procurement Schedule'!$AN:$AN,"&lt;=" &amp; ($J$8-7),'Procurement Schedule'!$AO:$AO,Table2[[#This Row],[Status]])</f>
        <v>0</v>
      </c>
      <c r="D19" s="72">
        <f>COUNTIFS('Procurement Schedule'!$AN:$AN,"&lt;=" &amp; $J$8,'Procurement Schedule'!$AO:$AO,Table2[[#This Row],[Status]])</f>
        <v>0</v>
      </c>
      <c r="E19" s="74" t="s">
        <v>39</v>
      </c>
      <c r="F19" s="31">
        <f ca="1">SUMIF(INDIRECT("$G$22:$G$1000"),Table2[[#This Row],[Status]],INDIRECT("$H$22:$H$1000"))</f>
        <v>0</v>
      </c>
      <c r="G19" s="56"/>
      <c r="H19" s="56"/>
      <c r="I19" s="57"/>
      <c r="J19" s="243"/>
      <c r="K19" s="22"/>
    </row>
    <row r="20" spans="1:11" ht="15.75" customHeight="1" outlineLevel="1" thickBot="1" x14ac:dyDescent="0.3">
      <c r="A20" s="22"/>
      <c r="B20" s="245"/>
      <c r="C20" s="71">
        <f>COUNTIFS('Procurement Schedule'!$AN:$AN,"&lt;=" &amp; ($J$8-7),'Procurement Schedule'!$AO:$AO,Table2[[#This Row],[Status]])</f>
        <v>4</v>
      </c>
      <c r="D20" s="72">
        <f>COUNTIFS('Procurement Schedule'!$AN:$AN,"&lt;=" &amp; $J$8,'Procurement Schedule'!$AO:$AO,Table2[[#This Row],[Status]])</f>
        <v>4</v>
      </c>
      <c r="E20" s="75" t="s">
        <v>40</v>
      </c>
      <c r="F20" s="43">
        <f ca="1">SUMIF(INDIRECT("$G$22:$G$1000"),Table2[[#This Row],[Status]],INDIRECT("$H$22:$H$1000"))</f>
        <v>0</v>
      </c>
      <c r="G20" s="58"/>
      <c r="H20" s="58"/>
      <c r="I20" s="59"/>
      <c r="J20" s="244"/>
      <c r="K20" s="22"/>
    </row>
    <row r="21" spans="1:11" ht="15.75" outlineLevel="1" thickTop="1" x14ac:dyDescent="0.25">
      <c r="A21" s="22"/>
      <c r="B21" s="22"/>
      <c r="C21" s="76"/>
      <c r="D21" s="77"/>
      <c r="E21" s="78"/>
      <c r="F21" s="79">
        <f ca="1">SUBTOTAL(109,Table2[Allowable])</f>
        <v>58600453.079999991</v>
      </c>
      <c r="G21" s="79">
        <f ca="1">SUBTOTAL(109,Table2[Cost])</f>
        <v>400149579.64999998</v>
      </c>
      <c r="H21" s="79">
        <f ca="1">SUBTOTAL(109,Table2[Margin])</f>
        <v>-343242612.62</v>
      </c>
      <c r="I21" s="80"/>
      <c r="J21" s="22"/>
      <c r="K21" s="22"/>
    </row>
    <row r="22" spans="1:11" outlineLevel="1" x14ac:dyDescent="0.25">
      <c r="A22" s="22"/>
      <c r="B22" s="22"/>
      <c r="C22" s="22"/>
      <c r="D22" s="22"/>
      <c r="E22" s="22"/>
      <c r="F22" s="22"/>
      <c r="G22" s="22"/>
      <c r="H22" s="22"/>
      <c r="I22" s="22"/>
      <c r="J22" s="22"/>
      <c r="K22" s="22"/>
    </row>
    <row r="23" spans="1:11" ht="30" customHeight="1" x14ac:dyDescent="0.25">
      <c r="A23" s="22"/>
      <c r="B23" s="81" t="s">
        <v>41</v>
      </c>
      <c r="C23" s="249" t="s">
        <v>42</v>
      </c>
      <c r="D23" s="249"/>
      <c r="E23" s="249" t="s">
        <v>43</v>
      </c>
      <c r="F23" s="249"/>
      <c r="G23" s="81" t="s">
        <v>24</v>
      </c>
      <c r="H23" s="81" t="s">
        <v>25</v>
      </c>
      <c r="I23" s="81" t="s">
        <v>26</v>
      </c>
      <c r="J23" s="81" t="s">
        <v>27</v>
      </c>
      <c r="K23" s="22"/>
    </row>
    <row r="24" spans="1:11" x14ac:dyDescent="0.25">
      <c r="B24" s="108">
        <v>1</v>
      </c>
      <c r="C24" s="238" t="s">
        <v>44</v>
      </c>
      <c r="D24" s="238"/>
      <c r="E24" s="238" t="s">
        <v>45</v>
      </c>
      <c r="F24" s="238"/>
      <c r="G24" s="104" t="str">
        <f>IF(_xlfn.XLOOKUP($B24,'Procurement Schedule'!$B$11:$B$956,'Procurement Schedule'!$AO$11:$AO$956, "-",0)=0,"-",_xlfn.XLOOKUP($B24,'Procurement Schedule'!$B$11:$B$956,'Procurement Schedule'!$AO$11:$AO$956, "-",0))</f>
        <v>DTP Received</v>
      </c>
      <c r="H24" s="112"/>
      <c r="I24" s="112">
        <f>_xlfn.XLOOKUP(B24,'Procurement Strategy'!B:B,'Procurement Strategy'!Q:Q,"-",0)</f>
        <v>0</v>
      </c>
      <c r="J24" s="112" t="str">
        <f t="shared" ref="J24:J48" si="0">IF(OR($G24="Awarded",$G24="PTC Stage",$G24="Final Negotiations",$G24="OBT Ongoing"),$H24-$I24,"-")</f>
        <v>-</v>
      </c>
    </row>
    <row r="25" spans="1:11" x14ac:dyDescent="0.25">
      <c r="B25" s="108">
        <v>2</v>
      </c>
      <c r="C25" s="238" t="s">
        <v>44</v>
      </c>
      <c r="D25" s="238"/>
      <c r="E25" s="238" t="s">
        <v>46</v>
      </c>
      <c r="F25" s="238"/>
      <c r="G25" s="104" t="str">
        <f>IF(_xlfn.XLOOKUP($B25,'Procurement Schedule'!$B$11:$B$956,'Procurement Schedule'!$AO$11:$AO$956, "-",0)=0,"-",_xlfn.XLOOKUP($B25,'Procurement Schedule'!$B$11:$B$956,'Procurement Schedule'!$AO$11:$AO$956, "-",0))</f>
        <v>Awarded</v>
      </c>
      <c r="H25" s="112"/>
      <c r="I25" s="112">
        <f>_xlfn.XLOOKUP(B25,'Procurement Strategy'!B:B,'Procurement Strategy'!Q:Q,"-",0)</f>
        <v>0</v>
      </c>
      <c r="J25" s="112">
        <f t="shared" si="0"/>
        <v>0</v>
      </c>
    </row>
    <row r="26" spans="1:11" x14ac:dyDescent="0.25">
      <c r="B26" s="108">
        <v>3</v>
      </c>
      <c r="C26" s="238" t="s">
        <v>44</v>
      </c>
      <c r="D26" s="238"/>
      <c r="E26" s="238" t="s">
        <v>47</v>
      </c>
      <c r="F26" s="238"/>
      <c r="G26" s="104" t="str">
        <f>IF(_xlfn.XLOOKUP($B26,'Procurement Schedule'!$B$11:$B$956,'Procurement Schedule'!$AO$11:$AO$956, "-",0)=0,"-",_xlfn.XLOOKUP($B26,'Procurement Schedule'!$B$11:$B$956,'Procurement Schedule'!$AO$11:$AO$956, "-",0))</f>
        <v>Awarded</v>
      </c>
      <c r="H26" s="112"/>
      <c r="I26" s="112">
        <f>_xlfn.XLOOKUP(B26,'Procurement Strategy'!B:B,'Procurement Strategy'!Q:Q,"-",0)</f>
        <v>13314968</v>
      </c>
      <c r="J26" s="112">
        <f t="shared" si="0"/>
        <v>-13314968</v>
      </c>
    </row>
    <row r="27" spans="1:11" x14ac:dyDescent="0.25">
      <c r="B27" s="108">
        <v>4</v>
      </c>
      <c r="C27" s="238" t="s">
        <v>44</v>
      </c>
      <c r="D27" s="238"/>
      <c r="E27" s="238" t="s">
        <v>48</v>
      </c>
      <c r="F27" s="238"/>
      <c r="G27" s="104" t="str">
        <f>IF(_xlfn.XLOOKUP($B27,'Procurement Schedule'!$B$11:$B$956,'Procurement Schedule'!$AO$11:$AO$956, "-",0)=0,"-",_xlfn.XLOOKUP($B27,'Procurement Schedule'!$B$11:$B$956,'Procurement Schedule'!$AO$11:$AO$956, "-",0))</f>
        <v>Awarded</v>
      </c>
      <c r="H27" s="112"/>
      <c r="I27" s="112">
        <f>_xlfn.XLOOKUP(B27,'Procurement Strategy'!B:B,'Procurement Strategy'!Q:Q,"-",0)</f>
        <v>5614191</v>
      </c>
      <c r="J27" s="112">
        <f t="shared" si="0"/>
        <v>-5614191</v>
      </c>
    </row>
    <row r="28" spans="1:11" x14ac:dyDescent="0.25">
      <c r="B28" s="108">
        <v>5</v>
      </c>
      <c r="C28" s="238" t="s">
        <v>44</v>
      </c>
      <c r="D28" s="238"/>
      <c r="E28" s="238" t="s">
        <v>49</v>
      </c>
      <c r="F28" s="238"/>
      <c r="G28" s="104" t="str">
        <f>IF(_xlfn.XLOOKUP($B28,'Procurement Schedule'!$B$11:$B$956,'Procurement Schedule'!$AO$11:$AO$956, "-",0)=0,"-",_xlfn.XLOOKUP($B28,'Procurement Schedule'!$B$11:$B$956,'Procurement Schedule'!$AO$11:$AO$956, "-",0))</f>
        <v>Awarded</v>
      </c>
      <c r="H28" s="112"/>
      <c r="I28" s="112">
        <f>_xlfn.XLOOKUP(B28,'Procurement Strategy'!B:B,'Procurement Strategy'!Q:Q,"-",0)</f>
        <v>25154797</v>
      </c>
      <c r="J28" s="112">
        <f t="shared" si="0"/>
        <v>-25154797</v>
      </c>
    </row>
    <row r="29" spans="1:11" x14ac:dyDescent="0.25">
      <c r="B29" s="108">
        <v>6</v>
      </c>
      <c r="C29" s="238" t="s">
        <v>44</v>
      </c>
      <c r="D29" s="238"/>
      <c r="E29" s="238" t="s">
        <v>50</v>
      </c>
      <c r="F29" s="238"/>
      <c r="G29" s="104" t="str">
        <f>IF(_xlfn.XLOOKUP($B29,'Procurement Schedule'!$B$11:$B$956,'Procurement Schedule'!$AO$11:$AO$956, "-",0)=0,"-",_xlfn.XLOOKUP($B29,'Procurement Schedule'!$B$11:$B$956,'Procurement Schedule'!$AO$11:$AO$956, "-",0))</f>
        <v>Awarded</v>
      </c>
      <c r="H29" s="112"/>
      <c r="I29" s="112">
        <f>_xlfn.XLOOKUP(B29,'Procurement Strategy'!B:B,'Procurement Strategy'!Q:Q,"-",0)</f>
        <v>34399021</v>
      </c>
      <c r="J29" s="112">
        <f t="shared" si="0"/>
        <v>-34399021</v>
      </c>
    </row>
    <row r="30" spans="1:11" x14ac:dyDescent="0.25">
      <c r="B30" s="108">
        <v>7</v>
      </c>
      <c r="C30" s="238" t="s">
        <v>44</v>
      </c>
      <c r="D30" s="238"/>
      <c r="E30" s="238" t="s">
        <v>51</v>
      </c>
      <c r="F30" s="238"/>
      <c r="G30" s="104" t="str">
        <f>IF(_xlfn.XLOOKUP($B30,'Procurement Schedule'!$B$11:$B$956,'Procurement Schedule'!$AO$11:$AO$956, "-",0)=0,"-",_xlfn.XLOOKUP($B30,'Procurement Schedule'!$B$11:$B$956,'Procurement Schedule'!$AO$11:$AO$956, "-",0))</f>
        <v>Awarded</v>
      </c>
      <c r="H30" s="112"/>
      <c r="I30" s="112">
        <f>_xlfn.XLOOKUP(B30,'Procurement Strategy'!B:B,'Procurement Strategy'!Q:Q,"-",0)</f>
        <v>20211651</v>
      </c>
      <c r="J30" s="112">
        <f t="shared" si="0"/>
        <v>-20211651</v>
      </c>
    </row>
    <row r="31" spans="1:11" x14ac:dyDescent="0.25">
      <c r="B31" s="90">
        <v>8</v>
      </c>
      <c r="C31" s="239" t="s">
        <v>44</v>
      </c>
      <c r="D31" s="239"/>
      <c r="E31" s="239" t="s">
        <v>52</v>
      </c>
      <c r="F31" s="239"/>
      <c r="G31" s="100" t="str">
        <f>IF(_xlfn.XLOOKUP($B31,'Procurement Schedule'!$B$11:$B$956,'Procurement Schedule'!$AO$11:$AO$956, "-",0)=0,"-",_xlfn.XLOOKUP($B31,'Procurement Schedule'!$B$11:$B$956,'Procurement Schedule'!$AO$11:$AO$956, "-",0))</f>
        <v>Awarded</v>
      </c>
      <c r="H31" s="107"/>
      <c r="I31" s="107">
        <f>_xlfn.XLOOKUP(B31,'Procurement Strategy'!B:B,'Procurement Strategy'!Q:Q,"-",0)</f>
        <v>12000000</v>
      </c>
      <c r="J31" s="107">
        <f t="shared" si="0"/>
        <v>-12000000</v>
      </c>
    </row>
    <row r="32" spans="1:11" x14ac:dyDescent="0.25">
      <c r="B32" s="117">
        <v>10</v>
      </c>
      <c r="C32" s="240" t="s">
        <v>53</v>
      </c>
      <c r="D32" s="240"/>
      <c r="E32" s="240" t="s">
        <v>54</v>
      </c>
      <c r="F32" s="240"/>
      <c r="G32" s="118" t="str">
        <f>IF(_xlfn.XLOOKUP($B32,'Procurement Schedule'!$B$11:$B$956,'Procurement Schedule'!$AO$11:$AO$956, "-",0)=0,"-",_xlfn.XLOOKUP($B32,'Procurement Schedule'!$B$11:$B$956,'Procurement Schedule'!$AO$11:$AO$956, "-",0))</f>
        <v>Awarded</v>
      </c>
      <c r="H32" s="119"/>
      <c r="I32" s="119">
        <f>_xlfn.XLOOKUP(B32,'Procurement Strategy'!B:B,'Procurement Strategy'!Q:Q,"-",0)</f>
        <v>0</v>
      </c>
      <c r="J32" s="119">
        <f t="shared" si="0"/>
        <v>0</v>
      </c>
    </row>
    <row r="33" spans="2:10" x14ac:dyDescent="0.25">
      <c r="B33" s="108">
        <v>11</v>
      </c>
      <c r="C33" s="238" t="s">
        <v>53</v>
      </c>
      <c r="D33" s="238"/>
      <c r="E33" s="238" t="s">
        <v>55</v>
      </c>
      <c r="F33" s="238"/>
      <c r="G33" s="104" t="str">
        <f>IF(_xlfn.XLOOKUP($B33,'Procurement Schedule'!$B$11:$B$956,'Procurement Schedule'!$AO$11:$AO$956, "-",0)=0,"-",_xlfn.XLOOKUP($B33,'Procurement Schedule'!$B$11:$B$956,'Procurement Schedule'!$AO$11:$AO$956, "-",0))</f>
        <v>Awarded</v>
      </c>
      <c r="H33" s="112"/>
      <c r="I33" s="112">
        <f>_xlfn.XLOOKUP(B33,'Procurement Strategy'!B:B,'Procurement Strategy'!Q:Q,"-",0)</f>
        <v>0</v>
      </c>
      <c r="J33" s="112">
        <f t="shared" si="0"/>
        <v>0</v>
      </c>
    </row>
    <row r="34" spans="2:10" x14ac:dyDescent="0.25">
      <c r="B34" s="108">
        <v>12</v>
      </c>
      <c r="C34" s="238" t="s">
        <v>53</v>
      </c>
      <c r="D34" s="238"/>
      <c r="E34" s="238" t="s">
        <v>56</v>
      </c>
      <c r="F34" s="238"/>
      <c r="G34" s="104" t="str">
        <f>IF(_xlfn.XLOOKUP($B34,'Procurement Schedule'!$B$11:$B$956,'Procurement Schedule'!$AO$11:$AO$956, "-",0)=0,"-",_xlfn.XLOOKUP($B34,'Procurement Schedule'!$B$11:$B$956,'Procurement Schedule'!$AO$11:$AO$956, "-",0))</f>
        <v>Awarded</v>
      </c>
      <c r="H34" s="112"/>
      <c r="I34" s="112">
        <f>_xlfn.XLOOKUP(B34,'Procurement Strategy'!B:B,'Procurement Strategy'!Q:Q,"-",0)</f>
        <v>0</v>
      </c>
      <c r="J34" s="112">
        <f t="shared" si="0"/>
        <v>0</v>
      </c>
    </row>
    <row r="35" spans="2:10" x14ac:dyDescent="0.25">
      <c r="B35" s="108">
        <v>13</v>
      </c>
      <c r="C35" s="238" t="s">
        <v>53</v>
      </c>
      <c r="D35" s="238"/>
      <c r="E35" s="238" t="s">
        <v>57</v>
      </c>
      <c r="F35" s="238"/>
      <c r="G35" s="104" t="str">
        <f>IF(_xlfn.XLOOKUP($B35,'Procurement Schedule'!$B$11:$B$956,'Procurement Schedule'!$AO$11:$AO$956, "-",0)=0,"-",_xlfn.XLOOKUP($B35,'Procurement Schedule'!$B$11:$B$956,'Procurement Schedule'!$AO$11:$AO$956, "-",0))</f>
        <v>Awarded</v>
      </c>
      <c r="H35" s="112"/>
      <c r="I35" s="112">
        <f>_xlfn.XLOOKUP(B35,'Procurement Strategy'!B:B,'Procurement Strategy'!Q:Q,"-",0)</f>
        <v>155390000</v>
      </c>
      <c r="J35" s="112">
        <f t="shared" si="0"/>
        <v>-155390000</v>
      </c>
    </row>
    <row r="36" spans="2:10" x14ac:dyDescent="0.25">
      <c r="B36" s="108">
        <v>14</v>
      </c>
      <c r="C36" s="238" t="s">
        <v>44</v>
      </c>
      <c r="D36" s="238"/>
      <c r="E36" s="238" t="s">
        <v>58</v>
      </c>
      <c r="F36" s="238"/>
      <c r="G36" s="104" t="str">
        <f>IF(_xlfn.XLOOKUP($B36,'Procurement Schedule'!$B$11:$B$956,'Procurement Schedule'!$AO$11:$AO$956, "-",0)=0,"-",_xlfn.XLOOKUP($B36,'Procurement Schedule'!$B$11:$B$956,'Procurement Schedule'!$AO$11:$AO$956, "-",0))</f>
        <v>Awarded</v>
      </c>
      <c r="H36" s="112"/>
      <c r="I36" s="112">
        <f>_xlfn.XLOOKUP(B36,'Procurement Strategy'!B:B,'Procurement Strategy'!Q:Q,"-",0)</f>
        <v>193612.15</v>
      </c>
      <c r="J36" s="112">
        <f t="shared" si="0"/>
        <v>-193612.15</v>
      </c>
    </row>
    <row r="37" spans="2:10" x14ac:dyDescent="0.25">
      <c r="B37" s="108">
        <v>15</v>
      </c>
      <c r="C37" s="238" t="s">
        <v>44</v>
      </c>
      <c r="D37" s="238"/>
      <c r="E37" s="238" t="s">
        <v>59</v>
      </c>
      <c r="F37" s="238"/>
      <c r="G37" s="104" t="str">
        <f>IF(_xlfn.XLOOKUP($B37,'Procurement Schedule'!$B$11:$B$956,'Procurement Schedule'!$AO$11:$AO$956, "-",0)=0,"-",_xlfn.XLOOKUP($B37,'Procurement Schedule'!$B$11:$B$956,'Procurement Schedule'!$AO$11:$AO$956, "-",0))</f>
        <v>Awarded</v>
      </c>
      <c r="H37" s="112"/>
      <c r="I37" s="112">
        <f>_xlfn.XLOOKUP(B37,'Procurement Strategy'!B:B,'Procurement Strategy'!Q:Q,"-",0)</f>
        <v>0</v>
      </c>
      <c r="J37" s="112">
        <f t="shared" si="0"/>
        <v>0</v>
      </c>
    </row>
    <row r="38" spans="2:10" x14ac:dyDescent="0.25">
      <c r="B38" s="90">
        <v>16</v>
      </c>
      <c r="C38" s="239" t="s">
        <v>44</v>
      </c>
      <c r="D38" s="239"/>
      <c r="E38" s="239" t="s">
        <v>60</v>
      </c>
      <c r="F38" s="239"/>
      <c r="G38" s="100" t="str">
        <f>IF(_xlfn.XLOOKUP($B38,'Procurement Schedule'!$B$11:$B$956,'Procurement Schedule'!$AO$11:$AO$956, "-",0)=0,"-",_xlfn.XLOOKUP($B38,'Procurement Schedule'!$B$11:$B$956,'Procurement Schedule'!$AO$11:$AO$956, "-",0))</f>
        <v>Awarded</v>
      </c>
      <c r="H38" s="107"/>
      <c r="I38" s="107">
        <f>_xlfn.XLOOKUP(B38,'Procurement Strategy'!B:B,'Procurement Strategy'!Q:Q,"-",0)</f>
        <v>0</v>
      </c>
      <c r="J38" s="107">
        <f t="shared" si="0"/>
        <v>0</v>
      </c>
    </row>
    <row r="39" spans="2:10" x14ac:dyDescent="0.25">
      <c r="B39" s="117">
        <v>19</v>
      </c>
      <c r="C39" s="240" t="s">
        <v>53</v>
      </c>
      <c r="D39" s="240"/>
      <c r="E39" s="240" t="s">
        <v>61</v>
      </c>
      <c r="F39" s="240"/>
      <c r="G39" s="118" t="str">
        <f>IF(_xlfn.XLOOKUP($B39,'Procurement Schedule'!$B$11:$B$956,'Procurement Schedule'!$AO$11:$AO$956, "-",0)=0,"-",_xlfn.XLOOKUP($B39,'Procurement Schedule'!$B$11:$B$956,'Procurement Schedule'!$AO$11:$AO$956, "-",0))</f>
        <v>Awarded</v>
      </c>
      <c r="H39" s="119"/>
      <c r="I39" s="119">
        <f>_xlfn.XLOOKUP(B39,'Procurement Strategy'!B:B,'Procurement Strategy'!Q:Q,"-",0)</f>
        <v>5717389.3200000003</v>
      </c>
      <c r="J39" s="119">
        <f t="shared" si="0"/>
        <v>-5717389.3200000003</v>
      </c>
    </row>
    <row r="40" spans="2:10" x14ac:dyDescent="0.25">
      <c r="B40" s="108">
        <v>20</v>
      </c>
      <c r="C40" s="238" t="s">
        <v>53</v>
      </c>
      <c r="D40" s="238"/>
      <c r="E40" s="238" t="s">
        <v>62</v>
      </c>
      <c r="F40" s="238"/>
      <c r="G40" s="104" t="str">
        <f>IF(_xlfn.XLOOKUP($B40,'Procurement Schedule'!$B$11:$B$956,'Procurement Schedule'!$AO$11:$AO$956, "-",0)=0,"-",_xlfn.XLOOKUP($B40,'Procurement Schedule'!$B$11:$B$956,'Procurement Schedule'!$AO$11:$AO$956, "-",0))</f>
        <v>Awarded</v>
      </c>
      <c r="H40" s="112"/>
      <c r="I40" s="112">
        <f>_xlfn.XLOOKUP(B40,'Procurement Strategy'!B:B,'Procurement Strategy'!Q:Q,"-",0)</f>
        <v>4706238.4400000004</v>
      </c>
      <c r="J40" s="112">
        <f t="shared" si="0"/>
        <v>-4706238.4400000004</v>
      </c>
    </row>
    <row r="41" spans="2:10" x14ac:dyDescent="0.25">
      <c r="B41" s="108">
        <v>21</v>
      </c>
      <c r="C41" s="238" t="s">
        <v>53</v>
      </c>
      <c r="D41" s="238"/>
      <c r="E41" s="238" t="s">
        <v>63</v>
      </c>
      <c r="F41" s="238"/>
      <c r="G41" s="104" t="str">
        <f>IF(_xlfn.XLOOKUP($B41,'Procurement Schedule'!$B$11:$B$956,'Procurement Schedule'!$AO$11:$AO$956, "-",0)=0,"-",_xlfn.XLOOKUP($B41,'Procurement Schedule'!$B$11:$B$956,'Procurement Schedule'!$AO$11:$AO$956, "-",0))</f>
        <v>Awarded</v>
      </c>
      <c r="H41" s="112"/>
      <c r="I41" s="112">
        <f>_xlfn.XLOOKUP(B41,'Procurement Strategy'!B:B,'Procurement Strategy'!Q:Q,"-",0)</f>
        <v>4703149.7699999996</v>
      </c>
      <c r="J41" s="112">
        <f t="shared" si="0"/>
        <v>-4703149.7699999996</v>
      </c>
    </row>
    <row r="42" spans="2:10" x14ac:dyDescent="0.25">
      <c r="B42" s="108">
        <v>23</v>
      </c>
      <c r="C42" s="238" t="s">
        <v>53</v>
      </c>
      <c r="D42" s="238"/>
      <c r="E42" s="238" t="s">
        <v>64</v>
      </c>
      <c r="F42" s="238"/>
      <c r="G42" s="104" t="str">
        <f>IF(_xlfn.XLOOKUP($B42,'Procurement Schedule'!$B$11:$B$956,'Procurement Schedule'!$AO$11:$AO$956, "-",0)=0,"-",_xlfn.XLOOKUP($B42,'Procurement Schedule'!$B$11:$B$956,'Procurement Schedule'!$AO$11:$AO$956, "-",0))</f>
        <v>Awarded</v>
      </c>
      <c r="H42" s="112"/>
      <c r="I42" s="112">
        <f>_xlfn.XLOOKUP(B42,'Procurement Strategy'!B:B,'Procurement Strategy'!Q:Q,"-",0)</f>
        <v>16205000</v>
      </c>
      <c r="J42" s="112">
        <f t="shared" si="0"/>
        <v>-16205000</v>
      </c>
    </row>
    <row r="43" spans="2:10" x14ac:dyDescent="0.25">
      <c r="B43" s="90">
        <v>25</v>
      </c>
      <c r="C43" s="239" t="s">
        <v>53</v>
      </c>
      <c r="D43" s="239"/>
      <c r="E43" s="239" t="s">
        <v>65</v>
      </c>
      <c r="F43" s="239"/>
      <c r="G43" s="100" t="str">
        <f>IF(_xlfn.XLOOKUP($B43,'Procurement Schedule'!$B$11:$B$956,'Procurement Schedule'!$AO$11:$AO$956, "-",0)=0,"-",_xlfn.XLOOKUP($B43,'Procurement Schedule'!$B$11:$B$956,'Procurement Schedule'!$AO$11:$AO$956, "-",0))</f>
        <v>Awarded</v>
      </c>
      <c r="H43" s="107"/>
      <c r="I43" s="107">
        <f>_xlfn.XLOOKUP(B43,'Procurement Strategy'!B:B,'Procurement Strategy'!Q:Q,"-",0)</f>
        <v>0</v>
      </c>
      <c r="J43" s="107">
        <f t="shared" si="0"/>
        <v>0</v>
      </c>
    </row>
    <row r="44" spans="2:10" x14ac:dyDescent="0.25">
      <c r="B44" s="117">
        <v>27</v>
      </c>
      <c r="C44" s="240" t="s">
        <v>44</v>
      </c>
      <c r="D44" s="240"/>
      <c r="E44" s="240" t="s">
        <v>66</v>
      </c>
      <c r="F44" s="240"/>
      <c r="G44" s="118" t="str">
        <f>IF(_xlfn.XLOOKUP($B44,'Procurement Schedule'!$B$11:$B$956,'Procurement Schedule'!$AO$11:$AO$956, "-",0)=0,"-",_xlfn.XLOOKUP($B44,'Procurement Schedule'!$B$11:$B$956,'Procurement Schedule'!$AO$11:$AO$956, "-",0))</f>
        <v>Awarded</v>
      </c>
      <c r="H44" s="119"/>
      <c r="I44" s="119">
        <f>_xlfn.XLOOKUP(B44,'Procurement Strategy'!B:B,'Procurement Strategy'!Q:Q,"-",0)</f>
        <v>0</v>
      </c>
      <c r="J44" s="119">
        <f t="shared" si="0"/>
        <v>0</v>
      </c>
    </row>
    <row r="45" spans="2:10" x14ac:dyDescent="0.25">
      <c r="B45" s="108">
        <v>28</v>
      </c>
      <c r="C45" s="238" t="s">
        <v>44</v>
      </c>
      <c r="D45" s="238"/>
      <c r="E45" s="238" t="s">
        <v>67</v>
      </c>
      <c r="F45" s="238"/>
      <c r="G45" s="104" t="str">
        <f>IF(_xlfn.XLOOKUP($B45,'Procurement Schedule'!$B$11:$B$956,'Procurement Schedule'!$AO$11:$AO$956, "-",0)=0,"-",_xlfn.XLOOKUP($B45,'Procurement Schedule'!$B$11:$B$956,'Procurement Schedule'!$AO$11:$AO$956, "-",0))</f>
        <v>Awarded</v>
      </c>
      <c r="H45" s="112"/>
      <c r="I45" s="112">
        <f>_xlfn.XLOOKUP(B45,'Procurement Strategy'!B:B,'Procurement Strategy'!Q:Q,"-",0)</f>
        <v>0</v>
      </c>
      <c r="J45" s="112">
        <f t="shared" si="0"/>
        <v>0</v>
      </c>
    </row>
    <row r="46" spans="2:10" x14ac:dyDescent="0.25">
      <c r="B46" s="108">
        <v>29</v>
      </c>
      <c r="C46" s="238" t="s">
        <v>53</v>
      </c>
      <c r="D46" s="238"/>
      <c r="E46" s="238" t="s">
        <v>68</v>
      </c>
      <c r="F46" s="238"/>
      <c r="G46" s="104" t="str">
        <f>IF(_xlfn.XLOOKUP($B46,'Procurement Schedule'!$B$11:$B$956,'Procurement Schedule'!$AO$11:$AO$956, "-",0)=0,"-",_xlfn.XLOOKUP($B46,'Procurement Schedule'!$B$11:$B$956,'Procurement Schedule'!$AO$11:$AO$956, "-",0))</f>
        <v>Awarded</v>
      </c>
      <c r="H46" s="112"/>
      <c r="I46" s="112">
        <f>_xlfn.XLOOKUP(B46,'Procurement Strategy'!B:B,'Procurement Strategy'!Q:Q,"-",0)</f>
        <v>0</v>
      </c>
      <c r="J46" s="112">
        <f t="shared" si="0"/>
        <v>0</v>
      </c>
    </row>
    <row r="47" spans="2:10" x14ac:dyDescent="0.25">
      <c r="B47" s="90">
        <v>30</v>
      </c>
      <c r="C47" s="239" t="s">
        <v>44</v>
      </c>
      <c r="D47" s="239"/>
      <c r="E47" s="239" t="s">
        <v>69</v>
      </c>
      <c r="F47" s="239"/>
      <c r="G47" s="100" t="str">
        <f>IF(_xlfn.XLOOKUP($B47,'Procurement Schedule'!$B$11:$B$956,'Procurement Schedule'!$AO$11:$AO$956, "-",0)=0,"-",_xlfn.XLOOKUP($B47,'Procurement Schedule'!$B$11:$B$956,'Procurement Schedule'!$AO$11:$AO$956, "-",0))</f>
        <v>Awarded</v>
      </c>
      <c r="H47" s="107"/>
      <c r="I47" s="107">
        <f>_xlfn.XLOOKUP(B47,'Procurement Strategy'!B:B,'Procurement Strategy'!Q:Q,"-",0)</f>
        <v>0</v>
      </c>
      <c r="J47" s="107">
        <f t="shared" si="0"/>
        <v>0</v>
      </c>
    </row>
    <row r="48" spans="2:10" x14ac:dyDescent="0.25">
      <c r="B48" s="136">
        <v>32</v>
      </c>
      <c r="C48" s="241" t="s">
        <v>53</v>
      </c>
      <c r="D48" s="241"/>
      <c r="E48" s="241" t="s">
        <v>70</v>
      </c>
      <c r="F48" s="241"/>
      <c r="G48" s="137" t="str">
        <f>IF(_xlfn.XLOOKUP($B48,'Procurement Schedule'!$B$11:$B$956,'Procurement Schedule'!$AO$11:$AO$956, "-",0)=0,"-",_xlfn.XLOOKUP($B48,'Procurement Schedule'!$B$11:$B$956,'Procurement Schedule'!$AO$11:$AO$956, "-",0))</f>
        <v>Awarded</v>
      </c>
      <c r="H48" s="138"/>
      <c r="I48" s="138">
        <f>_xlfn.XLOOKUP(B48,'Procurement Strategy'!B:B,'Procurement Strategy'!Q:Q,"-",0)</f>
        <v>0</v>
      </c>
      <c r="J48" s="138">
        <f t="shared" si="0"/>
        <v>0</v>
      </c>
    </row>
    <row r="49" spans="2:10" x14ac:dyDescent="0.25">
      <c r="B49" s="117">
        <v>34</v>
      </c>
      <c r="C49" s="240" t="s">
        <v>44</v>
      </c>
      <c r="D49" s="240"/>
      <c r="E49" s="240" t="s">
        <v>71</v>
      </c>
      <c r="F49" s="240"/>
      <c r="G49" s="118" t="str">
        <f>IF(_xlfn.XLOOKUP($B49,'Procurement Schedule'!$B$11:$B$956,'Procurement Schedule'!$AO$11:$AO$956, "-",0)=0,"-",_xlfn.XLOOKUP($B49,'Procurement Schedule'!$B$11:$B$956,'Procurement Schedule'!$AO$11:$AO$956, "-",0))</f>
        <v>Awarded</v>
      </c>
      <c r="H49" s="119"/>
      <c r="I49" s="119">
        <f>_xlfn.XLOOKUP(B49,'Procurement Strategy'!B:B,'Procurement Strategy'!Q:Q,"-",0)</f>
        <v>16329223.630000001</v>
      </c>
      <c r="J49" s="119">
        <f t="shared" ref="J49:J69" si="1">IF(OR($G49="Awarded",$G49="PTC Stage",$G49="Final Negotiations",$G49="OBT Ongoing"),$H49-$I49,"-")</f>
        <v>-16329223.630000001</v>
      </c>
    </row>
    <row r="50" spans="2:10" x14ac:dyDescent="0.25">
      <c r="B50" s="108">
        <v>35</v>
      </c>
      <c r="C50" s="238" t="s">
        <v>44</v>
      </c>
      <c r="D50" s="238"/>
      <c r="E50" s="238" t="s">
        <v>72</v>
      </c>
      <c r="F50" s="238"/>
      <c r="G50" s="104" t="str">
        <f>IF(_xlfn.XLOOKUP($B50,'Procurement Schedule'!$B$11:$B$956,'Procurement Schedule'!$AO$11:$AO$956, "-",0)=0,"-",_xlfn.XLOOKUP($B50,'Procurement Schedule'!$B$11:$B$956,'Procurement Schedule'!$AO$11:$AO$956, "-",0))</f>
        <v>Awarded</v>
      </c>
      <c r="H50" s="112"/>
      <c r="I50" s="112">
        <f>_xlfn.XLOOKUP(B50,'Procurement Strategy'!B:B,'Procurement Strategy'!Q:Q,"-",0)</f>
        <v>17645603.719999999</v>
      </c>
      <c r="J50" s="112">
        <f t="shared" si="1"/>
        <v>-17645603.719999999</v>
      </c>
    </row>
    <row r="51" spans="2:10" x14ac:dyDescent="0.25">
      <c r="B51" s="90">
        <v>36</v>
      </c>
      <c r="C51" s="239" t="s">
        <v>44</v>
      </c>
      <c r="D51" s="239"/>
      <c r="E51" s="239" t="s">
        <v>73</v>
      </c>
      <c r="F51" s="239"/>
      <c r="G51" s="100" t="str">
        <f>IF(_xlfn.XLOOKUP($B51,'Procurement Schedule'!$B$11:$B$956,'Procurement Schedule'!$AO$11:$AO$956, "-",0)=0,"-",_xlfn.XLOOKUP($B51,'Procurement Schedule'!$B$11:$B$956,'Procurement Schedule'!$AO$11:$AO$956, "-",0))</f>
        <v>Final Negotiations</v>
      </c>
      <c r="H51" s="107"/>
      <c r="I51" s="107">
        <f>_xlfn.XLOOKUP(B51,'Procurement Strategy'!B:B,'Procurement Strategy'!Q:Q,"-",0)</f>
        <v>0</v>
      </c>
      <c r="J51" s="107">
        <f t="shared" si="1"/>
        <v>0</v>
      </c>
    </row>
    <row r="52" spans="2:10" x14ac:dyDescent="0.25">
      <c r="B52" s="117">
        <v>38</v>
      </c>
      <c r="C52" s="240" t="s">
        <v>44</v>
      </c>
      <c r="D52" s="240"/>
      <c r="E52" s="240" t="s">
        <v>74</v>
      </c>
      <c r="F52" s="240"/>
      <c r="G52" s="118" t="str">
        <f>IF(_xlfn.XLOOKUP($B52,'Procurement Schedule'!$B$11:$B$956,'Procurement Schedule'!$AO$11:$AO$956, "-",0)=0,"-",_xlfn.XLOOKUP($B52,'Procurement Schedule'!$B$11:$B$956,'Procurement Schedule'!$AO$11:$AO$956, "-",0))</f>
        <v>PTC Stage</v>
      </c>
      <c r="H52" s="119"/>
      <c r="I52" s="119">
        <f>_xlfn.XLOOKUP(B52,'Procurement Strategy'!B:B,'Procurement Strategy'!Q:Q,"-",0)</f>
        <v>0</v>
      </c>
      <c r="J52" s="119">
        <f t="shared" si="1"/>
        <v>0</v>
      </c>
    </row>
    <row r="53" spans="2:10" x14ac:dyDescent="0.25">
      <c r="B53" s="108">
        <v>39</v>
      </c>
      <c r="C53" s="238" t="s">
        <v>44</v>
      </c>
      <c r="D53" s="238"/>
      <c r="E53" s="238" t="s">
        <v>75</v>
      </c>
      <c r="F53" s="238"/>
      <c r="G53" s="104" t="str">
        <f>IF(_xlfn.XLOOKUP($B53,'Procurement Schedule'!$B$11:$B$956,'Procurement Schedule'!$AO$11:$AO$956, "-",0)=0,"-",_xlfn.XLOOKUP($B53,'Procurement Schedule'!$B$11:$B$956,'Procurement Schedule'!$AO$11:$AO$956, "-",0))</f>
        <v>PTC Stage</v>
      </c>
      <c r="H53" s="112"/>
      <c r="I53" s="112">
        <f>_xlfn.XLOOKUP(B53,'Procurement Strategy'!B:B,'Procurement Strategy'!Q:Q,"-",0)</f>
        <v>0</v>
      </c>
      <c r="J53" s="112">
        <f t="shared" si="1"/>
        <v>0</v>
      </c>
    </row>
    <row r="54" spans="2:10" x14ac:dyDescent="0.25">
      <c r="B54" s="108">
        <v>40</v>
      </c>
      <c r="C54" s="238" t="s">
        <v>44</v>
      </c>
      <c r="D54" s="238"/>
      <c r="E54" s="238" t="s">
        <v>76</v>
      </c>
      <c r="F54" s="238"/>
      <c r="G54" s="104" t="str">
        <f>IF(_xlfn.XLOOKUP($B54,'Procurement Schedule'!$B$11:$B$956,'Procurement Schedule'!$AO$11:$AO$956, "-",0)=0,"-",_xlfn.XLOOKUP($B54,'Procurement Schedule'!$B$11:$B$956,'Procurement Schedule'!$AO$11:$AO$956, "-",0))</f>
        <v>OBT Ongoing</v>
      </c>
      <c r="H54" s="112"/>
      <c r="I54" s="112">
        <f>_xlfn.XLOOKUP(B54,'Procurement Strategy'!B:B,'Procurement Strategy'!Q:Q,"-",0)</f>
        <v>0</v>
      </c>
      <c r="J54" s="112">
        <f t="shared" si="1"/>
        <v>0</v>
      </c>
    </row>
    <row r="55" spans="2:10" x14ac:dyDescent="0.25">
      <c r="B55" s="108">
        <v>41</v>
      </c>
      <c r="C55" s="238" t="s">
        <v>44</v>
      </c>
      <c r="D55" s="238"/>
      <c r="E55" s="238" t="s">
        <v>77</v>
      </c>
      <c r="F55" s="238"/>
      <c r="G55" s="104" t="str">
        <f>IF(_xlfn.XLOOKUP($B55,'Procurement Schedule'!$B$11:$B$956,'Procurement Schedule'!$AO$11:$AO$956, "-",0)=0,"-",_xlfn.XLOOKUP($B55,'Procurement Schedule'!$B$11:$B$956,'Procurement Schedule'!$AO$11:$AO$956, "-",0))</f>
        <v>Awarded</v>
      </c>
      <c r="H55" s="112"/>
      <c r="I55" s="112">
        <f>_xlfn.XLOOKUP(B55,'Procurement Strategy'!B:B,'Procurement Strategy'!Q:Q,"-",0)</f>
        <v>0</v>
      </c>
      <c r="J55" s="112">
        <f t="shared" si="1"/>
        <v>0</v>
      </c>
    </row>
    <row r="56" spans="2:10" x14ac:dyDescent="0.25">
      <c r="B56" s="108">
        <v>42</v>
      </c>
      <c r="C56" s="238" t="s">
        <v>44</v>
      </c>
      <c r="D56" s="238"/>
      <c r="E56" s="238" t="s">
        <v>78</v>
      </c>
      <c r="F56" s="238"/>
      <c r="G56" s="104" t="str">
        <f>IF(_xlfn.XLOOKUP($B56,'Procurement Schedule'!$B$11:$B$956,'Procurement Schedule'!$AO$11:$AO$956, "-",0)=0,"-",_xlfn.XLOOKUP($B56,'Procurement Schedule'!$B$11:$B$956,'Procurement Schedule'!$AO$11:$AO$956, "-",0))</f>
        <v>Final Negotiations</v>
      </c>
      <c r="H56" s="112"/>
      <c r="I56" s="112">
        <f>_xlfn.XLOOKUP(B56,'Procurement Strategy'!B:B,'Procurement Strategy'!Q:Q,"-",0)</f>
        <v>0</v>
      </c>
      <c r="J56" s="112">
        <f t="shared" si="1"/>
        <v>0</v>
      </c>
    </row>
    <row r="57" spans="2:10" x14ac:dyDescent="0.25">
      <c r="B57" s="108">
        <v>43</v>
      </c>
      <c r="C57" s="238" t="s">
        <v>44</v>
      </c>
      <c r="D57" s="238"/>
      <c r="E57" s="238" t="s">
        <v>79</v>
      </c>
      <c r="F57" s="238"/>
      <c r="G57" s="104" t="str">
        <f>IF(_xlfn.XLOOKUP($B57,'Procurement Schedule'!$B$11:$B$956,'Procurement Schedule'!$AO$11:$AO$956, "-",0)=0,"-",_xlfn.XLOOKUP($B57,'Procurement Schedule'!$B$11:$B$956,'Procurement Schedule'!$AO$11:$AO$956, "-",0))</f>
        <v>Final Negotiations</v>
      </c>
      <c r="H57" s="112"/>
      <c r="I57" s="112">
        <f>_xlfn.XLOOKUP(B57,'Procurement Strategy'!B:B,'Procurement Strategy'!Q:Q,"-",0)</f>
        <v>0</v>
      </c>
      <c r="J57" s="112">
        <f t="shared" si="1"/>
        <v>0</v>
      </c>
    </row>
    <row r="58" spans="2:10" x14ac:dyDescent="0.25">
      <c r="B58" s="108">
        <v>45</v>
      </c>
      <c r="C58" s="238" t="s">
        <v>44</v>
      </c>
      <c r="D58" s="238"/>
      <c r="E58" s="238" t="s">
        <v>80</v>
      </c>
      <c r="F58" s="238"/>
      <c r="G58" s="104" t="str">
        <f>IF(_xlfn.XLOOKUP($B58,'Procurement Schedule'!$B$11:$B$956,'Procurement Schedule'!$AO$11:$AO$956, "-",0)=0,"-",_xlfn.XLOOKUP($B58,'Procurement Schedule'!$B$11:$B$956,'Procurement Schedule'!$AO$11:$AO$956, "-",0))</f>
        <v>PTC Stage</v>
      </c>
      <c r="H58" s="112"/>
      <c r="I58" s="112">
        <f>_xlfn.XLOOKUP(B58,'Procurement Strategy'!B:B,'Procurement Strategy'!Q:Q,"-",0)</f>
        <v>0</v>
      </c>
      <c r="J58" s="112">
        <f t="shared" si="1"/>
        <v>0</v>
      </c>
    </row>
    <row r="59" spans="2:10" x14ac:dyDescent="0.25">
      <c r="B59" s="90">
        <v>48</v>
      </c>
      <c r="C59" s="239" t="s">
        <v>44</v>
      </c>
      <c r="D59" s="239"/>
      <c r="E59" s="239" t="s">
        <v>81</v>
      </c>
      <c r="F59" s="239"/>
      <c r="G59" s="100" t="str">
        <f>IF(_xlfn.XLOOKUP($B59,'Procurement Schedule'!$B$11:$B$956,'Procurement Schedule'!$AO$11:$AO$956, "-",0)=0,"-",_xlfn.XLOOKUP($B59,'Procurement Schedule'!$B$11:$B$956,'Procurement Schedule'!$AO$11:$AO$956, "-",0))</f>
        <v>PTC Stage</v>
      </c>
      <c r="H59" s="107"/>
      <c r="I59" s="107">
        <f>_xlfn.XLOOKUP(B59,'Procurement Strategy'!B:B,'Procurement Strategy'!Q:Q,"-",0)</f>
        <v>0</v>
      </c>
      <c r="J59" s="107">
        <f t="shared" si="1"/>
        <v>0</v>
      </c>
    </row>
    <row r="60" spans="2:10" x14ac:dyDescent="0.25">
      <c r="B60" s="117">
        <v>52</v>
      </c>
      <c r="C60" s="240" t="s">
        <v>44</v>
      </c>
      <c r="D60" s="240"/>
      <c r="E60" s="240" t="s">
        <v>82</v>
      </c>
      <c r="F60" s="240"/>
      <c r="G60" s="118" t="str">
        <f>IF(_xlfn.XLOOKUP($B60,'Procurement Schedule'!$B$11:$B$956,'Procurement Schedule'!$AO$11:$AO$956, "-",0)=0,"-",_xlfn.XLOOKUP($B60,'Procurement Schedule'!$B$11:$B$956,'Procurement Schedule'!$AO$11:$AO$956, "-",0))</f>
        <v>Awarded</v>
      </c>
      <c r="H60" s="119"/>
      <c r="I60" s="119">
        <f>_xlfn.XLOOKUP(B60,'Procurement Strategy'!B:B,'Procurement Strategy'!Q:Q,"-",0)</f>
        <v>0</v>
      </c>
      <c r="J60" s="119">
        <f t="shared" si="1"/>
        <v>0</v>
      </c>
    </row>
    <row r="61" spans="2:10" x14ac:dyDescent="0.25">
      <c r="B61" s="90">
        <v>53</v>
      </c>
      <c r="C61" s="239" t="s">
        <v>44</v>
      </c>
      <c r="D61" s="239"/>
      <c r="E61" s="239" t="s">
        <v>83</v>
      </c>
      <c r="F61" s="239"/>
      <c r="G61" s="100" t="str">
        <f>IF(_xlfn.XLOOKUP($B61,'Procurement Schedule'!$B$11:$B$956,'Procurement Schedule'!$AO$11:$AO$956, "-",0)=0,"-",_xlfn.XLOOKUP($B61,'Procurement Schedule'!$B$11:$B$956,'Procurement Schedule'!$AO$11:$AO$956, "-",0))</f>
        <v>Awarded</v>
      </c>
      <c r="H61" s="107"/>
      <c r="I61" s="107">
        <f>_xlfn.XLOOKUP(B61,'Procurement Strategy'!B:B,'Procurement Strategy'!Q:Q,"-",0)</f>
        <v>0</v>
      </c>
      <c r="J61" s="107">
        <f t="shared" si="1"/>
        <v>0</v>
      </c>
    </row>
    <row r="62" spans="2:10" x14ac:dyDescent="0.25">
      <c r="B62" s="117">
        <v>56</v>
      </c>
      <c r="C62" s="240" t="s">
        <v>44</v>
      </c>
      <c r="D62" s="240"/>
      <c r="E62" s="240" t="s">
        <v>84</v>
      </c>
      <c r="F62" s="240"/>
      <c r="G62" s="118" t="str">
        <f>IF(_xlfn.XLOOKUP($B62,'Procurement Schedule'!$B$11:$B$956,'Procurement Schedule'!$AO$11:$AO$956, "-",0)=0,"-",_xlfn.XLOOKUP($B62,'Procurement Schedule'!$B$11:$B$956,'Procurement Schedule'!$AO$11:$AO$956, "-",0))</f>
        <v>Awarded</v>
      </c>
      <c r="H62" s="119"/>
      <c r="I62" s="119">
        <f>_xlfn.XLOOKUP(B62,'Procurement Strategy'!B:B,'Procurement Strategy'!Q:Q,"-",0)</f>
        <v>8404053.3200000003</v>
      </c>
      <c r="J62" s="119">
        <f t="shared" si="1"/>
        <v>-8404053.3200000003</v>
      </c>
    </row>
    <row r="63" spans="2:10" x14ac:dyDescent="0.25">
      <c r="B63" s="108">
        <v>57</v>
      </c>
      <c r="C63" s="238" t="s">
        <v>44</v>
      </c>
      <c r="D63" s="238"/>
      <c r="E63" s="238" t="s">
        <v>85</v>
      </c>
      <c r="F63" s="238"/>
      <c r="G63" s="104" t="str">
        <f>IF(_xlfn.XLOOKUP($B63,'Procurement Schedule'!$B$11:$B$956,'Procurement Schedule'!$AO$11:$AO$956, "-",0)=0,"-",_xlfn.XLOOKUP($B63,'Procurement Schedule'!$B$11:$B$956,'Procurement Schedule'!$AO$11:$AO$956, "-",0))</f>
        <v>Awarded</v>
      </c>
      <c r="H63" s="112"/>
      <c r="I63" s="112">
        <f>_xlfn.XLOOKUP(B63,'Procurement Strategy'!B:B,'Procurement Strategy'!Q:Q,"-",0)</f>
        <v>0</v>
      </c>
      <c r="J63" s="112">
        <f t="shared" si="1"/>
        <v>0</v>
      </c>
    </row>
    <row r="64" spans="2:10" x14ac:dyDescent="0.25">
      <c r="B64" s="90">
        <v>58</v>
      </c>
      <c r="C64" s="239" t="s">
        <v>44</v>
      </c>
      <c r="D64" s="239"/>
      <c r="E64" s="239" t="s">
        <v>86</v>
      </c>
      <c r="F64" s="239"/>
      <c r="G64" s="100" t="str">
        <f>IF(_xlfn.XLOOKUP($B64,'Procurement Schedule'!$B$11:$B$956,'Procurement Schedule'!$AO$11:$AO$956, "-",0)=0,"-",_xlfn.XLOOKUP($B64,'Procurement Schedule'!$B$11:$B$956,'Procurement Schedule'!$AO$11:$AO$956, "-",0))</f>
        <v>Final Negotiations</v>
      </c>
      <c r="H64" s="107"/>
      <c r="I64" s="107">
        <f>_xlfn.XLOOKUP(B64,'Procurement Strategy'!B:B,'Procurement Strategy'!Q:Q,"-",0)</f>
        <v>0</v>
      </c>
      <c r="J64" s="107">
        <f t="shared" si="1"/>
        <v>0</v>
      </c>
    </row>
    <row r="65" spans="2:10" x14ac:dyDescent="0.25">
      <c r="B65" s="117">
        <v>60</v>
      </c>
      <c r="C65" s="240" t="s">
        <v>53</v>
      </c>
      <c r="D65" s="240"/>
      <c r="E65" s="240" t="s">
        <v>87</v>
      </c>
      <c r="F65" s="240"/>
      <c r="G65" s="118" t="str">
        <f>IF(_xlfn.XLOOKUP($B65,'Procurement Schedule'!$B$11:$B$956,'Procurement Schedule'!$AO$11:$AO$956, "-",0)=0,"-",_xlfn.XLOOKUP($B65,'Procurement Schedule'!$B$11:$B$956,'Procurement Schedule'!$AO$11:$AO$956, "-",0))</f>
        <v>Awarded</v>
      </c>
      <c r="H65" s="119"/>
      <c r="I65" s="119">
        <f>_xlfn.XLOOKUP(B65,'Procurement Strategy'!B:B,'Procurement Strategy'!Q:Q,"-",0)</f>
        <v>0</v>
      </c>
      <c r="J65" s="119">
        <f t="shared" si="1"/>
        <v>0</v>
      </c>
    </row>
    <row r="66" spans="2:10" x14ac:dyDescent="0.25">
      <c r="B66" s="108">
        <v>61</v>
      </c>
      <c r="C66" s="238" t="s">
        <v>53</v>
      </c>
      <c r="D66" s="238"/>
      <c r="E66" s="238" t="s">
        <v>88</v>
      </c>
      <c r="F66" s="238"/>
      <c r="G66" s="104" t="str">
        <f>IF(_xlfn.XLOOKUP($B66,'Procurement Schedule'!$B$11:$B$956,'Procurement Schedule'!$AO$11:$AO$956, "-",0)=0,"-",_xlfn.XLOOKUP($B66,'Procurement Schedule'!$B$11:$B$956,'Procurement Schedule'!$AO$11:$AO$956, "-",0))</f>
        <v>Awarded</v>
      </c>
      <c r="H66" s="112"/>
      <c r="I66" s="112">
        <f>_xlfn.XLOOKUP(B66,'Procurement Strategy'!B:B,'Procurement Strategy'!Q:Q,"-",0)</f>
        <v>0</v>
      </c>
      <c r="J66" s="112">
        <f t="shared" si="1"/>
        <v>0</v>
      </c>
    </row>
    <row r="67" spans="2:10" x14ac:dyDescent="0.25">
      <c r="B67" s="108">
        <v>62</v>
      </c>
      <c r="C67" s="238" t="s">
        <v>44</v>
      </c>
      <c r="D67" s="238"/>
      <c r="E67" s="238" t="s">
        <v>89</v>
      </c>
      <c r="F67" s="238"/>
      <c r="G67" s="104" t="str">
        <f>IF(_xlfn.XLOOKUP($B67,'Procurement Schedule'!$B$11:$B$956,'Procurement Schedule'!$AO$11:$AO$956, "-",0)=0,"-",_xlfn.XLOOKUP($B67,'Procurement Schedule'!$B$11:$B$956,'Procurement Schedule'!$AO$11:$AO$956, "-",0))</f>
        <v>Awarded</v>
      </c>
      <c r="H67" s="112"/>
      <c r="I67" s="112">
        <f>_xlfn.XLOOKUP(B67,'Procurement Strategy'!B:B,'Procurement Strategy'!Q:Q,"-",0)</f>
        <v>0</v>
      </c>
      <c r="J67" s="112">
        <f t="shared" si="1"/>
        <v>0</v>
      </c>
    </row>
    <row r="68" spans="2:10" x14ac:dyDescent="0.25">
      <c r="B68" s="108">
        <v>63</v>
      </c>
      <c r="C68" s="238" t="s">
        <v>44</v>
      </c>
      <c r="D68" s="238"/>
      <c r="E68" s="238" t="s">
        <v>90</v>
      </c>
      <c r="F68" s="238"/>
      <c r="G68" s="104" t="str">
        <f>IF(_xlfn.XLOOKUP($B68,'Procurement Schedule'!$B$11:$B$956,'Procurement Schedule'!$AO$11:$AO$956, "-",0)=0,"-",_xlfn.XLOOKUP($B68,'Procurement Schedule'!$B$11:$B$956,'Procurement Schedule'!$AO$11:$AO$956, "-",0))</f>
        <v>Awarded</v>
      </c>
      <c r="H68" s="112"/>
      <c r="I68" s="112">
        <f>_xlfn.XLOOKUP(B68,'Procurement Strategy'!B:B,'Procurement Strategy'!Q:Q,"-",0)</f>
        <v>0</v>
      </c>
      <c r="J68" s="112">
        <f t="shared" si="1"/>
        <v>0</v>
      </c>
    </row>
    <row r="69" spans="2:10" x14ac:dyDescent="0.25">
      <c r="B69" s="108">
        <v>64</v>
      </c>
      <c r="C69" s="238" t="s">
        <v>44</v>
      </c>
      <c r="D69" s="238"/>
      <c r="E69" s="238" t="s">
        <v>91</v>
      </c>
      <c r="F69" s="238"/>
      <c r="G69" s="104" t="str">
        <f>IF(_xlfn.XLOOKUP($B69,'Procurement Schedule'!$B$11:$B$956,'Procurement Schedule'!$AO$11:$AO$956, "-",0)=0,"-",_xlfn.XLOOKUP($B69,'Procurement Schedule'!$B$11:$B$956,'Procurement Schedule'!$AO$11:$AO$956, "-",0))</f>
        <v>Awarded</v>
      </c>
      <c r="H69" s="112"/>
      <c r="I69" s="112">
        <f>_xlfn.XLOOKUP(B69,'Procurement Strategy'!B:B,'Procurement Strategy'!Q:Q,"-",0)</f>
        <v>0</v>
      </c>
      <c r="J69" s="112">
        <f t="shared" si="1"/>
        <v>0</v>
      </c>
    </row>
    <row r="70" spans="2:10" x14ac:dyDescent="0.25">
      <c r="B70" s="108">
        <v>65</v>
      </c>
      <c r="C70" s="238" t="s">
        <v>44</v>
      </c>
      <c r="D70" s="238"/>
      <c r="E70" s="238" t="s">
        <v>92</v>
      </c>
      <c r="F70" s="238"/>
      <c r="G70" s="104" t="str">
        <f>IF(_xlfn.XLOOKUP($B70,'Procurement Schedule'!$B$11:$B$956,'Procurement Schedule'!$AO$11:$AO$956, "-",0)=0,"-",_xlfn.XLOOKUP($B70,'Procurement Schedule'!$B$11:$B$956,'Procurement Schedule'!$AO$11:$AO$956, "-",0))</f>
        <v>Commercial Review</v>
      </c>
      <c r="H70" s="112"/>
      <c r="I70" s="112">
        <f>_xlfn.XLOOKUP(B70,'Procurement Strategy'!B:B,'Procurement Strategy'!Q:Q,"-",0)</f>
        <v>0</v>
      </c>
      <c r="J70" s="112" t="str">
        <f t="shared" ref="J70:J89" si="2">IF(OR($G70="Awarded",$G70="PTC Stage",$G70="Final Negotiations",$G70="OBT Ongoing"),$H70-$I70,"-")</f>
        <v>-</v>
      </c>
    </row>
    <row r="71" spans="2:10" x14ac:dyDescent="0.25">
      <c r="B71" s="108">
        <v>66</v>
      </c>
      <c r="C71" s="238" t="s">
        <v>44</v>
      </c>
      <c r="D71" s="238"/>
      <c r="E71" s="238" t="s">
        <v>93</v>
      </c>
      <c r="F71" s="238"/>
      <c r="G71" s="104" t="str">
        <f>IF(_xlfn.XLOOKUP($B71,'Procurement Schedule'!$B$11:$B$956,'Procurement Schedule'!$AO$11:$AO$956, "-",0)=0,"-",_xlfn.XLOOKUP($B71,'Procurement Schedule'!$B$11:$B$956,'Procurement Schedule'!$AO$11:$AO$956, "-",0))</f>
        <v>PTC Stage</v>
      </c>
      <c r="H71" s="112"/>
      <c r="I71" s="112">
        <f>_xlfn.XLOOKUP(B71,'Procurement Strategy'!B:B,'Procurement Strategy'!Q:Q,"-",0)</f>
        <v>0</v>
      </c>
      <c r="J71" s="112">
        <f t="shared" si="2"/>
        <v>0</v>
      </c>
    </row>
    <row r="72" spans="2:10" x14ac:dyDescent="0.25">
      <c r="B72" s="108">
        <v>67</v>
      </c>
      <c r="C72" s="238" t="s">
        <v>44</v>
      </c>
      <c r="D72" s="238"/>
      <c r="E72" s="238" t="s">
        <v>94</v>
      </c>
      <c r="F72" s="238"/>
      <c r="G72" s="104" t="str">
        <f>IF(_xlfn.XLOOKUP($B72,'Procurement Schedule'!$B$11:$B$956,'Procurement Schedule'!$AO$11:$AO$956, "-",0)=0,"-",_xlfn.XLOOKUP($B72,'Procurement Schedule'!$B$11:$B$956,'Procurement Schedule'!$AO$11:$AO$956, "-",0))</f>
        <v>PTC Stage</v>
      </c>
      <c r="H72" s="112"/>
      <c r="I72" s="112">
        <f>_xlfn.XLOOKUP(B72,'Procurement Strategy'!B:B,'Procurement Strategy'!Q:Q,"-",0)</f>
        <v>1592510.94</v>
      </c>
      <c r="J72" s="112">
        <f t="shared" si="2"/>
        <v>-1592510.94</v>
      </c>
    </row>
    <row r="73" spans="2:10" x14ac:dyDescent="0.25">
      <c r="B73" s="108">
        <v>68</v>
      </c>
      <c r="C73" s="238" t="s">
        <v>53</v>
      </c>
      <c r="D73" s="238"/>
      <c r="E73" s="238" t="s">
        <v>95</v>
      </c>
      <c r="F73" s="238"/>
      <c r="G73" s="104" t="str">
        <f>IF(_xlfn.XLOOKUP($B73,'Procurement Schedule'!$B$11:$B$956,'Procurement Schedule'!$AO$11:$AO$956, "-",0)=0,"-",_xlfn.XLOOKUP($B73,'Procurement Schedule'!$B$11:$B$956,'Procurement Schedule'!$AO$11:$AO$956, "-",0))</f>
        <v>Awarded</v>
      </c>
      <c r="H73" s="112"/>
      <c r="I73" s="112">
        <f>_xlfn.XLOOKUP(B73,'Procurement Strategy'!B:B,'Procurement Strategy'!Q:Q,"-",0)</f>
        <v>1457009.38</v>
      </c>
      <c r="J73" s="112">
        <f t="shared" si="2"/>
        <v>-1457009.38</v>
      </c>
    </row>
    <row r="74" spans="2:10" x14ac:dyDescent="0.25">
      <c r="B74" s="108">
        <v>69</v>
      </c>
      <c r="C74" s="238" t="s">
        <v>44</v>
      </c>
      <c r="D74" s="238"/>
      <c r="E74" s="238" t="s">
        <v>96</v>
      </c>
      <c r="F74" s="238"/>
      <c r="G74" s="104" t="str">
        <f>IF(_xlfn.XLOOKUP($B74,'Procurement Schedule'!$B$11:$B$956,'Procurement Schedule'!$AO$11:$AO$956, "-",0)=0,"-",_xlfn.XLOOKUP($B74,'Procurement Schedule'!$B$11:$B$956,'Procurement Schedule'!$AO$11:$AO$956, "-",0))</f>
        <v>Commercial Review</v>
      </c>
      <c r="H74" s="112"/>
      <c r="I74" s="112">
        <f>_xlfn.XLOOKUP(B74,'Procurement Strategy'!B:B,'Procurement Strategy'!Q:Q,"-",0)</f>
        <v>0</v>
      </c>
      <c r="J74" s="112" t="str">
        <f t="shared" si="2"/>
        <v>-</v>
      </c>
    </row>
    <row r="75" spans="2:10" x14ac:dyDescent="0.25">
      <c r="B75" s="90">
        <v>71</v>
      </c>
      <c r="C75" s="239" t="s">
        <v>44</v>
      </c>
      <c r="D75" s="239"/>
      <c r="E75" s="239" t="s">
        <v>97</v>
      </c>
      <c r="F75" s="239"/>
      <c r="G75" s="100" t="str">
        <f>IF(_xlfn.XLOOKUP($B75,'Procurement Schedule'!$B$11:$B$956,'Procurement Schedule'!$AO$11:$AO$956, "-",0)=0,"-",_xlfn.XLOOKUP($B75,'Procurement Schedule'!$B$11:$B$956,'Procurement Schedule'!$AO$11:$AO$956, "-",0))</f>
        <v>Awarded</v>
      </c>
      <c r="H75" s="107"/>
      <c r="I75" s="107">
        <f>_xlfn.XLOOKUP(B75,'Procurement Strategy'!B:B,'Procurement Strategy'!Q:Q,"-",0)</f>
        <v>0</v>
      </c>
      <c r="J75" s="107">
        <f t="shared" si="2"/>
        <v>0</v>
      </c>
    </row>
    <row r="76" spans="2:10" x14ac:dyDescent="0.25">
      <c r="B76" s="117">
        <v>73</v>
      </c>
      <c r="C76" s="240" t="s">
        <v>44</v>
      </c>
      <c r="D76" s="240"/>
      <c r="E76" s="240" t="s">
        <v>98</v>
      </c>
      <c r="F76" s="240"/>
      <c r="G76" s="118" t="str">
        <f>IF(_xlfn.XLOOKUP($B76,'Procurement Schedule'!$B$11:$B$956,'Procurement Schedule'!$AO$11:$AO$956, "-",0)=0,"-",_xlfn.XLOOKUP($B76,'Procurement Schedule'!$B$11:$B$956,'Procurement Schedule'!$AO$11:$AO$956, "-",0))</f>
        <v>PTC Stage</v>
      </c>
      <c r="H76" s="119"/>
      <c r="I76" s="119">
        <f>_xlfn.XLOOKUP(B76,'Procurement Strategy'!B:B,'Procurement Strategy'!Q:Q,"-",0)</f>
        <v>0</v>
      </c>
      <c r="J76" s="119">
        <f t="shared" si="2"/>
        <v>0</v>
      </c>
    </row>
    <row r="77" spans="2:10" x14ac:dyDescent="0.25">
      <c r="B77" s="108">
        <v>74</v>
      </c>
      <c r="C77" s="238" t="s">
        <v>44</v>
      </c>
      <c r="D77" s="238"/>
      <c r="E77" s="238" t="s">
        <v>99</v>
      </c>
      <c r="F77" s="238"/>
      <c r="G77" s="104" t="str">
        <f>IF(_xlfn.XLOOKUP($B77,'Procurement Schedule'!$B$11:$B$956,'Procurement Schedule'!$AO$11:$AO$956, "-",0)=0,"-",_xlfn.XLOOKUP($B77,'Procurement Schedule'!$B$11:$B$956,'Procurement Schedule'!$AO$11:$AO$956, "-",0))</f>
        <v>Awarded</v>
      </c>
      <c r="H77" s="112"/>
      <c r="I77" s="112">
        <f>_xlfn.XLOOKUP(B77,'Procurement Strategy'!B:B,'Procurement Strategy'!Q:Q,"-",0)</f>
        <v>0</v>
      </c>
      <c r="J77" s="112">
        <f t="shared" si="2"/>
        <v>0</v>
      </c>
    </row>
    <row r="78" spans="2:10" x14ac:dyDescent="0.25">
      <c r="B78" s="108">
        <v>75</v>
      </c>
      <c r="C78" s="238" t="s">
        <v>44</v>
      </c>
      <c r="D78" s="238"/>
      <c r="E78" s="238" t="s">
        <v>100</v>
      </c>
      <c r="F78" s="238"/>
      <c r="G78" s="104" t="str">
        <f>IF(_xlfn.XLOOKUP($B78,'Procurement Schedule'!$B$11:$B$956,'Procurement Schedule'!$AO$11:$AO$956, "-",0)=0,"-",_xlfn.XLOOKUP($B78,'Procurement Schedule'!$B$11:$B$956,'Procurement Schedule'!$AO$11:$AO$956, "-",0))</f>
        <v>Awarded</v>
      </c>
      <c r="H78" s="112"/>
      <c r="I78" s="112">
        <f>_xlfn.XLOOKUP(B78,'Procurement Strategy'!B:B,'Procurement Strategy'!Q:Q,"-",0)</f>
        <v>0</v>
      </c>
      <c r="J78" s="112">
        <f t="shared" si="2"/>
        <v>0</v>
      </c>
    </row>
    <row r="79" spans="2:10" x14ac:dyDescent="0.25">
      <c r="B79" s="108">
        <v>76</v>
      </c>
      <c r="C79" s="238" t="s">
        <v>44</v>
      </c>
      <c r="D79" s="238"/>
      <c r="E79" s="238" t="s">
        <v>101</v>
      </c>
      <c r="F79" s="238"/>
      <c r="G79" s="104" t="str">
        <f>IF(_xlfn.XLOOKUP($B79,'Procurement Schedule'!$B$11:$B$956,'Procurement Schedule'!$AO$11:$AO$956, "-",0)=0,"-",_xlfn.XLOOKUP($B79,'Procurement Schedule'!$B$11:$B$956,'Procurement Schedule'!$AO$11:$AO$956, "-",0))</f>
        <v>Awarded</v>
      </c>
      <c r="H79" s="112"/>
      <c r="I79" s="112">
        <f>_xlfn.XLOOKUP(B79,'Procurement Strategy'!B:B,'Procurement Strategy'!Q:Q,"-",0)</f>
        <v>0</v>
      </c>
      <c r="J79" s="112">
        <f t="shared" si="2"/>
        <v>0</v>
      </c>
    </row>
    <row r="80" spans="2:10" x14ac:dyDescent="0.25">
      <c r="B80" s="108">
        <v>77</v>
      </c>
      <c r="C80" s="238" t="s">
        <v>44</v>
      </c>
      <c r="D80" s="238"/>
      <c r="E80" s="238" t="s">
        <v>102</v>
      </c>
      <c r="F80" s="238"/>
      <c r="G80" s="104" t="str">
        <f>IF(_xlfn.XLOOKUP($B80,'Procurement Schedule'!$B$11:$B$956,'Procurement Schedule'!$AO$11:$AO$956, "-",0)=0,"-",_xlfn.XLOOKUP($B80,'Procurement Schedule'!$B$11:$B$956,'Procurement Schedule'!$AO$11:$AO$956, "-",0))</f>
        <v>PTC Stage</v>
      </c>
      <c r="H80" s="112"/>
      <c r="I80" s="112">
        <f>_xlfn.XLOOKUP(B80,'Procurement Strategy'!B:B,'Procurement Strategy'!Q:Q,"-",0)</f>
        <v>0</v>
      </c>
      <c r="J80" s="112">
        <f t="shared" si="2"/>
        <v>0</v>
      </c>
    </row>
    <row r="81" spans="2:10" x14ac:dyDescent="0.25">
      <c r="B81" s="108">
        <v>78</v>
      </c>
      <c r="C81" s="238" t="s">
        <v>44</v>
      </c>
      <c r="D81" s="238"/>
      <c r="E81" s="238" t="s">
        <v>103</v>
      </c>
      <c r="F81" s="238"/>
      <c r="G81" s="104" t="str">
        <f>IF(_xlfn.XLOOKUP($B81,'Procurement Schedule'!$B$11:$B$956,'Procurement Schedule'!$AO$11:$AO$956, "-",0)=0,"-",_xlfn.XLOOKUP($B81,'Procurement Schedule'!$B$11:$B$956,'Procurement Schedule'!$AO$11:$AO$956, "-",0))</f>
        <v>PTC Stage</v>
      </c>
      <c r="H81" s="112"/>
      <c r="I81" s="112">
        <f>_xlfn.XLOOKUP(B81,'Procurement Strategy'!B:B,'Procurement Strategy'!Q:Q,"-",0)</f>
        <v>0</v>
      </c>
      <c r="J81" s="112">
        <f t="shared" si="2"/>
        <v>0</v>
      </c>
    </row>
    <row r="82" spans="2:10" x14ac:dyDescent="0.25">
      <c r="B82" s="108">
        <v>79</v>
      </c>
      <c r="C82" s="238" t="s">
        <v>44</v>
      </c>
      <c r="D82" s="238"/>
      <c r="E82" s="238" t="s">
        <v>104</v>
      </c>
      <c r="F82" s="238"/>
      <c r="G82" s="104" t="str">
        <f>IF(_xlfn.XLOOKUP($B82,'Procurement Schedule'!$B$11:$B$956,'Procurement Schedule'!$AO$11:$AO$956, "-",0)=0,"-",_xlfn.XLOOKUP($B82,'Procurement Schedule'!$B$11:$B$956,'Procurement Schedule'!$AO$11:$AO$956, "-",0))</f>
        <v>Awaiting DTP</v>
      </c>
      <c r="H82" s="112"/>
      <c r="I82" s="112">
        <f>_xlfn.XLOOKUP(B82,'Procurement Strategy'!B:B,'Procurement Strategy'!Q:Q,"-",0)</f>
        <v>0</v>
      </c>
      <c r="J82" s="112" t="str">
        <f t="shared" si="2"/>
        <v>-</v>
      </c>
    </row>
    <row r="83" spans="2:10" x14ac:dyDescent="0.25">
      <c r="B83" s="108">
        <v>80</v>
      </c>
      <c r="C83" s="238" t="s">
        <v>44</v>
      </c>
      <c r="D83" s="238"/>
      <c r="E83" s="238" t="s">
        <v>105</v>
      </c>
      <c r="F83" s="238"/>
      <c r="G83" s="104" t="str">
        <f>IF(_xlfn.XLOOKUP($B83,'Procurement Schedule'!$B$11:$B$956,'Procurement Schedule'!$AO$11:$AO$956, "-",0)=0,"-",_xlfn.XLOOKUP($B83,'Procurement Schedule'!$B$11:$B$956,'Procurement Schedule'!$AO$11:$AO$956, "-",0))</f>
        <v>Awaiting DTP</v>
      </c>
      <c r="H83" s="112"/>
      <c r="I83" s="112">
        <f>_xlfn.XLOOKUP(B83,'Procurement Strategy'!B:B,'Procurement Strategy'!Q:Q,"-",0)</f>
        <v>0</v>
      </c>
      <c r="J83" s="112" t="str">
        <f t="shared" si="2"/>
        <v>-</v>
      </c>
    </row>
    <row r="84" spans="2:10" x14ac:dyDescent="0.25">
      <c r="B84" s="108">
        <v>81</v>
      </c>
      <c r="C84" s="238" t="s">
        <v>44</v>
      </c>
      <c r="D84" s="238"/>
      <c r="E84" s="238" t="s">
        <v>106</v>
      </c>
      <c r="F84" s="238"/>
      <c r="G84" s="104" t="str">
        <f>IF(_xlfn.XLOOKUP($B84,'Procurement Schedule'!$B$11:$B$956,'Procurement Schedule'!$AO$11:$AO$956, "-",0)=0,"-",_xlfn.XLOOKUP($B84,'Procurement Schedule'!$B$11:$B$956,'Procurement Schedule'!$AO$11:$AO$956, "-",0))</f>
        <v>Awarded</v>
      </c>
      <c r="H84" s="112"/>
      <c r="I84" s="112">
        <f>_xlfn.XLOOKUP(B84,'Procurement Strategy'!B:B,'Procurement Strategy'!Q:Q,"-",0)</f>
        <v>1872100</v>
      </c>
      <c r="J84" s="112">
        <f t="shared" si="2"/>
        <v>-1872100</v>
      </c>
    </row>
    <row r="85" spans="2:10" x14ac:dyDescent="0.25">
      <c r="B85" s="108">
        <v>82</v>
      </c>
      <c r="C85" s="238" t="s">
        <v>44</v>
      </c>
      <c r="D85" s="238"/>
      <c r="E85" s="238" t="s">
        <v>107</v>
      </c>
      <c r="F85" s="238"/>
      <c r="G85" s="104" t="str">
        <f>IF(_xlfn.XLOOKUP($B85,'Procurement Schedule'!$B$11:$B$956,'Procurement Schedule'!$AO$11:$AO$956, "-",0)=0,"-",_xlfn.XLOOKUP($B85,'Procurement Schedule'!$B$11:$B$956,'Procurement Schedule'!$AO$11:$AO$956, "-",0))</f>
        <v>Awarded</v>
      </c>
      <c r="H85" s="112"/>
      <c r="I85" s="112">
        <f>_xlfn.XLOOKUP(B85,'Procurement Strategy'!B:B,'Procurement Strategy'!Q:Q,"-",0)</f>
        <v>0</v>
      </c>
      <c r="J85" s="112">
        <f t="shared" si="2"/>
        <v>0</v>
      </c>
    </row>
    <row r="86" spans="2:10" x14ac:dyDescent="0.25">
      <c r="B86" s="108">
        <v>83</v>
      </c>
      <c r="C86" s="238" t="s">
        <v>44</v>
      </c>
      <c r="D86" s="238"/>
      <c r="E86" s="238" t="s">
        <v>108</v>
      </c>
      <c r="F86" s="238"/>
      <c r="G86" s="104" t="str">
        <f>IF(_xlfn.XLOOKUP($B86,'Procurement Schedule'!$B$11:$B$956,'Procurement Schedule'!$AO$11:$AO$956, "-",0)=0,"-",_xlfn.XLOOKUP($B86,'Procurement Schedule'!$B$11:$B$956,'Procurement Schedule'!$AO$11:$AO$956, "-",0))</f>
        <v>Awarded</v>
      </c>
      <c r="H86" s="112"/>
      <c r="I86" s="112">
        <f>_xlfn.XLOOKUP(B86,'Procurement Strategy'!B:B,'Procurement Strategy'!Q:Q,"-",0)</f>
        <v>0</v>
      </c>
      <c r="J86" s="112">
        <f t="shared" si="2"/>
        <v>0</v>
      </c>
    </row>
    <row r="87" spans="2:10" x14ac:dyDescent="0.25">
      <c r="B87" s="90">
        <v>84</v>
      </c>
      <c r="C87" s="239" t="s">
        <v>44</v>
      </c>
      <c r="D87" s="239"/>
      <c r="E87" s="239" t="s">
        <v>109</v>
      </c>
      <c r="F87" s="239"/>
      <c r="G87" s="100" t="str">
        <f>IF(_xlfn.XLOOKUP($B87,'Procurement Schedule'!$B$11:$B$956,'Procurement Schedule'!$AO$11:$AO$956, "-",0)=0,"-",_xlfn.XLOOKUP($B87,'Procurement Schedule'!$B$11:$B$956,'Procurement Schedule'!$AO$11:$AO$956, "-",0))</f>
        <v>PTC Stage</v>
      </c>
      <c r="H87" s="107"/>
      <c r="I87" s="107">
        <f>_xlfn.XLOOKUP(B87,'Procurement Strategy'!B:B,'Procurement Strategy'!Q:Q,"-",0)</f>
        <v>0</v>
      </c>
      <c r="J87" s="107">
        <f t="shared" si="2"/>
        <v>0</v>
      </c>
    </row>
    <row r="88" spans="2:10" x14ac:dyDescent="0.25">
      <c r="B88" s="117">
        <v>87</v>
      </c>
      <c r="C88" s="240" t="s">
        <v>44</v>
      </c>
      <c r="D88" s="240"/>
      <c r="E88" s="240" t="s">
        <v>110</v>
      </c>
      <c r="F88" s="240"/>
      <c r="G88" s="118" t="str">
        <f>IF(_xlfn.XLOOKUP($B88,'Procurement Schedule'!$B$11:$B$956,'Procurement Schedule'!$AO$11:$AO$956, "-",0)=0,"-",_xlfn.XLOOKUP($B88,'Procurement Schedule'!$B$11:$B$956,'Procurement Schedule'!$AO$11:$AO$956, "-",0))</f>
        <v>Awaiting DTP</v>
      </c>
      <c r="H88" s="119"/>
      <c r="I88" s="119">
        <f>_xlfn.XLOOKUP(B88,'Procurement Strategy'!B:B,'Procurement Strategy'!Q:Q,"-",0)</f>
        <v>0</v>
      </c>
      <c r="J88" s="119" t="str">
        <f t="shared" si="2"/>
        <v>-</v>
      </c>
    </row>
    <row r="89" spans="2:10" x14ac:dyDescent="0.25">
      <c r="B89" s="108">
        <v>88</v>
      </c>
      <c r="C89" s="238" t="s">
        <v>44</v>
      </c>
      <c r="D89" s="238"/>
      <c r="E89" s="238" t="s">
        <v>111</v>
      </c>
      <c r="F89" s="238"/>
      <c r="G89" s="104" t="str">
        <f>IF(_xlfn.XLOOKUP($B89,'Procurement Schedule'!$B$11:$B$956,'Procurement Schedule'!$AO$11:$AO$956, "-",0)=0,"-",_xlfn.XLOOKUP($B89,'Procurement Schedule'!$B$11:$B$956,'Procurement Schedule'!$AO$11:$AO$956, "-",0))</f>
        <v>Awaiting DTP</v>
      </c>
      <c r="H89" s="112"/>
      <c r="I89" s="112">
        <f>_xlfn.XLOOKUP(B89,'Procurement Strategy'!B:B,'Procurement Strategy'!Q:Q,"-",0)</f>
        <v>0</v>
      </c>
      <c r="J89" s="112" t="str">
        <f t="shared" si="2"/>
        <v>-</v>
      </c>
    </row>
    <row r="90" spans="2:10" x14ac:dyDescent="0.25">
      <c r="B90" s="108">
        <v>89</v>
      </c>
      <c r="C90" s="238" t="s">
        <v>53</v>
      </c>
      <c r="D90" s="238"/>
      <c r="E90" s="238" t="s">
        <v>112</v>
      </c>
      <c r="F90" s="238"/>
      <c r="G90" s="104" t="str">
        <f>IF(_xlfn.XLOOKUP($B90,'Procurement Schedule'!$B$11:$B$990,'Procurement Schedule'!$AO$11:$AO$990, "-",0)=0,"-",_xlfn.XLOOKUP($B90,'Procurement Schedule'!$B$11:$B$990,'Procurement Schedule'!$AO$11:$AO$990, "-",0))</f>
        <v>Awarded</v>
      </c>
      <c r="H90" s="112">
        <v>1252440</v>
      </c>
      <c r="I90" s="112">
        <f>_xlfn.XLOOKUP(B90,'Procurement Strategy'!B:B,'Procurement Strategy'!Q:Q,"-",0)</f>
        <v>1252440</v>
      </c>
      <c r="J90" s="112">
        <f t="shared" ref="J90:J95" si="3">IF(OR($G90="Awarded",$G90="PTC Stage",$G90="Final Negotiations",$G90="OBT Ongoing"),$H90-$I90,"-")</f>
        <v>0</v>
      </c>
    </row>
    <row r="91" spans="2:10" x14ac:dyDescent="0.25">
      <c r="B91" s="108">
        <v>90</v>
      </c>
      <c r="C91" s="238" t="s">
        <v>44</v>
      </c>
      <c r="D91" s="238"/>
      <c r="E91" s="238" t="s">
        <v>113</v>
      </c>
      <c r="F91" s="238"/>
      <c r="G91" s="104" t="str">
        <f>IF(_xlfn.XLOOKUP($B91,'Procurement Schedule'!$B$11:$B$990,'Procurement Schedule'!$AO$11:$AO$990, "-",0)=0,"-",_xlfn.XLOOKUP($B91,'Procurement Schedule'!$B$11:$B$990,'Procurement Schedule'!$AO$11:$AO$990, "-",0))</f>
        <v>Awarded</v>
      </c>
      <c r="H91" s="112" t="s">
        <v>114</v>
      </c>
      <c r="I91" s="112">
        <f>_xlfn.XLOOKUP(B91,'Procurement Strategy'!B:B,'Procurement Strategy'!Q:Q,"-",0)</f>
        <v>3474313</v>
      </c>
      <c r="J91" s="112" t="e">
        <f t="shared" si="3"/>
        <v>#VALUE!</v>
      </c>
    </row>
    <row r="92" spans="2:10" x14ac:dyDescent="0.25">
      <c r="B92" s="108">
        <v>91</v>
      </c>
      <c r="C92" s="238" t="s">
        <v>44</v>
      </c>
      <c r="D92" s="238"/>
      <c r="E92" s="238" t="s">
        <v>113</v>
      </c>
      <c r="F92" s="238"/>
      <c r="G92" s="104" t="str">
        <f>IF(_xlfn.XLOOKUP($B92,'Procurement Schedule'!$B$11:$B$990,'Procurement Schedule'!$AO$11:$AO$990, "-",0)=0,"-",_xlfn.XLOOKUP($B92,'Procurement Schedule'!$B$11:$B$990,'Procurement Schedule'!$AO$11:$AO$990, "-",0))</f>
        <v>Awarded</v>
      </c>
      <c r="H92" s="112">
        <v>4207272</v>
      </c>
      <c r="I92" s="112">
        <f>_xlfn.XLOOKUP(B92,'Procurement Strategy'!B:B,'Procurement Strategy'!Q:Q,"-",0)</f>
        <v>4187043</v>
      </c>
      <c r="J92" s="112">
        <f t="shared" si="3"/>
        <v>20229</v>
      </c>
    </row>
    <row r="93" spans="2:10" x14ac:dyDescent="0.25">
      <c r="B93" s="108">
        <v>92</v>
      </c>
      <c r="C93" s="238" t="s">
        <v>44</v>
      </c>
      <c r="D93" s="238"/>
      <c r="E93" s="238" t="s">
        <v>115</v>
      </c>
      <c r="F93" s="238"/>
      <c r="G93" s="104" t="str">
        <f>IF(_xlfn.XLOOKUP($B93,'Procurement Schedule'!$B$11:$B$990,'Procurement Schedule'!$AO$11:$AO$990, "-",0)=0,"-",_xlfn.XLOOKUP($B93,'Procurement Schedule'!$B$11:$B$990,'Procurement Schedule'!$AO$11:$AO$990, "-",0))</f>
        <v>Awarded</v>
      </c>
      <c r="H93" s="112">
        <v>18263257.440000001</v>
      </c>
      <c r="I93" s="112">
        <f>_xlfn.XLOOKUP(B93,'Procurement Strategy'!B:B,'Procurement Strategy'!Q:Q,"-",0)</f>
        <v>16200000</v>
      </c>
      <c r="J93" s="112">
        <f t="shared" si="3"/>
        <v>2063257.4400000013</v>
      </c>
    </row>
    <row r="94" spans="2:10" x14ac:dyDescent="0.25">
      <c r="B94" s="108">
        <v>93</v>
      </c>
      <c r="C94" s="238" t="s">
        <v>44</v>
      </c>
      <c r="D94" s="238"/>
      <c r="E94" s="238" t="s">
        <v>116</v>
      </c>
      <c r="F94" s="238"/>
      <c r="G94" s="104" t="str">
        <f>IF(_xlfn.XLOOKUP($B94,'Procurement Schedule'!$B$11:$B$990,'Procurement Schedule'!$AO$11:$AO$990, "-",0)=0,"-",_xlfn.XLOOKUP($B94,'Procurement Schedule'!$B$11:$B$990,'Procurement Schedule'!$AO$11:$AO$990, "-",0))</f>
        <v>Awarded</v>
      </c>
      <c r="H94" s="112">
        <v>17581625.079999998</v>
      </c>
      <c r="I94" s="112">
        <f>_xlfn.XLOOKUP(B94,'Procurement Strategy'!B:B,'Procurement Strategy'!Q:Q,"-",0)</f>
        <v>16894669</v>
      </c>
      <c r="J94" s="112">
        <f t="shared" si="3"/>
        <v>686956.07999999821</v>
      </c>
    </row>
    <row r="95" spans="2:10" x14ac:dyDescent="0.25">
      <c r="B95" s="108">
        <v>94</v>
      </c>
      <c r="C95" s="238" t="s">
        <v>44</v>
      </c>
      <c r="D95" s="238"/>
      <c r="E95" s="238" t="s">
        <v>117</v>
      </c>
      <c r="F95" s="238"/>
      <c r="G95" s="104" t="str">
        <f>IF(_xlfn.XLOOKUP($B95,'Procurement Schedule'!$B$11:$B$990,'Procurement Schedule'!$AO$11:$AO$990, "-",0)=0,"-",_xlfn.XLOOKUP($B95,'Procurement Schedule'!$B$11:$B$990,'Procurement Schedule'!$AO$11:$AO$990, "-",0))</f>
        <v>Awarded</v>
      </c>
      <c r="H95" s="112">
        <v>15602372.51</v>
      </c>
      <c r="I95" s="112">
        <f>_xlfn.XLOOKUP(B95,'Procurement Strategy'!B:B,'Procurement Strategy'!Q:Q,"-",0)</f>
        <v>14823106.92</v>
      </c>
      <c r="J95" s="112">
        <f t="shared" si="3"/>
        <v>779265.58999999985</v>
      </c>
    </row>
    <row r="96" spans="2:10" x14ac:dyDescent="0.25">
      <c r="B96" s="108">
        <v>95</v>
      </c>
      <c r="C96" s="238" t="s">
        <v>44</v>
      </c>
      <c r="D96" s="238"/>
      <c r="E96" s="238" t="s">
        <v>118</v>
      </c>
      <c r="F96" s="238"/>
      <c r="G96" s="104" t="str">
        <f>IF(_xlfn.XLOOKUP($B96,'Procurement Schedule'!$B$11:$B$998,'Procurement Schedule'!$AO$11:$AO$998, "-",0)=0,"-",_xlfn.XLOOKUP($B96,'Procurement Schedule'!$B$11:$B$998,'Procurement Schedule'!$AO$11:$AO$998, "-",0))</f>
        <v>Final Negotiations</v>
      </c>
      <c r="H96" s="112">
        <v>1183875</v>
      </c>
      <c r="I96" s="112">
        <f>_xlfn.XLOOKUP(B96,'Procurement Strategy'!B:B,'Procurement Strategy'!Q:Q,"-",0)</f>
        <v>0</v>
      </c>
      <c r="J96" s="112">
        <f>IF(OR($G96="Awarded",$G96="PTC Stage",$G96="Final Negotiations",$G96="OBT Ongoing"),$H96-$I96,"-")</f>
        <v>1183875</v>
      </c>
    </row>
    <row r="97" spans="2:10" x14ac:dyDescent="0.25">
      <c r="B97" s="90">
        <v>96</v>
      </c>
      <c r="C97" s="239" t="s">
        <v>44</v>
      </c>
      <c r="D97" s="239"/>
      <c r="E97" s="239" t="s">
        <v>119</v>
      </c>
      <c r="F97" s="239"/>
      <c r="G97" s="100" t="str">
        <f>IF(_xlfn.XLOOKUP($B97,'Procurement Schedule'!$B$11:$B$998,'Procurement Schedule'!$AO$11:$AO$998, "-",0)=0,"-",_xlfn.XLOOKUP($B97,'Procurement Schedule'!$B$11:$B$998,'Procurement Schedule'!$AO$11:$AO$998, "-",0))</f>
        <v>PTC Stage</v>
      </c>
      <c r="H97" s="107">
        <v>509611.05</v>
      </c>
      <c r="I97" s="107">
        <f>_xlfn.XLOOKUP(B97,'Procurement Strategy'!B:B,'Procurement Strategy'!Q:Q,"-",0)</f>
        <v>0</v>
      </c>
      <c r="J97" s="107">
        <f>IF(OR($G97="Awarded",$G97="PTC Stage",$G97="Final Negotiations",$G97="OBT Ongoing"),$H97-$I97,"-")</f>
        <v>509611.05</v>
      </c>
    </row>
  </sheetData>
  <sheetProtection algorithmName="SHA-512" hashValue="pP2YgUaST+jym01wlzEqE9S8CQ2Eo+6Z7ajWPr7IHdOvioF6ycmIby12nboLFIbVMIxPU1K4E5c5WUoYF6tjQA==" saltValue="bgAUQAwEfn2IGKW3aj+qmg==" spinCount="100000" sheet="1" objects="1" scenarios="1"/>
  <protectedRanges>
    <protectedRange algorithmName="SHA-512" hashValue="sl1XmkZLPG+5xCc+lpUkD/TzkenTLsVjC2kDq9s/izI80cUVgPlDv1XEZ/w/kziiAVFb3122RaWvA0RaIc8s2A==" saltValue="7Mm/oKnFHOSUJ11r1LTHug==" spinCount="100000" sqref="B10" name="Editable_PMO_3"/>
  </protectedRanges>
  <mergeCells count="158">
    <mergeCell ref="A1:F3"/>
    <mergeCell ref="C6:D6"/>
    <mergeCell ref="C30:D30"/>
    <mergeCell ref="E30:F30"/>
    <mergeCell ref="C31:D31"/>
    <mergeCell ref="E31:F31"/>
    <mergeCell ref="C27:D27"/>
    <mergeCell ref="E27:F27"/>
    <mergeCell ref="C28:D28"/>
    <mergeCell ref="E28:F28"/>
    <mergeCell ref="C29:D29"/>
    <mergeCell ref="E29:F29"/>
    <mergeCell ref="C26:D26"/>
    <mergeCell ref="E26:F26"/>
    <mergeCell ref="C36:D36"/>
    <mergeCell ref="E36:F36"/>
    <mergeCell ref="J14:J16"/>
    <mergeCell ref="J18:J20"/>
    <mergeCell ref="B13:B20"/>
    <mergeCell ref="C5:G5"/>
    <mergeCell ref="C7:G7"/>
    <mergeCell ref="C8:G8"/>
    <mergeCell ref="C24:D24"/>
    <mergeCell ref="E24:F24"/>
    <mergeCell ref="C25:D25"/>
    <mergeCell ref="E25:F25"/>
    <mergeCell ref="C23:D23"/>
    <mergeCell ref="E23:F23"/>
    <mergeCell ref="C43:D43"/>
    <mergeCell ref="E43:F43"/>
    <mergeCell ref="C44:D44"/>
    <mergeCell ref="E44:F44"/>
    <mergeCell ref="C37:D37"/>
    <mergeCell ref="E37:F37"/>
    <mergeCell ref="C32:D32"/>
    <mergeCell ref="E32:F32"/>
    <mergeCell ref="C33:D33"/>
    <mergeCell ref="E33:F33"/>
    <mergeCell ref="C34:D34"/>
    <mergeCell ref="E34:F34"/>
    <mergeCell ref="C42:D42"/>
    <mergeCell ref="E42:F42"/>
    <mergeCell ref="C39:D39"/>
    <mergeCell ref="E39:F39"/>
    <mergeCell ref="C40:D40"/>
    <mergeCell ref="E40:F40"/>
    <mergeCell ref="C41:D41"/>
    <mergeCell ref="E41:F41"/>
    <mergeCell ref="C38:D38"/>
    <mergeCell ref="E38:F38"/>
    <mergeCell ref="C35:D35"/>
    <mergeCell ref="E35:F35"/>
    <mergeCell ref="C48:D48"/>
    <mergeCell ref="E48:F48"/>
    <mergeCell ref="C54:D54"/>
    <mergeCell ref="E54:F54"/>
    <mergeCell ref="C45:D45"/>
    <mergeCell ref="E45:F45"/>
    <mergeCell ref="C46:D46"/>
    <mergeCell ref="E46:F46"/>
    <mergeCell ref="C47:D47"/>
    <mergeCell ref="E47:F47"/>
    <mergeCell ref="C55:D55"/>
    <mergeCell ref="E55:F55"/>
    <mergeCell ref="C56:D56"/>
    <mergeCell ref="E56:F56"/>
    <mergeCell ref="C52:D52"/>
    <mergeCell ref="E52:F52"/>
    <mergeCell ref="C53:D53"/>
    <mergeCell ref="E53:F53"/>
    <mergeCell ref="C49:D49"/>
    <mergeCell ref="E49:F49"/>
    <mergeCell ref="C50:D50"/>
    <mergeCell ref="E50:F50"/>
    <mergeCell ref="C51:D51"/>
    <mergeCell ref="E51:F51"/>
    <mergeCell ref="C60:D60"/>
    <mergeCell ref="E60:F60"/>
    <mergeCell ref="C61:D61"/>
    <mergeCell ref="E61:F61"/>
    <mergeCell ref="C59:D59"/>
    <mergeCell ref="E59:F59"/>
    <mergeCell ref="C57:D57"/>
    <mergeCell ref="E57:F57"/>
    <mergeCell ref="C58:D58"/>
    <mergeCell ref="E58:F58"/>
    <mergeCell ref="C72:D72"/>
    <mergeCell ref="E72:F72"/>
    <mergeCell ref="C73:D73"/>
    <mergeCell ref="E73:F73"/>
    <mergeCell ref="C64:D64"/>
    <mergeCell ref="E64:F64"/>
    <mergeCell ref="C65:D65"/>
    <mergeCell ref="E65:F65"/>
    <mergeCell ref="C62:D62"/>
    <mergeCell ref="E62:F62"/>
    <mergeCell ref="C63:D63"/>
    <mergeCell ref="E63:F63"/>
    <mergeCell ref="C69:D69"/>
    <mergeCell ref="E69:F69"/>
    <mergeCell ref="C70:D70"/>
    <mergeCell ref="E70:F70"/>
    <mergeCell ref="C71:D71"/>
    <mergeCell ref="E71:F71"/>
    <mergeCell ref="C66:D66"/>
    <mergeCell ref="E66:F66"/>
    <mergeCell ref="C67:D67"/>
    <mergeCell ref="E67:F67"/>
    <mergeCell ref="C68:D68"/>
    <mergeCell ref="E68:F68"/>
    <mergeCell ref="C74:D74"/>
    <mergeCell ref="E74:F74"/>
    <mergeCell ref="C82:D82"/>
    <mergeCell ref="E82:F82"/>
    <mergeCell ref="C83:D83"/>
    <mergeCell ref="E83:F83"/>
    <mergeCell ref="C84:D84"/>
    <mergeCell ref="E84:F84"/>
    <mergeCell ref="C80:D80"/>
    <mergeCell ref="E80:F80"/>
    <mergeCell ref="C81:D81"/>
    <mergeCell ref="E81:F81"/>
    <mergeCell ref="C79:D79"/>
    <mergeCell ref="E79:F79"/>
    <mergeCell ref="C76:D76"/>
    <mergeCell ref="E76:F76"/>
    <mergeCell ref="C77:D77"/>
    <mergeCell ref="E77:F77"/>
    <mergeCell ref="C78:D78"/>
    <mergeCell ref="E78:F78"/>
    <mergeCell ref="C75:D75"/>
    <mergeCell ref="E75:F75"/>
    <mergeCell ref="C89:D89"/>
    <mergeCell ref="E89:F89"/>
    <mergeCell ref="C88:D88"/>
    <mergeCell ref="E88:F88"/>
    <mergeCell ref="C85:D85"/>
    <mergeCell ref="E85:F85"/>
    <mergeCell ref="C86:D86"/>
    <mergeCell ref="E86:F86"/>
    <mergeCell ref="C87:D87"/>
    <mergeCell ref="E87:F87"/>
    <mergeCell ref="C96:D96"/>
    <mergeCell ref="E96:F96"/>
    <mergeCell ref="C97:D97"/>
    <mergeCell ref="E97:F97"/>
    <mergeCell ref="C90:D90"/>
    <mergeCell ref="E90:F90"/>
    <mergeCell ref="C91:D91"/>
    <mergeCell ref="E91:F91"/>
    <mergeCell ref="C92:D92"/>
    <mergeCell ref="E92:F92"/>
    <mergeCell ref="C93:D93"/>
    <mergeCell ref="E93:F93"/>
    <mergeCell ref="C94:D94"/>
    <mergeCell ref="E94:F94"/>
    <mergeCell ref="C95:D95"/>
    <mergeCell ref="E95:F95"/>
  </mergeCells>
  <conditionalFormatting sqref="J1:J11 K12:K21 J22:J1048576">
    <cfRule type="cellIs" dxfId="47" priority="2" operator="lessThan">
      <formula>0</formula>
    </cfRule>
  </conditionalFormatting>
  <conditionalFormatting sqref="I1:I1048576">
    <cfRule type="expression" dxfId="46" priority="1">
      <formula>AND($G1 = "Awarded",$I1=0)</formula>
    </cfRule>
  </conditionalFormatting>
  <pageMargins left="0.7" right="0.7" top="0.75" bottom="0.75" header="0.3" footer="0.3"/>
  <pageSetup paperSize="8" fitToHeight="0"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78E6D59-BB35-4CFB-B714-8DEB7BF10757}">
          <x14:formula1>
            <xm:f>_xlfn.ANCHORARRAY('Project Information'!$J$2)</xm:f>
          </x14:formula1>
          <xm:sqref>J8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DDC17-B7F6-4D1A-98B3-242080CCA322}">
  <sheetPr codeName="Sheet5">
    <pageSetUpPr fitToPage="1"/>
  </sheetPr>
  <dimension ref="A1:AX159"/>
  <sheetViews>
    <sheetView showGridLines="0" tabSelected="1" topLeftCell="A3" zoomScale="85" zoomScaleNormal="85" zoomScaleSheetLayoutView="85" workbookViewId="0">
      <pane xSplit="8" ySplit="9" topLeftCell="I12" activePane="bottomRight" state="frozen"/>
      <selection pane="topRight" activeCell="I3" sqref="I3"/>
      <selection pane="bottomLeft" activeCell="A12" sqref="A12"/>
      <selection pane="bottomRight" activeCell="L13" sqref="L13"/>
    </sheetView>
  </sheetViews>
  <sheetFormatPr defaultColWidth="9.28515625" defaultRowHeight="15" outlineLevelCol="1" x14ac:dyDescent="0.25"/>
  <cols>
    <col min="1" max="1" width="9.28515625" style="16" customWidth="1"/>
    <col min="2" max="2" width="12.7109375" style="16" bestFit="1" customWidth="1"/>
    <col min="3" max="3" width="15.5703125" style="16" customWidth="1"/>
    <col min="4" max="4" width="38.42578125" style="16" customWidth="1"/>
    <col min="5" max="5" width="13.7109375" style="16" customWidth="1"/>
    <col min="6" max="6" width="13.28515625" style="16" customWidth="1"/>
    <col min="7" max="7" width="29.7109375" style="16" customWidth="1"/>
    <col min="8" max="8" width="15.28515625" style="16" customWidth="1"/>
    <col min="9" max="9" width="15" style="16" customWidth="1" outlineLevel="1"/>
    <col min="10" max="10" width="14.7109375" style="16" customWidth="1" outlineLevel="1"/>
    <col min="11" max="11" width="4.28515625" style="16" customWidth="1" outlineLevel="1"/>
    <col min="12" max="12" width="14.7109375" style="16" customWidth="1" outlineLevel="1"/>
    <col min="13" max="13" width="4.28515625" style="16" customWidth="1" outlineLevel="1"/>
    <col min="14" max="14" width="14.7109375" style="16" customWidth="1" outlineLevel="1"/>
    <col min="15" max="15" width="4.28515625" style="16" customWidth="1" outlineLevel="1"/>
    <col min="16" max="16" width="14.7109375" style="16" customWidth="1" outlineLevel="1"/>
    <col min="17" max="17" width="4.28515625" style="16" customWidth="1" outlineLevel="1"/>
    <col min="18" max="18" width="14.7109375" style="16" customWidth="1" outlineLevel="1"/>
    <col min="19" max="19" width="4.28515625" style="16" customWidth="1" outlineLevel="1"/>
    <col min="20" max="20" width="14.7109375" style="16" customWidth="1" outlineLevel="1"/>
    <col min="21" max="21" width="4.28515625" style="16" customWidth="1" outlineLevel="1"/>
    <col min="22" max="22" width="14.7109375" style="16" customWidth="1" outlineLevel="1"/>
    <col min="23" max="23" width="4.28515625" style="16" customWidth="1" outlineLevel="1"/>
    <col min="24" max="24" width="14.7109375" style="16" customWidth="1" outlineLevel="1"/>
    <col min="25" max="25" width="4.28515625" style="16" customWidth="1" outlineLevel="1"/>
    <col min="26" max="26" width="14.7109375" style="16" customWidth="1" outlineLevel="1"/>
    <col min="27" max="27" width="4.28515625" style="16" customWidth="1" outlineLevel="1"/>
    <col min="28" max="28" width="14.7109375" style="16" customWidth="1" outlineLevel="1"/>
    <col min="29" max="29" width="4.28515625" style="16" customWidth="1" outlineLevel="1"/>
    <col min="30" max="30" width="14.7109375" style="16" customWidth="1" outlineLevel="1"/>
    <col min="31" max="31" width="4.28515625" style="16" customWidth="1" outlineLevel="1"/>
    <col min="32" max="32" width="14.7109375" style="16" customWidth="1" outlineLevel="1"/>
    <col min="33" max="33" width="4.28515625" style="16" customWidth="1" outlineLevel="1"/>
    <col min="34" max="34" width="14.7109375" style="16" customWidth="1" outlineLevel="1"/>
    <col min="35" max="35" width="4.28515625" style="16" customWidth="1" outlineLevel="1"/>
    <col min="36" max="36" width="14.7109375" style="16" customWidth="1" outlineLevel="1"/>
    <col min="37" max="37" width="4.28515625" style="16" customWidth="1" outlineLevel="1"/>
    <col min="38" max="38" width="20.5703125" style="19" customWidth="1" outlineLevel="1"/>
    <col min="39" max="40" width="20" style="16" customWidth="1"/>
    <col min="41" max="41" width="20.5703125" style="19" customWidth="1"/>
    <col min="42" max="42" width="53.28515625" style="85" customWidth="1"/>
    <col min="43" max="43" width="4.42578125" style="16" customWidth="1"/>
    <col min="44" max="49" width="9.28515625" style="16"/>
    <col min="50" max="50" width="11" style="16" bestFit="1" customWidth="1"/>
    <col min="51" max="16384" width="9.28515625" style="16"/>
  </cols>
  <sheetData>
    <row r="1" spans="1:50" customFormat="1" ht="15" customHeight="1" x14ac:dyDescent="0.25">
      <c r="A1" s="220" t="s">
        <v>120</v>
      </c>
      <c r="B1" s="220"/>
      <c r="C1" s="220"/>
      <c r="D1" s="220"/>
      <c r="E1" s="21"/>
      <c r="F1" s="164"/>
      <c r="AL1" s="3"/>
      <c r="AO1" s="3"/>
      <c r="AP1" s="165"/>
    </row>
    <row r="2" spans="1:50" customFormat="1" ht="15" customHeight="1" x14ac:dyDescent="0.25">
      <c r="A2" s="220"/>
      <c r="B2" s="220"/>
      <c r="C2" s="220"/>
      <c r="D2" s="220"/>
      <c r="E2" s="21"/>
      <c r="F2" s="164"/>
      <c r="AL2" s="3"/>
      <c r="AO2" s="3"/>
      <c r="AP2" s="165"/>
    </row>
    <row r="3" spans="1:50" customFormat="1" x14ac:dyDescent="0.25">
      <c r="A3" s="220"/>
      <c r="B3" s="220"/>
      <c r="C3" s="220"/>
      <c r="D3" s="220"/>
      <c r="AL3" s="3"/>
      <c r="AO3" s="3"/>
      <c r="AP3" s="165"/>
    </row>
    <row r="4" spans="1:50" customFormat="1" x14ac:dyDescent="0.25">
      <c r="AL4" s="3"/>
      <c r="AO4" s="3"/>
      <c r="AP4" s="165"/>
    </row>
    <row r="5" spans="1:50" customFormat="1" x14ac:dyDescent="0.25">
      <c r="B5" s="27" t="s">
        <v>4</v>
      </c>
      <c r="C5" s="221">
        <f>'Project Information'!C8</f>
        <v>0</v>
      </c>
      <c r="D5" s="222"/>
      <c r="E5" s="223"/>
      <c r="AL5" s="3"/>
      <c r="AO5" s="3"/>
      <c r="AP5" s="165"/>
    </row>
    <row r="6" spans="1:50" customFormat="1" x14ac:dyDescent="0.25">
      <c r="B6" s="27" t="s">
        <v>5</v>
      </c>
      <c r="C6" s="28">
        <f>'Project Information'!C9</f>
        <v>0</v>
      </c>
      <c r="D6" s="146"/>
      <c r="E6" s="146"/>
      <c r="F6" s="166"/>
      <c r="AL6" s="3"/>
      <c r="AO6" s="3"/>
      <c r="AP6" s="165"/>
    </row>
    <row r="7" spans="1:50" customFormat="1" x14ac:dyDescent="0.25">
      <c r="B7" s="27" t="s">
        <v>6</v>
      </c>
      <c r="C7" s="221">
        <f>'Project Information'!C10</f>
        <v>0</v>
      </c>
      <c r="D7" s="222"/>
      <c r="E7" s="223"/>
      <c r="J7" s="53" t="s">
        <v>39</v>
      </c>
      <c r="K7" s="53"/>
      <c r="L7" s="53" t="s">
        <v>39</v>
      </c>
      <c r="M7" s="53"/>
      <c r="N7" s="53" t="s">
        <v>39</v>
      </c>
      <c r="O7" s="53"/>
      <c r="P7" s="53" t="s">
        <v>38</v>
      </c>
      <c r="Q7" s="53"/>
      <c r="R7" s="53" t="s">
        <v>38</v>
      </c>
      <c r="S7" s="53"/>
      <c r="T7" s="53" t="s">
        <v>38</v>
      </c>
      <c r="U7" s="53"/>
      <c r="V7" s="53" t="s">
        <v>36</v>
      </c>
      <c r="W7" s="53"/>
      <c r="X7" s="53" t="s">
        <v>36</v>
      </c>
      <c r="Y7" s="53"/>
      <c r="Z7" s="53" t="s">
        <v>35</v>
      </c>
      <c r="AA7" s="53"/>
      <c r="AB7" s="53" t="s">
        <v>35</v>
      </c>
      <c r="AC7" s="53"/>
      <c r="AD7" s="53" t="s">
        <v>34</v>
      </c>
      <c r="AE7" s="53"/>
      <c r="AF7" s="53" t="s">
        <v>34</v>
      </c>
      <c r="AG7" s="53"/>
      <c r="AH7" s="53" t="s">
        <v>34</v>
      </c>
      <c r="AI7" s="53"/>
      <c r="AJ7" s="53" t="s">
        <v>33</v>
      </c>
      <c r="AK7" s="53"/>
      <c r="AL7" s="53"/>
      <c r="AM7" s="53" t="s">
        <v>31</v>
      </c>
      <c r="AO7" s="3"/>
      <c r="AP7" s="165"/>
    </row>
    <row r="8" spans="1:50" customFormat="1" x14ac:dyDescent="0.25">
      <c r="B8" s="27" t="s">
        <v>7</v>
      </c>
      <c r="C8" s="221">
        <f>'Project Information'!C11</f>
        <v>0</v>
      </c>
      <c r="D8" s="222"/>
      <c r="E8" s="223"/>
      <c r="F8" s="30"/>
      <c r="I8" s="167" t="s">
        <v>121</v>
      </c>
      <c r="J8" s="228" t="s">
        <v>122</v>
      </c>
      <c r="K8" s="228"/>
      <c r="L8" s="228"/>
      <c r="M8" s="228"/>
      <c r="N8" s="228"/>
      <c r="O8" s="228"/>
      <c r="P8" s="229" t="s">
        <v>123</v>
      </c>
      <c r="Q8" s="229"/>
      <c r="R8" s="229"/>
      <c r="S8" s="229"/>
      <c r="T8" s="229"/>
      <c r="U8" s="229"/>
      <c r="V8" s="229"/>
      <c r="W8" s="229"/>
      <c r="X8" s="224" t="s">
        <v>124</v>
      </c>
      <c r="Y8" s="224"/>
      <c r="Z8" s="224"/>
      <c r="AA8" s="224"/>
      <c r="AB8" s="224"/>
      <c r="AC8" s="224"/>
      <c r="AD8" s="224"/>
      <c r="AE8" s="224"/>
      <c r="AF8" s="224"/>
      <c r="AG8" s="224"/>
      <c r="AH8" s="224"/>
      <c r="AI8" s="224"/>
      <c r="AJ8" s="224"/>
      <c r="AK8" s="224"/>
      <c r="AL8" s="224"/>
      <c r="AM8" s="171" t="s">
        <v>125</v>
      </c>
      <c r="AO8" s="53"/>
      <c r="AP8" s="165"/>
    </row>
    <row r="9" spans="1:50" s="3" customFormat="1" x14ac:dyDescent="0.25">
      <c r="I9" s="172" t="s">
        <v>126</v>
      </c>
      <c r="J9" s="168" t="s">
        <v>127</v>
      </c>
      <c r="K9" s="168"/>
      <c r="L9" s="168" t="s">
        <v>128</v>
      </c>
      <c r="M9" s="168"/>
      <c r="N9" s="168" t="s">
        <v>129</v>
      </c>
      <c r="O9" s="168"/>
      <c r="P9" s="169" t="s">
        <v>130</v>
      </c>
      <c r="Q9" s="169"/>
      <c r="R9" s="169" t="s">
        <v>131</v>
      </c>
      <c r="S9" s="169"/>
      <c r="T9" s="169" t="s">
        <v>132</v>
      </c>
      <c r="U9" s="169"/>
      <c r="V9" s="169" t="s">
        <v>133</v>
      </c>
      <c r="W9" s="169"/>
      <c r="X9" s="170" t="s">
        <v>134</v>
      </c>
      <c r="Y9" s="170"/>
      <c r="Z9" s="170" t="s">
        <v>135</v>
      </c>
      <c r="AA9" s="170"/>
      <c r="AB9" s="170" t="s">
        <v>136</v>
      </c>
      <c r="AC9" s="170"/>
      <c r="AD9" s="170" t="s">
        <v>137</v>
      </c>
      <c r="AE9" s="170"/>
      <c r="AF9" s="170" t="s">
        <v>138</v>
      </c>
      <c r="AG9" s="170"/>
      <c r="AH9" s="170" t="s">
        <v>139</v>
      </c>
      <c r="AI9" s="170"/>
      <c r="AJ9" s="170" t="s">
        <v>140</v>
      </c>
      <c r="AK9" s="170"/>
      <c r="AL9" s="170"/>
      <c r="AM9" s="171" t="s">
        <v>21</v>
      </c>
      <c r="AN9"/>
      <c r="AP9" s="165"/>
    </row>
    <row r="10" spans="1:50" customFormat="1" x14ac:dyDescent="0.25">
      <c r="I10" s="172" t="s">
        <v>24</v>
      </c>
      <c r="J10" s="226" t="s">
        <v>39</v>
      </c>
      <c r="K10" s="226"/>
      <c r="L10" s="226"/>
      <c r="M10" s="226"/>
      <c r="N10" s="226"/>
      <c r="O10" s="226"/>
      <c r="P10" s="230" t="s">
        <v>38</v>
      </c>
      <c r="Q10" s="230"/>
      <c r="R10" s="230"/>
      <c r="S10" s="230"/>
      <c r="T10" s="230"/>
      <c r="U10" s="230"/>
      <c r="V10" s="226" t="s">
        <v>36</v>
      </c>
      <c r="W10" s="226"/>
      <c r="X10" s="226"/>
      <c r="Y10" s="226"/>
      <c r="Z10" s="225" t="s">
        <v>35</v>
      </c>
      <c r="AA10" s="225"/>
      <c r="AB10" s="225"/>
      <c r="AC10" s="225"/>
      <c r="AD10" s="226" t="s">
        <v>34</v>
      </c>
      <c r="AE10" s="226"/>
      <c r="AF10" s="226"/>
      <c r="AG10" s="226"/>
      <c r="AH10" s="226"/>
      <c r="AI10" s="226"/>
      <c r="AJ10" s="227" t="s">
        <v>33</v>
      </c>
      <c r="AK10" s="227"/>
      <c r="AL10" s="227"/>
      <c r="AM10" s="173" t="s">
        <v>31</v>
      </c>
      <c r="AO10" s="54"/>
      <c r="AP10" s="174"/>
    </row>
    <row r="11" spans="1:50" s="174" customFormat="1" ht="68.25" customHeight="1" x14ac:dyDescent="0.25">
      <c r="B11" s="40" t="s">
        <v>41</v>
      </c>
      <c r="C11" s="41" t="s">
        <v>42</v>
      </c>
      <c r="D11" s="41" t="s">
        <v>43</v>
      </c>
      <c r="E11" s="41" t="s">
        <v>141</v>
      </c>
      <c r="F11" s="41" t="s">
        <v>142</v>
      </c>
      <c r="G11" s="41" t="s">
        <v>143</v>
      </c>
      <c r="H11" s="41" t="s">
        <v>144</v>
      </c>
      <c r="I11" s="41" t="s">
        <v>145</v>
      </c>
      <c r="J11" s="41" t="s">
        <v>39</v>
      </c>
      <c r="K11" s="46" t="s">
        <v>146</v>
      </c>
      <c r="L11" s="41" t="s">
        <v>147</v>
      </c>
      <c r="M11" s="46" t="s">
        <v>146</v>
      </c>
      <c r="N11" s="41" t="s">
        <v>148</v>
      </c>
      <c r="O11" s="46" t="s">
        <v>146</v>
      </c>
      <c r="P11" s="41" t="s">
        <v>149</v>
      </c>
      <c r="Q11" s="46" t="s">
        <v>146</v>
      </c>
      <c r="R11" s="41" t="s">
        <v>150</v>
      </c>
      <c r="S11" s="46" t="s">
        <v>146</v>
      </c>
      <c r="T11" s="41" t="s">
        <v>151</v>
      </c>
      <c r="U11" s="46" t="s">
        <v>146</v>
      </c>
      <c r="V11" s="41" t="s">
        <v>152</v>
      </c>
      <c r="W11" s="46" t="s">
        <v>146</v>
      </c>
      <c r="X11" s="41" t="s">
        <v>153</v>
      </c>
      <c r="Y11" s="46" t="s">
        <v>146</v>
      </c>
      <c r="Z11" s="41" t="s">
        <v>154</v>
      </c>
      <c r="AA11" s="46" t="s">
        <v>146</v>
      </c>
      <c r="AB11" s="41" t="s">
        <v>155</v>
      </c>
      <c r="AC11" s="46" t="s">
        <v>146</v>
      </c>
      <c r="AD11" s="41" t="s">
        <v>156</v>
      </c>
      <c r="AE11" s="46" t="s">
        <v>146</v>
      </c>
      <c r="AF11" s="41" t="s">
        <v>157</v>
      </c>
      <c r="AG11" s="46" t="s">
        <v>146</v>
      </c>
      <c r="AH11" s="41" t="s">
        <v>158</v>
      </c>
      <c r="AI11" s="46" t="s">
        <v>146</v>
      </c>
      <c r="AJ11" s="41" t="s">
        <v>159</v>
      </c>
      <c r="AK11" s="46" t="s">
        <v>146</v>
      </c>
      <c r="AL11" s="41" t="s">
        <v>160</v>
      </c>
      <c r="AM11" s="41" t="s">
        <v>161</v>
      </c>
      <c r="AN11" s="41" t="s">
        <v>162</v>
      </c>
      <c r="AO11" s="41" t="s">
        <v>24</v>
      </c>
      <c r="AP11" s="42" t="s">
        <v>163</v>
      </c>
    </row>
    <row r="12" spans="1:50" x14ac:dyDescent="0.25">
      <c r="B12" s="179">
        <v>1</v>
      </c>
      <c r="C12" s="179" t="s">
        <v>44</v>
      </c>
      <c r="D12" s="186" t="s">
        <v>45</v>
      </c>
      <c r="E12" s="179" t="s">
        <v>164</v>
      </c>
      <c r="F12" s="179" t="str">
        <f>_xlfn.XLOOKUP($B12,'Procurement Strategy'!$B$12:$B$1457,'Procurement Strategy'!$P$12:$P$1457,"-",0)</f>
        <v/>
      </c>
      <c r="G12" s="179" t="s">
        <v>165</v>
      </c>
      <c r="H12" s="188">
        <v>46022</v>
      </c>
      <c r="I12" s="126" t="s">
        <v>166</v>
      </c>
      <c r="J12" s="103">
        <f>IFERROR(IF(OR(L12="",K12=""),"",L12-K12),"")</f>
        <v>45936</v>
      </c>
      <c r="K12" s="127">
        <f>INDEX('Work Package Master List'!$C$12:$Y$1000, MATCH($E12, 'Work Package Master List'!$B$12:$B$1000, 0), MATCH(J$11, 'Work Package Master List'!$C$13:$Y$13, 0))</f>
        <v>2</v>
      </c>
      <c r="L12" s="103">
        <f>IFERROR(IF(OR(N12="",M12=""),"",N12-M12),"")</f>
        <v>45938</v>
      </c>
      <c r="M12" s="127">
        <f>INDEX('Work Package Master List'!$C$12:$Y$1000, MATCH($E12, 'Work Package Master List'!$B$12:$B$1000, 0), MATCH(L$11, 'Work Package Master List'!$C$13:$Y$13, 0))</f>
        <v>1</v>
      </c>
      <c r="N12" s="103">
        <f>IFERROR(IF(OR(P12="",O12=""),"",P12-O12),"")</f>
        <v>45939</v>
      </c>
      <c r="O12" s="127">
        <f>INDEX('Work Package Master List'!$C$12:$Y$1000, MATCH($E12, 'Work Package Master List'!$B$12:$B$1000, 0), MATCH(N$11, 'Work Package Master List'!$C$13:$Y$13, 0))</f>
        <v>0</v>
      </c>
      <c r="P12" s="103">
        <f>IFERROR(IF(OR(R12="",Q12=""),"",R12-Q12),"")</f>
        <v>45939</v>
      </c>
      <c r="Q12" s="127">
        <f>INDEX('Work Package Master List'!$C$12:$Y$1000, MATCH($E12, 'Work Package Master List'!$B$12:$B$1000, 0), MATCH(P$11, 'Work Package Master List'!$C$13:$Y$13, 0))</f>
        <v>14</v>
      </c>
      <c r="R12" s="103">
        <f>IFERROR(IF(OR(T12="",S12=""),"",T12-S12),"")</f>
        <v>45953</v>
      </c>
      <c r="S12" s="127">
        <f>INDEX('Work Package Master List'!$C$12:$Y$1000, MATCH($E12, 'Work Package Master List'!$B$12:$B$1000, 0), MATCH(R$11, 'Work Package Master List'!$C$13:$Y$13, 0))</f>
        <v>10</v>
      </c>
      <c r="T12" s="103">
        <f>IFERROR(IF(OR(V12="",U12=""),"",V12-U12),"")</f>
        <v>45963</v>
      </c>
      <c r="U12" s="127">
        <f>INDEX('Work Package Master List'!$C$12:$Y$1000, MATCH($E12, 'Work Package Master List'!$B$12:$B$1000, 0), MATCH(T$11, 'Work Package Master List'!$C$13:$Y$13, 0))</f>
        <v>1</v>
      </c>
      <c r="V12" s="103">
        <f>IFERROR(IF(OR(X12="",W12=""),"",X12-W12),"")</f>
        <v>45964</v>
      </c>
      <c r="W12" s="127">
        <f>INDEX('Work Package Master List'!$C$12:$Y$1000, MATCH($E12, 'Work Package Master List'!$B$12:$B$1000, 0), MATCH(V$11, 'Work Package Master List'!$C$13:$Y$13, 0))</f>
        <v>3</v>
      </c>
      <c r="X12" s="103">
        <f>IFERROR(IF(OR(Z12="",Y12=""),"",Z12-Y12),"")</f>
        <v>45967</v>
      </c>
      <c r="Y12" s="127">
        <f>INDEX('Work Package Master List'!$C$12:$Y$1000, MATCH($E12, 'Work Package Master List'!$B$12:$B$1000, 0), MATCH(X$11, 'Work Package Master List'!$C$13:$Y$13, 0))</f>
        <v>2</v>
      </c>
      <c r="Z12" s="103">
        <f>IFERROR(IF(OR(AB12="",AA12=""),"",AB12-AA12),"")</f>
        <v>45969</v>
      </c>
      <c r="AA12" s="127">
        <f>INDEX('Work Package Master List'!$C$12:$Y$1000, MATCH($E12, 'Work Package Master List'!$B$12:$B$1000, 0), MATCH(Z$11, 'Work Package Master List'!$C$13:$Y$13, 0))</f>
        <v>7</v>
      </c>
      <c r="AB12" s="103">
        <f>IFERROR(IF(OR(AD12="",AC12=""),"",AD12-AC12),"")</f>
        <v>45976</v>
      </c>
      <c r="AC12" s="127">
        <f>INDEX('Work Package Master List'!$C$12:$Y$1000, MATCH($E12, 'Work Package Master List'!$B$12:$B$1000, 0), MATCH(AB$11, 'Work Package Master List'!$C$13:$Y$13, 0))</f>
        <v>5</v>
      </c>
      <c r="AD12" s="103">
        <f>IFERROR(IF(OR(AF12="",AE12=""),"",AF12-AE12),"")</f>
        <v>45981</v>
      </c>
      <c r="AE12" s="127">
        <f>INDEX('Work Package Master List'!$C$12:$Y$1000, MATCH($E12, 'Work Package Master List'!$B$12:$B$1000, 0), MATCH(AD$11, 'Work Package Master List'!$C$13:$Y$13, 0))</f>
        <v>1</v>
      </c>
      <c r="AF12" s="103">
        <f>IFERROR(IF(OR(AH12="",AG12=""),"",AH12-AG12),"")</f>
        <v>45982</v>
      </c>
      <c r="AG12" s="127">
        <f>INDEX('Work Package Master List'!$C$12:$Y$1000, MATCH($E12, 'Work Package Master List'!$B$12:$B$1000, 0), MATCH(AF$11, 'Work Package Master List'!$C$13:$Y$13, 0))</f>
        <v>2</v>
      </c>
      <c r="AH12" s="103">
        <f>IFERROR(IF(OR(AJ12="",AI12=""),"",AJ12-AI12),"")</f>
        <v>45984</v>
      </c>
      <c r="AI12" s="127">
        <f>INDEX('Work Package Master List'!$C$12:$Y$1000, MATCH($E12, 'Work Package Master List'!$B$12:$B$1000, 0), MATCH(AH$11, 'Work Package Master List'!$C$13:$Y$13, 0))</f>
        <v>2</v>
      </c>
      <c r="AJ12" s="103">
        <f>IFERROR(IF(OR(AM12="",AK12=""),"",AM12-AK12),"")</f>
        <v>45986</v>
      </c>
      <c r="AK12" s="127">
        <f>INDEX('Work Package Master List'!$C$12:$Y$1000, MATCH($E12, 'Work Package Master List'!$B$12:$B$1000, 0), MATCH(AJ$11, 'Work Package Master List'!$C$13:$Y$13, 0))</f>
        <v>5</v>
      </c>
      <c r="AL12" s="179"/>
      <c r="AM12" s="103">
        <v>45991</v>
      </c>
      <c r="AN12" s="190">
        <f>IF(MAX($H12,$AM13,$AJ13,$AH13,$AF13,$AD13,$AB13,$Z13,$X13,$V13,$T13,$R13,$P13,$N13,$L13,$J13) = 0,"",MAX($H12,$AM13,$AJ13,$AH13,$AF13,$AD13,$AB13,$Z13,$X13,$V13,$T13,$R13,$P13,$N13,$L13,$J13))</f>
        <v>46305</v>
      </c>
      <c r="AO12" s="179" t="str">
        <f>_xlfn.IFNA(INDEX($J$7:$AM$7,_xlfn.XMATCH(MAX($AM13,$AJ13,$AH13,$AF13,$AD13,$AB13,$Z13,$X13,$V13,$T13,$R13,$P13,$N13,$L13,$J13),$J13:$AM13,0,-1)),"Awaiting DTP")</f>
        <v>DTP Received</v>
      </c>
      <c r="AP12" s="203" t="s">
        <v>167</v>
      </c>
      <c r="AU12" s="16" t="s">
        <v>167</v>
      </c>
      <c r="AX12" s="178"/>
    </row>
    <row r="13" spans="1:50" x14ac:dyDescent="0.25">
      <c r="B13" s="180"/>
      <c r="C13" s="180"/>
      <c r="D13" s="187"/>
      <c r="E13" s="180"/>
      <c r="F13" s="180"/>
      <c r="G13" s="180"/>
      <c r="H13" s="189"/>
      <c r="I13" s="105" t="s">
        <v>168</v>
      </c>
      <c r="J13" s="111">
        <v>46305</v>
      </c>
      <c r="K13" s="105"/>
      <c r="L13" s="111"/>
      <c r="M13" s="105"/>
      <c r="N13" s="111"/>
      <c r="O13" s="105"/>
      <c r="P13" s="111"/>
      <c r="Q13" s="105"/>
      <c r="R13" s="111"/>
      <c r="S13" s="105"/>
      <c r="T13" s="111"/>
      <c r="U13" s="105"/>
      <c r="V13" s="111"/>
      <c r="W13" s="105"/>
      <c r="X13" s="111"/>
      <c r="Y13" s="105"/>
      <c r="Z13" s="111"/>
      <c r="AA13" s="105"/>
      <c r="AB13" s="111"/>
      <c r="AC13" s="105"/>
      <c r="AD13" s="111"/>
      <c r="AE13" s="105"/>
      <c r="AF13" s="111"/>
      <c r="AG13" s="105"/>
      <c r="AH13" s="111"/>
      <c r="AI13" s="105"/>
      <c r="AJ13" s="111">
        <v>46023</v>
      </c>
      <c r="AK13" s="105"/>
      <c r="AL13" s="180"/>
      <c r="AM13" s="111">
        <v>46023</v>
      </c>
      <c r="AN13" s="191"/>
      <c r="AO13" s="180"/>
      <c r="AP13" s="204"/>
      <c r="AR13" s="16" t="s">
        <v>169</v>
      </c>
    </row>
    <row r="14" spans="1:50" x14ac:dyDescent="0.25">
      <c r="B14" s="179">
        <v>2</v>
      </c>
      <c r="C14" s="179" t="s">
        <v>44</v>
      </c>
      <c r="D14" s="186" t="s">
        <v>46</v>
      </c>
      <c r="E14" s="179" t="s">
        <v>170</v>
      </c>
      <c r="F14" s="179" t="str">
        <f>_xlfn.XLOOKUP($B14,'Procurement Strategy'!$B$12:$B$1452,'Procurement Strategy'!$P$12:$P$1452,"-",0)</f>
        <v/>
      </c>
      <c r="G14" s="179" t="s">
        <v>165</v>
      </c>
      <c r="H14" s="188">
        <v>46022</v>
      </c>
      <c r="I14" s="126" t="s">
        <v>166</v>
      </c>
      <c r="J14" s="103">
        <f>IFERROR(IF(OR(L14="",K14=""),"",L14-K14),"")</f>
        <v>46347</v>
      </c>
      <c r="K14" s="127">
        <f>INDEX('Work Package Master List'!$C$12:$Y$1000, MATCH($E14, 'Work Package Master List'!$B$12:$B$1000, 0), MATCH(J$11, 'Work Package Master List'!$C$13:$Y$13, 0))</f>
        <v>2</v>
      </c>
      <c r="L14" s="103">
        <f>IFERROR(IF(OR(N14="",M14=""),"",N14-M14),"")</f>
        <v>46349</v>
      </c>
      <c r="M14" s="127">
        <f>INDEX('Work Package Master List'!$C$12:$Y$1000, MATCH($E14, 'Work Package Master List'!$B$12:$B$1000, 0), MATCH(L$11, 'Work Package Master List'!$C$13:$Y$13, 0))</f>
        <v>1</v>
      </c>
      <c r="N14" s="103">
        <f>IFERROR(IF(OR(P14="",O14=""),"",P14-O14),"")</f>
        <v>46350</v>
      </c>
      <c r="O14" s="127">
        <f>INDEX('Work Package Master List'!$C$12:$Y$1000, MATCH($E14, 'Work Package Master List'!$B$12:$B$1000, 0), MATCH(N$11, 'Work Package Master List'!$C$13:$Y$13, 0))</f>
        <v>0</v>
      </c>
      <c r="P14" s="103">
        <f>IFERROR(IF(OR(R14="",Q14=""),"",R14-Q14),"")</f>
        <v>46350</v>
      </c>
      <c r="Q14" s="127">
        <f>INDEX('Work Package Master List'!$C$12:$Y$1000, MATCH($E14, 'Work Package Master List'!$B$12:$B$1000, 0), MATCH(P$11, 'Work Package Master List'!$C$13:$Y$13, 0))</f>
        <v>10</v>
      </c>
      <c r="R14" s="103">
        <f>IFERROR(IF(OR(T14="",S14=""),"",T14-S14),"")</f>
        <v>46360</v>
      </c>
      <c r="S14" s="127">
        <f>INDEX('Work Package Master List'!$C$12:$Y$1000, MATCH($E14, 'Work Package Master List'!$B$12:$B$1000, 0), MATCH(R$11, 'Work Package Master List'!$C$13:$Y$13, 0))</f>
        <v>5</v>
      </c>
      <c r="T14" s="103">
        <f>IFERROR(IF(OR(V14="",U14=""),"",V14-U14),"")</f>
        <v>46365</v>
      </c>
      <c r="U14" s="127">
        <f>INDEX('Work Package Master List'!$C$12:$Y$1000, MATCH($E14, 'Work Package Master List'!$B$12:$B$1000, 0), MATCH(T$11, 'Work Package Master List'!$C$13:$Y$13, 0))</f>
        <v>1</v>
      </c>
      <c r="V14" s="103">
        <f>IFERROR(IF(OR(X14="",W14=""),"",X14-W14),"")</f>
        <v>46366</v>
      </c>
      <c r="W14" s="127">
        <f>INDEX('Work Package Master List'!$C$12:$Y$1000, MATCH($E14, 'Work Package Master List'!$B$12:$B$1000, 0), MATCH(V$11, 'Work Package Master List'!$C$13:$Y$13, 0))</f>
        <v>3</v>
      </c>
      <c r="X14" s="103">
        <f>IFERROR(IF(OR(Z14="",Y14=""),"",Z14-Y14),"")</f>
        <v>46369</v>
      </c>
      <c r="Y14" s="127">
        <f>INDEX('Work Package Master List'!$C$12:$Y$1000, MATCH($E14, 'Work Package Master List'!$B$12:$B$1000, 0), MATCH(X$11, 'Work Package Master List'!$C$13:$Y$13, 0))</f>
        <v>2</v>
      </c>
      <c r="Z14" s="103">
        <f>IFERROR(IF(OR(AB14="",AA14=""),"",AB14-AA14),"")</f>
        <v>46371</v>
      </c>
      <c r="AA14" s="127">
        <f>INDEX('Work Package Master List'!$C$12:$Y$1000, MATCH($E14, 'Work Package Master List'!$B$12:$B$1000, 0), MATCH(Z$11, 'Work Package Master List'!$C$13:$Y$13, 0))</f>
        <v>3</v>
      </c>
      <c r="AB14" s="103">
        <f>IFERROR(IF(OR(AD14="",AC14=""),"",AD14-AC14),"")</f>
        <v>46374</v>
      </c>
      <c r="AC14" s="127">
        <f>INDEX('Work Package Master List'!$C$12:$Y$1000, MATCH($E14, 'Work Package Master List'!$B$12:$B$1000, 0), MATCH(AB$11, 'Work Package Master List'!$C$13:$Y$13, 0))</f>
        <v>3</v>
      </c>
      <c r="AD14" s="103">
        <f>IFERROR(IF(OR(AF14="",AE14=""),"",AF14-AE14),"")</f>
        <v>46377</v>
      </c>
      <c r="AE14" s="127">
        <f>INDEX('Work Package Master List'!$C$12:$Y$1000, MATCH($E14, 'Work Package Master List'!$B$12:$B$1000, 0), MATCH(AD$11, 'Work Package Master List'!$C$13:$Y$13, 0))</f>
        <v>1</v>
      </c>
      <c r="AF14" s="103">
        <f>IFERROR(IF(OR(AH14="",AG14=""),"",AH14-AG14),"")</f>
        <v>46378</v>
      </c>
      <c r="AG14" s="127">
        <f>INDEX('Work Package Master List'!$C$12:$Y$1000, MATCH($E14, 'Work Package Master List'!$B$12:$B$1000, 0), MATCH(AF$11, 'Work Package Master List'!$C$13:$Y$13, 0))</f>
        <v>2</v>
      </c>
      <c r="AH14" s="103">
        <f>IFERROR(IF(OR(AJ14="",AI14=""),"",AJ14-AI14),"")</f>
        <v>46380</v>
      </c>
      <c r="AI14" s="127">
        <f>INDEX('Work Package Master List'!$C$12:$Y$1000, MATCH($E14, 'Work Package Master List'!$B$12:$B$1000, 0), MATCH(AH$11, 'Work Package Master List'!$C$13:$Y$13, 0))</f>
        <v>2</v>
      </c>
      <c r="AJ14" s="103">
        <f>IFERROR(IF(OR(AM14="",AK14=""),"",AM14-AK14),"")</f>
        <v>46382</v>
      </c>
      <c r="AK14" s="127">
        <f>INDEX('Work Package Master List'!$C$12:$Y$1000, MATCH($E14, 'Work Package Master List'!$B$12:$B$1000, 0), MATCH(AJ$11, 'Work Package Master List'!$C$13:$Y$13, 0))</f>
        <v>5</v>
      </c>
      <c r="AL14" s="179"/>
      <c r="AM14" s="103">
        <v>46387</v>
      </c>
      <c r="AN14" s="190">
        <f>IF(MAX($H14,$AM15,$AJ15,$AH15,$AF15,$AD15,$AB15,$Z15,$X15,$V15,$T15,$R15,$P15,$N15,$L15,$J15) = 0,"",MAX($H14,$AM15,$AJ15,$AH15,$AF15,$AD15,$AB15,$Z15,$X15,$V15,$T15,$R15,$P15,$N15,$L15,$J15))</f>
        <v>46024</v>
      </c>
      <c r="AO14" s="179" t="str">
        <f>_xlfn.IFNA(INDEX($J$7:$AM$7,_xlfn.XMATCH(MAX($AM15,$AJ15,$AH15,$AF15,$AD15,$AB15,$Z15,$X15,$V15,$T15,$R15,$P15,$N15,$L15,$J15),$J15:$AM15,0,-1)),"Awaiting DTP")</f>
        <v>Awarded</v>
      </c>
      <c r="AP14" s="203" t="s">
        <v>167</v>
      </c>
      <c r="AU14" s="16" t="s">
        <v>167</v>
      </c>
    </row>
    <row r="15" spans="1:50" x14ac:dyDescent="0.25">
      <c r="B15" s="180"/>
      <c r="C15" s="180"/>
      <c r="D15" s="187"/>
      <c r="E15" s="180"/>
      <c r="F15" s="180"/>
      <c r="G15" s="180"/>
      <c r="H15" s="189"/>
      <c r="I15" s="105" t="s">
        <v>168</v>
      </c>
      <c r="J15" s="111">
        <v>45683</v>
      </c>
      <c r="K15" s="105"/>
      <c r="L15" s="111">
        <v>45683</v>
      </c>
      <c r="M15" s="105"/>
      <c r="N15" s="111">
        <v>45683</v>
      </c>
      <c r="O15" s="105"/>
      <c r="P15" s="111">
        <v>45683</v>
      </c>
      <c r="Q15" s="105"/>
      <c r="R15" s="111">
        <v>45684</v>
      </c>
      <c r="S15" s="105"/>
      <c r="T15" s="111">
        <v>45690</v>
      </c>
      <c r="U15" s="105"/>
      <c r="V15" s="111">
        <v>45691</v>
      </c>
      <c r="W15" s="105"/>
      <c r="X15" s="111">
        <v>45691</v>
      </c>
      <c r="Y15" s="105"/>
      <c r="Z15" s="111">
        <v>45691</v>
      </c>
      <c r="AA15" s="105"/>
      <c r="AB15" s="111">
        <v>45691</v>
      </c>
      <c r="AC15" s="105"/>
      <c r="AD15" s="111">
        <v>45692</v>
      </c>
      <c r="AE15" s="105"/>
      <c r="AF15" s="111">
        <v>45692</v>
      </c>
      <c r="AG15" s="105"/>
      <c r="AH15" s="111"/>
      <c r="AI15" s="105"/>
      <c r="AJ15" s="111">
        <v>46024</v>
      </c>
      <c r="AK15" s="105"/>
      <c r="AL15" s="180"/>
      <c r="AM15" s="111">
        <v>46024</v>
      </c>
      <c r="AN15" s="191"/>
      <c r="AO15" s="180"/>
      <c r="AP15" s="204"/>
    </row>
    <row r="16" spans="1:50" x14ac:dyDescent="0.25">
      <c r="B16" s="179">
        <v>3</v>
      </c>
      <c r="C16" s="179" t="s">
        <v>44</v>
      </c>
      <c r="D16" s="186" t="s">
        <v>47</v>
      </c>
      <c r="E16" s="179" t="s">
        <v>171</v>
      </c>
      <c r="F16" s="179" t="str">
        <f>_xlfn.XLOOKUP($B16,'Procurement Strategy'!$B$12:$B$1442,'Procurement Strategy'!$P$12:$P$1442,"-",0)</f>
        <v>Yes</v>
      </c>
      <c r="G16" s="180" t="s">
        <v>172</v>
      </c>
      <c r="H16" s="188">
        <v>46022</v>
      </c>
      <c r="I16" s="126" t="s">
        <v>166</v>
      </c>
      <c r="J16" s="103">
        <f>IFERROR(IF(OR(L16="",K16=""),"",L16-K16),"")</f>
        <v>45966</v>
      </c>
      <c r="K16" s="127">
        <f>INDEX('Work Package Master List'!$C$12:$Y$1000, MATCH($E16, 'Work Package Master List'!$B$12:$B$1000, 0), MATCH(J$11, 'Work Package Master List'!$C$13:$Y$13, 0))</f>
        <v>2</v>
      </c>
      <c r="L16" s="103">
        <f>IFERROR(IF(OR(N16="",M16=""),"",N16-M16),"")</f>
        <v>45968</v>
      </c>
      <c r="M16" s="127">
        <f>INDEX('Work Package Master List'!$C$12:$Y$1000, MATCH($E16, 'Work Package Master List'!$B$12:$B$1000, 0), MATCH(L$11, 'Work Package Master List'!$C$13:$Y$13, 0))</f>
        <v>1</v>
      </c>
      <c r="N16" s="103">
        <f>IFERROR(IF(OR(P16="",O16=""),"",P16-O16),"")</f>
        <v>45969</v>
      </c>
      <c r="O16" s="127">
        <f>INDEX('Work Package Master List'!$C$12:$Y$1000, MATCH($E16, 'Work Package Master List'!$B$12:$B$1000, 0), MATCH(N$11, 'Work Package Master List'!$C$13:$Y$13, 0))</f>
        <v>0</v>
      </c>
      <c r="P16" s="103">
        <f>IFERROR(IF(OR(R16="",Q16=""),"",R16-Q16),"")</f>
        <v>45969</v>
      </c>
      <c r="Q16" s="127">
        <f>INDEX('Work Package Master List'!$C$12:$Y$1000, MATCH($E16, 'Work Package Master List'!$B$12:$B$1000, 0), MATCH(P$11, 'Work Package Master List'!$C$13:$Y$13, 0))</f>
        <v>10</v>
      </c>
      <c r="R16" s="103">
        <f>IFERROR(IF(OR(T16="",S16=""),"",T16-S16),"")</f>
        <v>45979</v>
      </c>
      <c r="S16" s="127">
        <f>INDEX('Work Package Master List'!$C$12:$Y$1000, MATCH($E16, 'Work Package Master List'!$B$12:$B$1000, 0), MATCH(R$11, 'Work Package Master List'!$C$13:$Y$13, 0))</f>
        <v>5</v>
      </c>
      <c r="T16" s="103">
        <f>IFERROR(IF(OR(V16="",U16=""),"",V16-U16),"")</f>
        <v>45984</v>
      </c>
      <c r="U16" s="127">
        <f>INDEX('Work Package Master List'!$C$12:$Y$1000, MATCH($E16, 'Work Package Master List'!$B$12:$B$1000, 0), MATCH(T$11, 'Work Package Master List'!$C$13:$Y$13, 0))</f>
        <v>1</v>
      </c>
      <c r="V16" s="103">
        <f>IFERROR(IF(OR(X16="",W16=""),"",X16-W16),"")</f>
        <v>45985</v>
      </c>
      <c r="W16" s="127">
        <f>INDEX('Work Package Master List'!$C$12:$Y$1000, MATCH($E16, 'Work Package Master List'!$B$12:$B$1000, 0), MATCH(V$11, 'Work Package Master List'!$C$13:$Y$13, 0))</f>
        <v>3</v>
      </c>
      <c r="X16" s="103">
        <f>IFERROR(IF(OR(Z16="",Y16=""),"",Z16-Y16),"")</f>
        <v>45988</v>
      </c>
      <c r="Y16" s="127">
        <f>INDEX('Work Package Master List'!$C$12:$Y$1000, MATCH($E16, 'Work Package Master List'!$B$12:$B$1000, 0), MATCH(X$11, 'Work Package Master List'!$C$13:$Y$13, 0))</f>
        <v>2</v>
      </c>
      <c r="Z16" s="103">
        <f>IFERROR(IF(OR(AB16="",AA16=""),"",AB16-AA16),"")</f>
        <v>45990</v>
      </c>
      <c r="AA16" s="127">
        <f>INDEX('Work Package Master List'!$C$12:$Y$1000, MATCH($E16, 'Work Package Master List'!$B$12:$B$1000, 0), MATCH(Z$11, 'Work Package Master List'!$C$13:$Y$13, 0))</f>
        <v>3</v>
      </c>
      <c r="AB16" s="103">
        <f>IFERROR(IF(OR(AD16="",AC16=""),"",AD16-AC16),"")</f>
        <v>45993</v>
      </c>
      <c r="AC16" s="127">
        <f>INDEX('Work Package Master List'!$C$12:$Y$1000, MATCH($E16, 'Work Package Master List'!$B$12:$B$1000, 0), MATCH(AB$11, 'Work Package Master List'!$C$13:$Y$13, 0))</f>
        <v>3</v>
      </c>
      <c r="AD16" s="103">
        <f>IFERROR(IF(OR(AF16="",AE16=""),"",AF16-AE16),"")</f>
        <v>45996</v>
      </c>
      <c r="AE16" s="127">
        <f>INDEX('Work Package Master List'!$C$12:$Y$1000, MATCH($E16, 'Work Package Master List'!$B$12:$B$1000, 0), MATCH(AD$11, 'Work Package Master List'!$C$13:$Y$13, 0))</f>
        <v>1</v>
      </c>
      <c r="AF16" s="103">
        <f>IFERROR(IF(OR(AH16="",AG16=""),"",AH16-AG16),"")</f>
        <v>45997</v>
      </c>
      <c r="AG16" s="127">
        <f>INDEX('Work Package Master List'!$C$12:$Y$1000, MATCH($E16, 'Work Package Master List'!$B$12:$B$1000, 0), MATCH(AF$11, 'Work Package Master List'!$C$13:$Y$13, 0))</f>
        <v>2</v>
      </c>
      <c r="AH16" s="103">
        <f>IFERROR(IF(OR(AJ16="",AI16=""),"",AJ16-AI16),"")</f>
        <v>45999</v>
      </c>
      <c r="AI16" s="127">
        <f>INDEX('Work Package Master List'!$C$12:$Y$1000, MATCH($E16, 'Work Package Master List'!$B$12:$B$1000, 0), MATCH(AH$11, 'Work Package Master List'!$C$13:$Y$13, 0))</f>
        <v>2</v>
      </c>
      <c r="AJ16" s="103">
        <f>IFERROR(IF(OR(AM16="",AK16=""),"",AM16-AK16),"")</f>
        <v>46001</v>
      </c>
      <c r="AK16" s="127">
        <f>INDEX('Work Package Master List'!$C$12:$Y$1000, MATCH($E16, 'Work Package Master List'!$B$12:$B$1000, 0), MATCH(AJ$11, 'Work Package Master List'!$C$13:$Y$13, 0))</f>
        <v>5</v>
      </c>
      <c r="AL16" s="179">
        <v>15202</v>
      </c>
      <c r="AM16" s="103">
        <v>46006</v>
      </c>
      <c r="AN16" s="190">
        <f>IF(MAX($H16,$AM17,$AJ17,$AH17,$AF17,$AD17,$AB17,$Z17,$X17,$V17,$T17,$R17,$P17,$N17,$L17,$J17) = 0,"",MAX($H16,$AM17,$AJ17,$AH17,$AF17,$AD17,$AB17,$Z17,$X17,$V17,$T17,$R17,$P17,$N17,$L17,$J17))</f>
        <v>46126</v>
      </c>
      <c r="AO16" s="179" t="str">
        <f>_xlfn.IFNA(INDEX($J$7:$AM$7,_xlfn.XMATCH(MAX($AM17,$AJ17,$AH17,$AF17,$AD17,$AB17,$Z17,$X17,$V17,$T17,$R17,$P17,$N17,$L17,$J17),$J17:$AM17,0,-1)),"Awaiting DTP")</f>
        <v>Awarded</v>
      </c>
      <c r="AP16" s="203" t="s">
        <v>173</v>
      </c>
      <c r="AU16" s="16" t="s">
        <v>173</v>
      </c>
    </row>
    <row r="17" spans="2:47" x14ac:dyDescent="0.25">
      <c r="B17" s="180"/>
      <c r="C17" s="180"/>
      <c r="D17" s="187"/>
      <c r="E17" s="180"/>
      <c r="F17" s="180"/>
      <c r="G17" s="199"/>
      <c r="H17" s="189"/>
      <c r="I17" s="105" t="s">
        <v>168</v>
      </c>
      <c r="J17" s="111">
        <v>46013</v>
      </c>
      <c r="K17" s="105"/>
      <c r="L17" s="111"/>
      <c r="M17" s="105"/>
      <c r="N17" s="111"/>
      <c r="O17" s="105"/>
      <c r="P17" s="111"/>
      <c r="Q17" s="105"/>
      <c r="R17" s="111"/>
      <c r="S17" s="105"/>
      <c r="T17" s="111"/>
      <c r="U17" s="105"/>
      <c r="V17" s="111"/>
      <c r="W17" s="105"/>
      <c r="X17" s="111"/>
      <c r="Y17" s="105"/>
      <c r="Z17" s="111"/>
      <c r="AA17" s="105"/>
      <c r="AB17" s="111"/>
      <c r="AC17" s="105"/>
      <c r="AD17" s="111"/>
      <c r="AE17" s="105"/>
      <c r="AF17" s="111"/>
      <c r="AG17" s="105"/>
      <c r="AH17" s="111"/>
      <c r="AI17" s="105"/>
      <c r="AJ17" s="111"/>
      <c r="AK17" s="105"/>
      <c r="AL17" s="180"/>
      <c r="AM17" s="111">
        <v>46126</v>
      </c>
      <c r="AN17" s="191"/>
      <c r="AO17" s="180"/>
      <c r="AP17" s="204"/>
    </row>
    <row r="18" spans="2:47" x14ac:dyDescent="0.25">
      <c r="B18" s="179">
        <v>4</v>
      </c>
      <c r="C18" s="179" t="s">
        <v>44</v>
      </c>
      <c r="D18" s="186" t="s">
        <v>48</v>
      </c>
      <c r="E18" s="179" t="s">
        <v>171</v>
      </c>
      <c r="F18" s="179" t="str">
        <f>_xlfn.XLOOKUP($B18,'Procurement Strategy'!$B$12:$B$1432,'Procurement Strategy'!$P$12:$P$1432,"-",0)</f>
        <v>Yes</v>
      </c>
      <c r="G18" s="180" t="s">
        <v>172</v>
      </c>
      <c r="H18" s="188">
        <v>46022</v>
      </c>
      <c r="I18" s="126" t="s">
        <v>166</v>
      </c>
      <c r="J18" s="103">
        <f>IFERROR(IF(OR(L18="",K18=""),"",L18-K18),"")</f>
        <v>45966</v>
      </c>
      <c r="K18" s="127">
        <f>INDEX('Work Package Master List'!$C$12:$Y$1000, MATCH($E18, 'Work Package Master List'!$B$12:$B$1000, 0), MATCH(J$11, 'Work Package Master List'!$C$13:$Y$13, 0))</f>
        <v>2</v>
      </c>
      <c r="L18" s="103">
        <f>IFERROR(IF(OR(N18="",M18=""),"",N18-M18),"")</f>
        <v>45968</v>
      </c>
      <c r="M18" s="127">
        <f>INDEX('Work Package Master List'!$C$12:$Y$1000, MATCH($E18, 'Work Package Master List'!$B$12:$B$1000, 0), MATCH(L$11, 'Work Package Master List'!$C$13:$Y$13, 0))</f>
        <v>1</v>
      </c>
      <c r="N18" s="103">
        <f>IFERROR(IF(OR(P18="",O18=""),"",P18-O18),"")</f>
        <v>45969</v>
      </c>
      <c r="O18" s="127">
        <f>INDEX('Work Package Master List'!$C$12:$Y$1000, MATCH($E18, 'Work Package Master List'!$B$12:$B$1000, 0), MATCH(N$11, 'Work Package Master List'!$C$13:$Y$13, 0))</f>
        <v>0</v>
      </c>
      <c r="P18" s="103">
        <f>IFERROR(IF(OR(R18="",Q18=""),"",R18-Q18),"")</f>
        <v>45969</v>
      </c>
      <c r="Q18" s="127">
        <f>INDEX('Work Package Master List'!$C$12:$Y$1000, MATCH($E18, 'Work Package Master List'!$B$12:$B$1000, 0), MATCH(P$11, 'Work Package Master List'!$C$13:$Y$13, 0))</f>
        <v>10</v>
      </c>
      <c r="R18" s="103">
        <f>IFERROR(IF(OR(T18="",S18=""),"",T18-S18),"")</f>
        <v>45979</v>
      </c>
      <c r="S18" s="127">
        <f>INDEX('Work Package Master List'!$C$12:$Y$1000, MATCH($E18, 'Work Package Master List'!$B$12:$B$1000, 0), MATCH(R$11, 'Work Package Master List'!$C$13:$Y$13, 0))</f>
        <v>5</v>
      </c>
      <c r="T18" s="103">
        <f>IFERROR(IF(OR(V18="",U18=""),"",V18-U18),"")</f>
        <v>45984</v>
      </c>
      <c r="U18" s="127">
        <f>INDEX('Work Package Master List'!$C$12:$Y$1000, MATCH($E18, 'Work Package Master List'!$B$12:$B$1000, 0), MATCH(T$11, 'Work Package Master List'!$C$13:$Y$13, 0))</f>
        <v>1</v>
      </c>
      <c r="V18" s="103">
        <f>IFERROR(IF(OR(X18="",W18=""),"",X18-W18),"")</f>
        <v>45985</v>
      </c>
      <c r="W18" s="127">
        <f>INDEX('Work Package Master List'!$C$12:$Y$1000, MATCH($E18, 'Work Package Master List'!$B$12:$B$1000, 0), MATCH(V$11, 'Work Package Master List'!$C$13:$Y$13, 0))</f>
        <v>3</v>
      </c>
      <c r="X18" s="103">
        <f>IFERROR(IF(OR(Z18="",Y18=""),"",Z18-Y18),"")</f>
        <v>45988</v>
      </c>
      <c r="Y18" s="127">
        <f>INDEX('Work Package Master List'!$C$12:$Y$1000, MATCH($E18, 'Work Package Master List'!$B$12:$B$1000, 0), MATCH(X$11, 'Work Package Master List'!$C$13:$Y$13, 0))</f>
        <v>2</v>
      </c>
      <c r="Z18" s="103">
        <f>IFERROR(IF(OR(AB18="",AA18=""),"",AB18-AA18),"")</f>
        <v>45990</v>
      </c>
      <c r="AA18" s="127">
        <f>INDEX('Work Package Master List'!$C$12:$Y$1000, MATCH($E18, 'Work Package Master List'!$B$12:$B$1000, 0), MATCH(Z$11, 'Work Package Master List'!$C$13:$Y$13, 0))</f>
        <v>3</v>
      </c>
      <c r="AB18" s="103">
        <f>IFERROR(IF(OR(AD18="",AC18=""),"",AD18-AC18),"")</f>
        <v>45993</v>
      </c>
      <c r="AC18" s="127">
        <f>INDEX('Work Package Master List'!$C$12:$Y$1000, MATCH($E18, 'Work Package Master List'!$B$12:$B$1000, 0), MATCH(AB$11, 'Work Package Master List'!$C$13:$Y$13, 0))</f>
        <v>3</v>
      </c>
      <c r="AD18" s="103">
        <f>IFERROR(IF(OR(AF18="",AE18=""),"",AF18-AE18),"")</f>
        <v>45996</v>
      </c>
      <c r="AE18" s="127">
        <f>INDEX('Work Package Master List'!$C$12:$Y$1000, MATCH($E18, 'Work Package Master List'!$B$12:$B$1000, 0), MATCH(AD$11, 'Work Package Master List'!$C$13:$Y$13, 0))</f>
        <v>1</v>
      </c>
      <c r="AF18" s="103">
        <f>IFERROR(IF(OR(AH18="",AG18=""),"",AH18-AG18),"")</f>
        <v>45997</v>
      </c>
      <c r="AG18" s="127">
        <f>INDEX('Work Package Master List'!$C$12:$Y$1000, MATCH($E18, 'Work Package Master List'!$B$12:$B$1000, 0), MATCH(AF$11, 'Work Package Master List'!$C$13:$Y$13, 0))</f>
        <v>2</v>
      </c>
      <c r="AH18" s="103">
        <f>IFERROR(IF(OR(AJ18="",AI18=""),"",AJ18-AI18),"")</f>
        <v>45999</v>
      </c>
      <c r="AI18" s="127">
        <f>INDEX('Work Package Master List'!$C$12:$Y$1000, MATCH($E18, 'Work Package Master List'!$B$12:$B$1000, 0), MATCH(AH$11, 'Work Package Master List'!$C$13:$Y$13, 0))</f>
        <v>2</v>
      </c>
      <c r="AJ18" s="103">
        <f>IFERROR(IF(OR(AM18="",AK18=""),"",AM18-AK18),"")</f>
        <v>46001</v>
      </c>
      <c r="AK18" s="127">
        <f>INDEX('Work Package Master List'!$C$12:$Y$1000, MATCH($E18, 'Work Package Master List'!$B$12:$B$1000, 0), MATCH(AJ$11, 'Work Package Master List'!$C$13:$Y$13, 0))</f>
        <v>5</v>
      </c>
      <c r="AL18" s="179">
        <v>15191</v>
      </c>
      <c r="AM18" s="103">
        <v>46006</v>
      </c>
      <c r="AN18" s="190">
        <f>IF(MAX($H18,$AM19,$AJ19,$AH19,$AF19,$AD19,$AB19,$Z19,$X19,$V19,$T19,$R19,$P19,$N19,$L19,$J19) = 0,"",MAX($H18,$AM19,$AJ19,$AH19,$AF19,$AD19,$AB19,$Z19,$X19,$V19,$T19,$R19,$P19,$N19,$L19,$J19))</f>
        <v>46126</v>
      </c>
      <c r="AO18" s="179" t="str">
        <f>_xlfn.IFNA(INDEX($J$7:$AM$7,_xlfn.XMATCH(MAX($AM19,$AJ19,$AH19,$AF19,$AD19,$AB19,$Z19,$X19,$V19,$T19,$R19,$P19,$N19,$L19,$J19),$J19:$AM19,0,-1)),"Awaiting DTP")</f>
        <v>Awarded</v>
      </c>
      <c r="AP18" s="203" t="s">
        <v>174</v>
      </c>
      <c r="AU18" s="16" t="s">
        <v>174</v>
      </c>
    </row>
    <row r="19" spans="2:47" x14ac:dyDescent="0.25">
      <c r="B19" s="180"/>
      <c r="C19" s="180"/>
      <c r="D19" s="187"/>
      <c r="E19" s="180"/>
      <c r="F19" s="180"/>
      <c r="G19" s="199"/>
      <c r="H19" s="189"/>
      <c r="I19" s="105" t="s">
        <v>168</v>
      </c>
      <c r="J19" s="111">
        <v>46013</v>
      </c>
      <c r="K19" s="105"/>
      <c r="L19" s="111"/>
      <c r="M19" s="105"/>
      <c r="N19" s="111"/>
      <c r="O19" s="105"/>
      <c r="P19" s="111"/>
      <c r="Q19" s="105"/>
      <c r="R19" s="111"/>
      <c r="S19" s="105"/>
      <c r="T19" s="111"/>
      <c r="U19" s="105"/>
      <c r="V19" s="111"/>
      <c r="W19" s="105"/>
      <c r="X19" s="111"/>
      <c r="Y19" s="105"/>
      <c r="Z19" s="111"/>
      <c r="AA19" s="105"/>
      <c r="AB19" s="111"/>
      <c r="AC19" s="105"/>
      <c r="AD19" s="111"/>
      <c r="AE19" s="105"/>
      <c r="AF19" s="111"/>
      <c r="AG19" s="105"/>
      <c r="AH19" s="111"/>
      <c r="AI19" s="105"/>
      <c r="AJ19" s="111"/>
      <c r="AK19" s="105"/>
      <c r="AL19" s="180"/>
      <c r="AM19" s="111">
        <v>46126</v>
      </c>
      <c r="AN19" s="191"/>
      <c r="AO19" s="180"/>
      <c r="AP19" s="204"/>
    </row>
    <row r="20" spans="2:47" x14ac:dyDescent="0.25">
      <c r="B20" s="179">
        <v>5</v>
      </c>
      <c r="C20" s="179" t="s">
        <v>44</v>
      </c>
      <c r="D20" s="186" t="s">
        <v>49</v>
      </c>
      <c r="E20" s="179" t="s">
        <v>175</v>
      </c>
      <c r="F20" s="179" t="str">
        <f>_xlfn.XLOOKUP($B20,'Procurement Strategy'!$B$12:$B$1418,'Procurement Strategy'!$P$12:$P$1418,"-",0)</f>
        <v>Yes</v>
      </c>
      <c r="G20" s="179" t="s">
        <v>176</v>
      </c>
      <c r="H20" s="188">
        <v>46022</v>
      </c>
      <c r="I20" s="126" t="s">
        <v>166</v>
      </c>
      <c r="J20" s="103">
        <f>IFERROR(IF(OR(L20="",K20=""),"",L20-K20),"")</f>
        <v>45968</v>
      </c>
      <c r="K20" s="127">
        <f>INDEX('Work Package Master List'!$C$12:$Y$1000, MATCH($E20, 'Work Package Master List'!$B$12:$B$1000, 0), MATCH(J$11, 'Work Package Master List'!$C$13:$Y$13, 0))</f>
        <v>2</v>
      </c>
      <c r="L20" s="103">
        <f>IFERROR(IF(OR(N20="",M20=""),"",N20-M20),"")</f>
        <v>45970</v>
      </c>
      <c r="M20" s="127">
        <f>INDEX('Work Package Master List'!$C$12:$Y$1000, MATCH($E20, 'Work Package Master List'!$B$12:$B$1000, 0), MATCH(L$11, 'Work Package Master List'!$C$13:$Y$13, 0))</f>
        <v>1</v>
      </c>
      <c r="N20" s="103">
        <f>IFERROR(IF(OR(P20="",O20=""),"",P20-O20),"")</f>
        <v>45971</v>
      </c>
      <c r="O20" s="127">
        <f>INDEX('Work Package Master List'!$C$12:$Y$1000, MATCH($E20, 'Work Package Master List'!$B$12:$B$1000, 0), MATCH(N$11, 'Work Package Master List'!$C$13:$Y$13, 0))</f>
        <v>0</v>
      </c>
      <c r="P20" s="103">
        <f>IFERROR(IF(OR(R20="",Q20=""),"",R20-Q20),"")</f>
        <v>45971</v>
      </c>
      <c r="Q20" s="127">
        <f>INDEX('Work Package Master List'!$C$12:$Y$1000, MATCH($E20, 'Work Package Master List'!$B$12:$B$1000, 0), MATCH(P$11, 'Work Package Master List'!$C$13:$Y$13, 0))</f>
        <v>14</v>
      </c>
      <c r="R20" s="103">
        <f>IFERROR(IF(OR(T20="",S20=""),"",T20-S20),"")</f>
        <v>45985</v>
      </c>
      <c r="S20" s="127">
        <f>INDEX('Work Package Master List'!$C$12:$Y$1000, MATCH($E20, 'Work Package Master List'!$B$12:$B$1000, 0), MATCH(R$11, 'Work Package Master List'!$C$13:$Y$13, 0))</f>
        <v>10</v>
      </c>
      <c r="T20" s="103">
        <f>IFERROR(IF(OR(V20="",U20=""),"",V20-U20),"")</f>
        <v>45995</v>
      </c>
      <c r="U20" s="127">
        <f>INDEX('Work Package Master List'!$C$12:$Y$1000, MATCH($E20, 'Work Package Master List'!$B$12:$B$1000, 0), MATCH(T$11, 'Work Package Master List'!$C$13:$Y$13, 0))</f>
        <v>1</v>
      </c>
      <c r="V20" s="103">
        <f>IFERROR(IF(OR(X20="",W20=""),"",X20-W20),"")</f>
        <v>45996</v>
      </c>
      <c r="W20" s="127">
        <f>INDEX('Work Package Master List'!$C$12:$Y$1000, MATCH($E20, 'Work Package Master List'!$B$12:$B$1000, 0), MATCH(V$11, 'Work Package Master List'!$C$13:$Y$13, 0))</f>
        <v>3</v>
      </c>
      <c r="X20" s="103">
        <f>IFERROR(IF(OR(Z20="",Y20=""),"",Z20-Y20),"")</f>
        <v>45999</v>
      </c>
      <c r="Y20" s="127">
        <f>INDEX('Work Package Master List'!$C$12:$Y$1000, MATCH($E20, 'Work Package Master List'!$B$12:$B$1000, 0), MATCH(X$11, 'Work Package Master List'!$C$13:$Y$13, 0))</f>
        <v>2</v>
      </c>
      <c r="Z20" s="103">
        <f>IFERROR(IF(OR(AB20="",AA20=""),"",AB20-AA20),"")</f>
        <v>46001</v>
      </c>
      <c r="AA20" s="127">
        <f>INDEX('Work Package Master List'!$C$12:$Y$1000, MATCH($E20, 'Work Package Master List'!$B$12:$B$1000, 0), MATCH(Z$11, 'Work Package Master List'!$C$13:$Y$13, 0))</f>
        <v>5</v>
      </c>
      <c r="AB20" s="103">
        <f>IFERROR(IF(OR(AD20="",AC20=""),"",AD20-AC20),"")</f>
        <v>46006</v>
      </c>
      <c r="AC20" s="127">
        <f>INDEX('Work Package Master List'!$C$12:$Y$1000, MATCH($E20, 'Work Package Master List'!$B$12:$B$1000, 0), MATCH(AB$11, 'Work Package Master List'!$C$13:$Y$13, 0))</f>
        <v>5</v>
      </c>
      <c r="AD20" s="103">
        <f>IFERROR(IF(OR(AF20="",AE20=""),"",AF20-AE20),"")</f>
        <v>46011</v>
      </c>
      <c r="AE20" s="127">
        <f>INDEX('Work Package Master List'!$C$12:$Y$1000, MATCH($E20, 'Work Package Master List'!$B$12:$B$1000, 0), MATCH(AD$11, 'Work Package Master List'!$C$13:$Y$13, 0))</f>
        <v>1</v>
      </c>
      <c r="AF20" s="103">
        <f>IFERROR(IF(OR(AH20="",AG20=""),"",AH20-AG20),"")</f>
        <v>46012</v>
      </c>
      <c r="AG20" s="127">
        <f>INDEX('Work Package Master List'!$C$12:$Y$1000, MATCH($E20, 'Work Package Master List'!$B$12:$B$1000, 0), MATCH(AF$11, 'Work Package Master List'!$C$13:$Y$13, 0))</f>
        <v>2</v>
      </c>
      <c r="AH20" s="103">
        <f>IFERROR(IF(OR(AJ20="",AI20=""),"",AJ20-AI20),"")</f>
        <v>46014</v>
      </c>
      <c r="AI20" s="127">
        <f>INDEX('Work Package Master List'!$C$12:$Y$1000, MATCH($E20, 'Work Package Master List'!$B$12:$B$1000, 0), MATCH(AH$11, 'Work Package Master List'!$C$13:$Y$13, 0))</f>
        <v>2</v>
      </c>
      <c r="AJ20" s="103">
        <f>IFERROR(IF(OR(AM20="",AK20=""),"",AM20-AK20),"")</f>
        <v>46016</v>
      </c>
      <c r="AK20" s="127">
        <f>INDEX('Work Package Master List'!$C$12:$Y$1000, MATCH($E20, 'Work Package Master List'!$B$12:$B$1000, 0), MATCH(AJ$11, 'Work Package Master List'!$C$13:$Y$13, 0))</f>
        <v>5</v>
      </c>
      <c r="AL20" s="179">
        <v>15008</v>
      </c>
      <c r="AM20" s="103">
        <v>46021</v>
      </c>
      <c r="AN20" s="190">
        <f>IF(MAX($H20,$AM21,$AJ21,$AH21,$AF21,$AD21,$AB21,$Z21,$X21,$V21,$T21,$R21,$P21,$N21,$L21,$J21) = 0,"",MAX($H20,$AM21,$AJ21,$AH21,$AF21,$AD21,$AB21,$Z21,$X21,$V21,$T21,$R21,$P21,$N21,$L21,$J21))</f>
        <v>46114</v>
      </c>
      <c r="AO20" s="179" t="str">
        <f>_xlfn.IFNA(INDEX($J$7:$AM$7,_xlfn.XMATCH(MAX($AM21,$AJ21,$AH21,$AF21,$AD21,$AB21,$Z21,$X21,$V21,$T21,$R21,$P21,$N21,$L21,$J21),$J21:$AM21,0,-1)),"Awaiting DTP")</f>
        <v>Awarded</v>
      </c>
      <c r="AP20" s="203" t="s">
        <v>177</v>
      </c>
      <c r="AR20" s="16">
        <f>SUM(K20,M20,O20,Q20,S20,U20,W20,Y20,AA20,AC20,AE20,AG20,AI20,AK20)</f>
        <v>53</v>
      </c>
      <c r="AU20" s="16" t="s">
        <v>177</v>
      </c>
    </row>
    <row r="21" spans="2:47" x14ac:dyDescent="0.25">
      <c r="B21" s="180"/>
      <c r="C21" s="180"/>
      <c r="D21" s="187"/>
      <c r="E21" s="180"/>
      <c r="F21" s="180"/>
      <c r="G21" s="180"/>
      <c r="H21" s="189"/>
      <c r="I21" s="105" t="s">
        <v>168</v>
      </c>
      <c r="J21" s="111">
        <v>46024</v>
      </c>
      <c r="K21" s="105"/>
      <c r="L21" s="111">
        <v>46025</v>
      </c>
      <c r="M21" s="105"/>
      <c r="N21" s="111">
        <v>46025</v>
      </c>
      <c r="O21" s="105"/>
      <c r="P21" s="111">
        <v>46025</v>
      </c>
      <c r="Q21" s="105"/>
      <c r="R21" s="111">
        <v>46025</v>
      </c>
      <c r="S21" s="105"/>
      <c r="T21" s="111">
        <v>46027</v>
      </c>
      <c r="U21" s="105"/>
      <c r="V21" s="111">
        <v>46029</v>
      </c>
      <c r="W21" s="105"/>
      <c r="X21" s="111">
        <v>46030</v>
      </c>
      <c r="Y21" s="105"/>
      <c r="Z21" s="111">
        <v>46050</v>
      </c>
      <c r="AA21" s="105"/>
      <c r="AB21" s="111">
        <v>46062</v>
      </c>
      <c r="AC21" s="105"/>
      <c r="AD21" s="111"/>
      <c r="AE21" s="105"/>
      <c r="AF21" s="111"/>
      <c r="AG21" s="105"/>
      <c r="AH21" s="111"/>
      <c r="AI21" s="105"/>
      <c r="AJ21" s="111"/>
      <c r="AK21" s="105"/>
      <c r="AL21" s="180"/>
      <c r="AM21" s="111">
        <v>46114</v>
      </c>
      <c r="AN21" s="191"/>
      <c r="AO21" s="180"/>
      <c r="AP21" s="204"/>
      <c r="AR21" s="16">
        <f t="shared" ref="AR21:AR67" si="0">SUM(K21,M21,O21,Q21,S21,U21,W21,Y21,AA21,AC21,AE21,AG21,AI21,AK21)</f>
        <v>0</v>
      </c>
    </row>
    <row r="22" spans="2:47" x14ac:dyDescent="0.25">
      <c r="B22" s="179">
        <v>6</v>
      </c>
      <c r="C22" s="179" t="s">
        <v>44</v>
      </c>
      <c r="D22" s="186" t="s">
        <v>50</v>
      </c>
      <c r="E22" s="179" t="s">
        <v>175</v>
      </c>
      <c r="F22" s="179" t="str">
        <f>_xlfn.XLOOKUP($B22,'Procurement Strategy'!$B$12:$B$1404,'Procurement Strategy'!$P$12:$P$1404,"-",0)</f>
        <v>Yes</v>
      </c>
      <c r="G22" s="179" t="s">
        <v>176</v>
      </c>
      <c r="H22" s="188">
        <v>46022</v>
      </c>
      <c r="I22" s="126" t="s">
        <v>166</v>
      </c>
      <c r="J22" s="103">
        <f>IFERROR(IF(OR(L22="",K22=""),"",L22-K22),"")</f>
        <v>45968</v>
      </c>
      <c r="K22" s="127">
        <f>INDEX('Work Package Master List'!$C$12:$Y$1000, MATCH($E22, 'Work Package Master List'!$B$12:$B$1000, 0), MATCH(J$11, 'Work Package Master List'!$C$13:$Y$13, 0))</f>
        <v>2</v>
      </c>
      <c r="L22" s="103">
        <f>IFERROR(IF(OR(N22="",M22=""),"",N22-M22),"")</f>
        <v>45970</v>
      </c>
      <c r="M22" s="127">
        <f>INDEX('Work Package Master List'!$C$12:$Y$1000, MATCH($E22, 'Work Package Master List'!$B$12:$B$1000, 0), MATCH(L$11, 'Work Package Master List'!$C$13:$Y$13, 0))</f>
        <v>1</v>
      </c>
      <c r="N22" s="103">
        <f>IFERROR(IF(OR(P22="",O22=""),"",P22-O22),"")</f>
        <v>45971</v>
      </c>
      <c r="O22" s="127">
        <f>INDEX('Work Package Master List'!$C$12:$Y$1000, MATCH($E22, 'Work Package Master List'!$B$12:$B$1000, 0), MATCH(N$11, 'Work Package Master List'!$C$13:$Y$13, 0))</f>
        <v>0</v>
      </c>
      <c r="P22" s="103">
        <f>IFERROR(IF(OR(R22="",Q22=""),"",R22-Q22),"")</f>
        <v>45971</v>
      </c>
      <c r="Q22" s="127">
        <f>INDEX('Work Package Master List'!$C$12:$Y$1000, MATCH($E22, 'Work Package Master List'!$B$12:$B$1000, 0), MATCH(P$11, 'Work Package Master List'!$C$13:$Y$13, 0))</f>
        <v>14</v>
      </c>
      <c r="R22" s="103">
        <f>IFERROR(IF(OR(T22="",S22=""),"",T22-S22),"")</f>
        <v>45985</v>
      </c>
      <c r="S22" s="127">
        <f>INDEX('Work Package Master List'!$C$12:$Y$1000, MATCH($E22, 'Work Package Master List'!$B$12:$B$1000, 0), MATCH(R$11, 'Work Package Master List'!$C$13:$Y$13, 0))</f>
        <v>10</v>
      </c>
      <c r="T22" s="103">
        <f>IFERROR(IF(OR(V22="",U22=""),"",V22-U22),"")</f>
        <v>45995</v>
      </c>
      <c r="U22" s="127">
        <f>INDEX('Work Package Master List'!$C$12:$Y$1000, MATCH($E22, 'Work Package Master List'!$B$12:$B$1000, 0), MATCH(T$11, 'Work Package Master List'!$C$13:$Y$13, 0))</f>
        <v>1</v>
      </c>
      <c r="V22" s="103">
        <f>IFERROR(IF(OR(X22="",W22=""),"",X22-W22),"")</f>
        <v>45996</v>
      </c>
      <c r="W22" s="127">
        <f>INDEX('Work Package Master List'!$C$12:$Y$1000, MATCH($E22, 'Work Package Master List'!$B$12:$B$1000, 0), MATCH(V$11, 'Work Package Master List'!$C$13:$Y$13, 0))</f>
        <v>3</v>
      </c>
      <c r="X22" s="103">
        <f>IFERROR(IF(OR(Z22="",Y22=""),"",Z22-Y22),"")</f>
        <v>45999</v>
      </c>
      <c r="Y22" s="127">
        <f>INDEX('Work Package Master List'!$C$12:$Y$1000, MATCH($E22, 'Work Package Master List'!$B$12:$B$1000, 0), MATCH(X$11, 'Work Package Master List'!$C$13:$Y$13, 0))</f>
        <v>2</v>
      </c>
      <c r="Z22" s="103">
        <f>IFERROR(IF(OR(AB22="",AA22=""),"",AB22-AA22),"")</f>
        <v>46001</v>
      </c>
      <c r="AA22" s="127">
        <f>INDEX('Work Package Master List'!$C$12:$Y$1000, MATCH($E22, 'Work Package Master List'!$B$12:$B$1000, 0), MATCH(Z$11, 'Work Package Master List'!$C$13:$Y$13, 0))</f>
        <v>5</v>
      </c>
      <c r="AB22" s="103">
        <f>IFERROR(IF(OR(AD22="",AC22=""),"",AD22-AC22),"")</f>
        <v>46006</v>
      </c>
      <c r="AC22" s="127">
        <f>INDEX('Work Package Master List'!$C$12:$Y$1000, MATCH($E22, 'Work Package Master List'!$B$12:$B$1000, 0), MATCH(AB$11, 'Work Package Master List'!$C$13:$Y$13, 0))</f>
        <v>5</v>
      </c>
      <c r="AD22" s="103">
        <f>IFERROR(IF(OR(AF22="",AE22=""),"",AF22-AE22),"")</f>
        <v>46011</v>
      </c>
      <c r="AE22" s="127">
        <f>INDEX('Work Package Master List'!$C$12:$Y$1000, MATCH($E22, 'Work Package Master List'!$B$12:$B$1000, 0), MATCH(AD$11, 'Work Package Master List'!$C$13:$Y$13, 0))</f>
        <v>1</v>
      </c>
      <c r="AF22" s="103">
        <f>IFERROR(IF(OR(AH22="",AG22=""),"",AH22-AG22),"")</f>
        <v>46012</v>
      </c>
      <c r="AG22" s="127">
        <f>INDEX('Work Package Master List'!$C$12:$Y$1000, MATCH($E22, 'Work Package Master List'!$B$12:$B$1000, 0), MATCH(AF$11, 'Work Package Master List'!$C$13:$Y$13, 0))</f>
        <v>2</v>
      </c>
      <c r="AH22" s="103">
        <f>IFERROR(IF(OR(AJ22="",AI22=""),"",AJ22-AI22),"")</f>
        <v>46014</v>
      </c>
      <c r="AI22" s="127">
        <f>INDEX('Work Package Master List'!$C$12:$Y$1000, MATCH($E22, 'Work Package Master List'!$B$12:$B$1000, 0), MATCH(AH$11, 'Work Package Master List'!$C$13:$Y$13, 0))</f>
        <v>2</v>
      </c>
      <c r="AJ22" s="103">
        <f>IFERROR(IF(OR(AM22="",AK22=""),"",AM22-AK22),"")</f>
        <v>46016</v>
      </c>
      <c r="AK22" s="127">
        <f>INDEX('Work Package Master List'!$C$12:$Y$1000, MATCH($E22, 'Work Package Master List'!$B$12:$B$1000, 0), MATCH(AJ$11, 'Work Package Master List'!$C$13:$Y$13, 0))</f>
        <v>5</v>
      </c>
      <c r="AL22" s="179" t="s">
        <v>178</v>
      </c>
      <c r="AM22" s="103">
        <v>46021</v>
      </c>
      <c r="AN22" s="190">
        <f t="shared" ref="AN22" si="1">IF(MAX($H22,$AM23,$AJ23,$AH23,$AF23,$AD23,$AB23,$Z23,$X23,$V23,$T23,$R23,$P23,$N23,$L23,$J23) = 0,"",MAX($H22,$AM23,$AJ23,$AH23,$AF23,$AD23,$AB23,$Z23,$X23,$V23,$T23,$R23,$P23,$N23,$L23,$J23))</f>
        <v>46114</v>
      </c>
      <c r="AO22" s="179" t="str">
        <f>_xlfn.IFNA(INDEX($J$7:$AM$7,_xlfn.XMATCH(MAX($AM23,$AJ23,$AH23,$AF23,$AD23,$AB23,$Z23,$X23,$V23,$T23,$R23,$P23,$N23,$L23,$J23),$J23:$AM23,0,-1)),"Awaiting DTP")</f>
        <v>Awarded</v>
      </c>
      <c r="AP22" s="203" t="s">
        <v>179</v>
      </c>
      <c r="AR22" s="16">
        <f t="shared" si="0"/>
        <v>53</v>
      </c>
      <c r="AU22" s="16" t="s">
        <v>179</v>
      </c>
    </row>
    <row r="23" spans="2:47" x14ac:dyDescent="0.25">
      <c r="B23" s="180"/>
      <c r="C23" s="180"/>
      <c r="D23" s="187"/>
      <c r="E23" s="180"/>
      <c r="F23" s="180"/>
      <c r="G23" s="180"/>
      <c r="H23" s="189"/>
      <c r="I23" s="105" t="s">
        <v>168</v>
      </c>
      <c r="J23" s="111">
        <v>46024</v>
      </c>
      <c r="K23" s="105"/>
      <c r="L23" s="111">
        <v>46025</v>
      </c>
      <c r="M23" s="105"/>
      <c r="N23" s="111">
        <v>46025</v>
      </c>
      <c r="O23" s="105"/>
      <c r="P23" s="111">
        <v>46025</v>
      </c>
      <c r="Q23" s="105"/>
      <c r="R23" s="111">
        <v>46025</v>
      </c>
      <c r="S23" s="105"/>
      <c r="T23" s="111"/>
      <c r="U23" s="105"/>
      <c r="V23" s="111">
        <v>46029</v>
      </c>
      <c r="W23" s="105"/>
      <c r="X23" s="111">
        <v>46030</v>
      </c>
      <c r="Y23" s="105"/>
      <c r="Z23" s="111">
        <v>46050</v>
      </c>
      <c r="AA23" s="105"/>
      <c r="AB23" s="111">
        <v>46069</v>
      </c>
      <c r="AC23" s="105"/>
      <c r="AD23" s="111"/>
      <c r="AE23" s="105"/>
      <c r="AF23" s="111"/>
      <c r="AG23" s="105"/>
      <c r="AH23" s="111"/>
      <c r="AI23" s="105"/>
      <c r="AJ23" s="111"/>
      <c r="AK23" s="105"/>
      <c r="AL23" s="180"/>
      <c r="AM23" s="111">
        <v>46114</v>
      </c>
      <c r="AN23" s="191"/>
      <c r="AO23" s="180"/>
      <c r="AP23" s="204"/>
      <c r="AR23" s="16">
        <f t="shared" si="0"/>
        <v>0</v>
      </c>
    </row>
    <row r="24" spans="2:47" x14ac:dyDescent="0.25">
      <c r="B24" s="179">
        <v>7</v>
      </c>
      <c r="C24" s="179" t="s">
        <v>44</v>
      </c>
      <c r="D24" s="186" t="s">
        <v>51</v>
      </c>
      <c r="E24" s="179" t="s">
        <v>180</v>
      </c>
      <c r="F24" s="179" t="str">
        <f>_xlfn.XLOOKUP($B24,'Procurement Strategy'!$B$12:$B$1400,'Procurement Strategy'!$P$12:$P$1400,"-",0)</f>
        <v>Yes</v>
      </c>
      <c r="G24" s="179" t="s">
        <v>165</v>
      </c>
      <c r="H24" s="188">
        <v>46022</v>
      </c>
      <c r="I24" s="126" t="s">
        <v>166</v>
      </c>
      <c r="J24" s="103">
        <f>IFERROR(IF(OR(L24="",K24=""),"",L24-K24),"")</f>
        <v>45977</v>
      </c>
      <c r="K24" s="127">
        <f>INDEX('Work Package Master List'!$C$12:$Y$1000, MATCH($E24, 'Work Package Master List'!$B$12:$B$1000, 0), MATCH(J$11, 'Work Package Master List'!$C$13:$Y$13, 0))</f>
        <v>2</v>
      </c>
      <c r="L24" s="103">
        <f>IFERROR(IF(OR(N24="",M24=""),"",N24-M24),"")</f>
        <v>45979</v>
      </c>
      <c r="M24" s="127">
        <f>INDEX('Work Package Master List'!$C$12:$Y$1000, MATCH($E24, 'Work Package Master List'!$B$12:$B$1000, 0), MATCH(L$11, 'Work Package Master List'!$C$13:$Y$13, 0))</f>
        <v>1</v>
      </c>
      <c r="N24" s="103">
        <f>IFERROR(IF(OR(P24="",O24=""),"",P24-O24),"")</f>
        <v>45980</v>
      </c>
      <c r="O24" s="127">
        <f>INDEX('Work Package Master List'!$C$12:$Y$1000, MATCH($E24, 'Work Package Master List'!$B$12:$B$1000, 0), MATCH(N$11, 'Work Package Master List'!$C$13:$Y$13, 0))</f>
        <v>0</v>
      </c>
      <c r="P24" s="103">
        <f>IFERROR(IF(OR(R24="",Q24=""),"",R24-Q24),"")</f>
        <v>45980</v>
      </c>
      <c r="Q24" s="127">
        <f>INDEX('Work Package Master List'!$C$12:$Y$1000, MATCH($E24, 'Work Package Master List'!$B$12:$B$1000, 0), MATCH(P$11, 'Work Package Master List'!$C$13:$Y$13, 0))</f>
        <v>21</v>
      </c>
      <c r="R24" s="103">
        <f>IFERROR(IF(OR(T24="",S24=""),"",T24-S24),"")</f>
        <v>46001</v>
      </c>
      <c r="S24" s="127">
        <f>INDEX('Work Package Master List'!$C$12:$Y$1000, MATCH($E24, 'Work Package Master List'!$B$12:$B$1000, 0), MATCH(R$11, 'Work Package Master List'!$C$13:$Y$13, 0))</f>
        <v>10</v>
      </c>
      <c r="T24" s="103">
        <f>IFERROR(IF(OR(V24="",U24=""),"",V24-U24),"")</f>
        <v>46011</v>
      </c>
      <c r="U24" s="127">
        <f>INDEX('Work Package Master List'!$C$12:$Y$1000, MATCH($E24, 'Work Package Master List'!$B$12:$B$1000, 0), MATCH(T$11, 'Work Package Master List'!$C$13:$Y$13, 0))</f>
        <v>1</v>
      </c>
      <c r="V24" s="103">
        <f>IFERROR(IF(OR(X24="",W24=""),"",X24-W24),"")</f>
        <v>46012</v>
      </c>
      <c r="W24" s="127">
        <f>INDEX('Work Package Master List'!$C$12:$Y$1000, MATCH($E24, 'Work Package Master List'!$B$12:$B$1000, 0), MATCH(V$11, 'Work Package Master List'!$C$13:$Y$13, 0))</f>
        <v>3</v>
      </c>
      <c r="X24" s="103">
        <f>IFERROR(IF(OR(Z24="",Y24=""),"",Z24-Y24),"")</f>
        <v>46015</v>
      </c>
      <c r="Y24" s="127">
        <f>INDEX('Work Package Master List'!$C$12:$Y$1000, MATCH($E24, 'Work Package Master List'!$B$12:$B$1000, 0), MATCH(X$11, 'Work Package Master List'!$C$13:$Y$13, 0))</f>
        <v>2</v>
      </c>
      <c r="Z24" s="103">
        <f>IFERROR(IF(OR(AB24="",AA24=""),"",AB24-AA24),"")</f>
        <v>46017</v>
      </c>
      <c r="AA24" s="127">
        <f>INDEX('Work Package Master List'!$C$12:$Y$1000, MATCH($E24, 'Work Package Master List'!$B$12:$B$1000, 0), MATCH(Z$11, 'Work Package Master List'!$C$13:$Y$13, 0))</f>
        <v>5</v>
      </c>
      <c r="AB24" s="103">
        <f>IFERROR(IF(OR(AD24="",AC24=""),"",AD24-AC24),"")</f>
        <v>46022</v>
      </c>
      <c r="AC24" s="127">
        <f>INDEX('Work Package Master List'!$C$12:$Y$1000, MATCH($E24, 'Work Package Master List'!$B$12:$B$1000, 0), MATCH(AB$11, 'Work Package Master List'!$C$13:$Y$13, 0))</f>
        <v>5</v>
      </c>
      <c r="AD24" s="103">
        <f>IFERROR(IF(OR(AF24="",AE24=""),"",AF24-AE24),"")</f>
        <v>46027</v>
      </c>
      <c r="AE24" s="127">
        <f>INDEX('Work Package Master List'!$C$12:$Y$1000, MATCH($E24, 'Work Package Master List'!$B$12:$B$1000, 0), MATCH(AD$11, 'Work Package Master List'!$C$13:$Y$13, 0))</f>
        <v>1</v>
      </c>
      <c r="AF24" s="103">
        <f>IFERROR(IF(OR(AH24="",AG24=""),"",AH24-AG24),"")</f>
        <v>46028</v>
      </c>
      <c r="AG24" s="127">
        <f>INDEX('Work Package Master List'!$C$12:$Y$1000, MATCH($E24, 'Work Package Master List'!$B$12:$B$1000, 0), MATCH(AF$11, 'Work Package Master List'!$C$13:$Y$13, 0))</f>
        <v>2</v>
      </c>
      <c r="AH24" s="103">
        <f>IFERROR(IF(OR(AJ24="",AI24=""),"",AJ24-AI24),"")</f>
        <v>46030</v>
      </c>
      <c r="AI24" s="127">
        <f>INDEX('Work Package Master List'!$C$12:$Y$1000, MATCH($E24, 'Work Package Master List'!$B$12:$B$1000, 0), MATCH(AH$11, 'Work Package Master List'!$C$13:$Y$13, 0))</f>
        <v>2</v>
      </c>
      <c r="AJ24" s="103">
        <f>IFERROR(IF(OR(AM24="",AK24=""),"",AM24-AK24),"")</f>
        <v>46032</v>
      </c>
      <c r="AK24" s="127">
        <f>INDEX('Work Package Master List'!$C$12:$Y$1000, MATCH($E24, 'Work Package Master List'!$B$12:$B$1000, 0), MATCH(AJ$11, 'Work Package Master List'!$C$13:$Y$13, 0))</f>
        <v>5</v>
      </c>
      <c r="AL24" s="179">
        <v>14960</v>
      </c>
      <c r="AM24" s="103">
        <v>46037</v>
      </c>
      <c r="AN24" s="190">
        <f t="shared" ref="AN24" si="2">IF(MAX($H24,$AM25,$AJ25,$AH25,$AF25,$AD25,$AB25,$Z25,$X25,$V25,$T25,$R25,$P25,$N25,$L25,$J25) = 0,"",MAX($H24,$AM25,$AJ25,$AH25,$AF25,$AD25,$AB25,$Z25,$X25,$V25,$T25,$R25,$P25,$N25,$L25,$J25))</f>
        <v>46096</v>
      </c>
      <c r="AO24" s="179" t="str">
        <f>_xlfn.IFNA(INDEX($J$7:$AM$7,_xlfn.XMATCH(MAX($AM25,$AJ25,$AH25,$AF25,$AD25,$AB25,$Z25,$X25,$V25,$T25,$R25,$P25,$N25,$L25,$J25),$J25:$AM25,0,-1)),"Awaiting DTP")</f>
        <v>Awarded</v>
      </c>
      <c r="AP24" s="203" t="s">
        <v>1327</v>
      </c>
      <c r="AR24" s="16">
        <f t="shared" si="0"/>
        <v>60</v>
      </c>
      <c r="AU24" s="16" t="s">
        <v>1327</v>
      </c>
    </row>
    <row r="25" spans="2:47" x14ac:dyDescent="0.25">
      <c r="B25" s="180"/>
      <c r="C25" s="180"/>
      <c r="D25" s="187"/>
      <c r="E25" s="180"/>
      <c r="F25" s="180"/>
      <c r="G25" s="180"/>
      <c r="H25" s="189"/>
      <c r="I25" s="105" t="s">
        <v>168</v>
      </c>
      <c r="J25" s="111">
        <v>46009</v>
      </c>
      <c r="K25" s="105"/>
      <c r="L25" s="111">
        <v>46013</v>
      </c>
      <c r="M25" s="105"/>
      <c r="N25" s="111">
        <v>46015</v>
      </c>
      <c r="O25" s="105"/>
      <c r="P25" s="111">
        <v>46015</v>
      </c>
      <c r="Q25" s="105"/>
      <c r="R25" s="111">
        <v>46021</v>
      </c>
      <c r="S25" s="105"/>
      <c r="T25" s="111">
        <v>46034</v>
      </c>
      <c r="U25" s="105"/>
      <c r="V25" s="111">
        <v>46036</v>
      </c>
      <c r="W25" s="105"/>
      <c r="X25" s="111">
        <v>46036</v>
      </c>
      <c r="Y25" s="105"/>
      <c r="Z25" s="111">
        <v>46036</v>
      </c>
      <c r="AA25" s="105"/>
      <c r="AB25" s="111">
        <v>46036</v>
      </c>
      <c r="AC25" s="105"/>
      <c r="AD25" s="111">
        <v>46037</v>
      </c>
      <c r="AE25" s="105"/>
      <c r="AF25" s="111">
        <v>46040</v>
      </c>
      <c r="AG25" s="105"/>
      <c r="AH25" s="111"/>
      <c r="AI25" s="105"/>
      <c r="AJ25" s="111"/>
      <c r="AK25" s="105"/>
      <c r="AL25" s="180"/>
      <c r="AM25" s="111">
        <v>46096</v>
      </c>
      <c r="AN25" s="191"/>
      <c r="AO25" s="180"/>
      <c r="AP25" s="204"/>
      <c r="AR25" s="16">
        <f t="shared" si="0"/>
        <v>0</v>
      </c>
    </row>
    <row r="26" spans="2:47" x14ac:dyDescent="0.25">
      <c r="B26" s="180">
        <v>8</v>
      </c>
      <c r="C26" s="180" t="s">
        <v>44</v>
      </c>
      <c r="D26" s="187" t="s">
        <v>52</v>
      </c>
      <c r="E26" s="180" t="s">
        <v>181</v>
      </c>
      <c r="F26" s="180" t="str">
        <f>_xlfn.XLOOKUP($B26,'Procurement Strategy'!$B$12:$B$1392,'Procurement Strategy'!$P$12:$P$1392,"-",0)</f>
        <v>Yes</v>
      </c>
      <c r="G26" s="180" t="s">
        <v>172</v>
      </c>
      <c r="H26" s="189">
        <v>46022</v>
      </c>
      <c r="I26" s="125" t="s">
        <v>166</v>
      </c>
      <c r="J26" s="115">
        <f>IFERROR(IF(OR(L26="",K26=""),"",L26-K26),"")</f>
        <v>45961</v>
      </c>
      <c r="K26" s="128">
        <f>INDEX('Work Package Master List'!$C$12:$Y$1000, MATCH($E26, 'Work Package Master List'!$B$12:$B$1000, 0), MATCH(J$11, 'Work Package Master List'!$C$13:$Y$13, 0))</f>
        <v>2</v>
      </c>
      <c r="L26" s="115">
        <f>IFERROR(IF(OR(N26="",M26=""),"",N26-M26),"")</f>
        <v>45963</v>
      </c>
      <c r="M26" s="128">
        <f>INDEX('Work Package Master List'!$C$12:$Y$1000, MATCH($E26, 'Work Package Master List'!$B$12:$B$1000, 0), MATCH(L$11, 'Work Package Master List'!$C$13:$Y$13, 0))</f>
        <v>1</v>
      </c>
      <c r="N26" s="115">
        <f>IFERROR(IF(OR(P26="",O26=""),"",P26-O26),"")</f>
        <v>45964</v>
      </c>
      <c r="O26" s="128">
        <f>INDEX('Work Package Master List'!$C$12:$Y$1000, MATCH($E26, 'Work Package Master List'!$B$12:$B$1000, 0), MATCH(N$11, 'Work Package Master List'!$C$13:$Y$13, 0))</f>
        <v>0</v>
      </c>
      <c r="P26" s="115">
        <f>IFERROR(IF(OR(R26="",Q26=""),"",R26-Q26),"")</f>
        <v>45964</v>
      </c>
      <c r="Q26" s="128">
        <f>INDEX('Work Package Master List'!$C$12:$Y$1000, MATCH($E26, 'Work Package Master List'!$B$12:$B$1000, 0), MATCH(P$11, 'Work Package Master List'!$C$13:$Y$13, 0))</f>
        <v>7</v>
      </c>
      <c r="R26" s="115">
        <f>IFERROR(IF(OR(T26="",S26=""),"",T26-S26),"")</f>
        <v>45971</v>
      </c>
      <c r="S26" s="128">
        <f>INDEX('Work Package Master List'!$C$12:$Y$1000, MATCH($E26, 'Work Package Master List'!$B$12:$B$1000, 0), MATCH(R$11, 'Work Package Master List'!$C$13:$Y$13, 0))</f>
        <v>5</v>
      </c>
      <c r="T26" s="115">
        <f>IFERROR(IF(OR(V26="",U26=""),"",V26-U26),"")</f>
        <v>45976</v>
      </c>
      <c r="U26" s="128">
        <f>INDEX('Work Package Master List'!$C$12:$Y$1000, MATCH($E26, 'Work Package Master List'!$B$12:$B$1000, 0), MATCH(T$11, 'Work Package Master List'!$C$13:$Y$13, 0))</f>
        <v>1</v>
      </c>
      <c r="V26" s="115">
        <f>IFERROR(IF(OR(X26="",W26=""),"",X26-W26),"")</f>
        <v>45977</v>
      </c>
      <c r="W26" s="128">
        <f>INDEX('Work Package Master List'!$C$12:$Y$1000, MATCH($E26, 'Work Package Master List'!$B$12:$B$1000, 0), MATCH(V$11, 'Work Package Master List'!$C$13:$Y$13, 0))</f>
        <v>3</v>
      </c>
      <c r="X26" s="115">
        <f>IFERROR(IF(OR(Z26="",Y26=""),"",Z26-Y26),"")</f>
        <v>45980</v>
      </c>
      <c r="Y26" s="128">
        <f>INDEX('Work Package Master List'!$C$12:$Y$1000, MATCH($E26, 'Work Package Master List'!$B$12:$B$1000, 0), MATCH(X$11, 'Work Package Master List'!$C$13:$Y$13, 0))</f>
        <v>2</v>
      </c>
      <c r="Z26" s="115">
        <f>IFERROR(IF(OR(AB26="",AA26=""),"",AB26-AA26),"")</f>
        <v>45982</v>
      </c>
      <c r="AA26" s="128">
        <f>INDEX('Work Package Master List'!$C$12:$Y$1000, MATCH($E26, 'Work Package Master List'!$B$12:$B$1000, 0), MATCH(Z$11, 'Work Package Master List'!$C$13:$Y$13, 0))</f>
        <v>3</v>
      </c>
      <c r="AB26" s="115">
        <f>IFERROR(IF(OR(AD26="",AC26=""),"",AD26-AC26),"")</f>
        <v>45985</v>
      </c>
      <c r="AC26" s="128">
        <f>INDEX('Work Package Master List'!$C$12:$Y$1000, MATCH($E26, 'Work Package Master List'!$B$12:$B$1000, 0), MATCH(AB$11, 'Work Package Master List'!$C$13:$Y$13, 0))</f>
        <v>3</v>
      </c>
      <c r="AD26" s="115">
        <f>IFERROR(IF(OR(AF26="",AE26=""),"",AF26-AE26),"")</f>
        <v>45988</v>
      </c>
      <c r="AE26" s="128">
        <f>INDEX('Work Package Master List'!$C$12:$Y$1000, MATCH($E26, 'Work Package Master List'!$B$12:$B$1000, 0), MATCH(AD$11, 'Work Package Master List'!$C$13:$Y$13, 0))</f>
        <v>1</v>
      </c>
      <c r="AF26" s="115">
        <f>IFERROR(IF(OR(AH26="",AG26=""),"",AH26-AG26),"")</f>
        <v>45989</v>
      </c>
      <c r="AG26" s="128">
        <f>INDEX('Work Package Master List'!$C$12:$Y$1000, MATCH($E26, 'Work Package Master List'!$B$12:$B$1000, 0), MATCH(AF$11, 'Work Package Master List'!$C$13:$Y$13, 0))</f>
        <v>2</v>
      </c>
      <c r="AH26" s="115">
        <f>IFERROR(IF(OR(AJ26="",AI26=""),"",AJ26-AI26),"")</f>
        <v>45991</v>
      </c>
      <c r="AI26" s="128">
        <f>INDEX('Work Package Master List'!$C$12:$Y$1000, MATCH($E26, 'Work Package Master List'!$B$12:$B$1000, 0), MATCH(AH$11, 'Work Package Master List'!$C$13:$Y$13, 0))</f>
        <v>2</v>
      </c>
      <c r="AJ26" s="115">
        <f>IFERROR(IF(OR(AM26="",AK26=""),"",AM26-AK26),"")</f>
        <v>45993</v>
      </c>
      <c r="AK26" s="128">
        <f>INDEX('Work Package Master List'!$C$12:$Y$1000, MATCH($E26, 'Work Package Master List'!$B$12:$B$1000, 0), MATCH(AJ$11, 'Work Package Master List'!$C$13:$Y$13, 0))</f>
        <v>5</v>
      </c>
      <c r="AL26" s="180">
        <v>14607</v>
      </c>
      <c r="AM26" s="115">
        <v>45998</v>
      </c>
      <c r="AN26" s="191">
        <f t="shared" ref="AN26" si="3">IF(MAX($H26,$AM27,$AJ27,$AH27,$AF27,$AD27,$AB27,$Z27,$X27,$V27,$T27,$R27,$P27,$N27,$L27,$J27) = 0,"",MAX($H26,$AM27,$AJ27,$AH27,$AF27,$AD27,$AB27,$Z27,$X27,$V27,$T27,$R27,$P27,$N27,$L27,$J27))</f>
        <v>46086</v>
      </c>
      <c r="AO26" s="180" t="str">
        <f>_xlfn.IFNA(INDEX($J$7:$AM$7,_xlfn.XMATCH(MAX($AM27,$AJ27,$AH27,$AF27,$AD27,$AB27,$Z27,$X27,$V27,$T27,$R27,$P27,$N27,$L27,$J27),$J27:$AM27,0,-1)),"Awaiting DTP")</f>
        <v>Awarded</v>
      </c>
      <c r="AP26" s="204" t="s">
        <v>182</v>
      </c>
      <c r="AR26" s="16">
        <f t="shared" si="0"/>
        <v>37</v>
      </c>
      <c r="AU26" s="16" t="s">
        <v>182</v>
      </c>
    </row>
    <row r="27" spans="2:47" x14ac:dyDescent="0.25">
      <c r="B27" s="179"/>
      <c r="C27" s="179"/>
      <c r="D27" s="186"/>
      <c r="E27" s="179"/>
      <c r="F27" s="179"/>
      <c r="G27" s="179"/>
      <c r="H27" s="188"/>
      <c r="I27" s="91" t="s">
        <v>168</v>
      </c>
      <c r="J27" s="106">
        <v>46015</v>
      </c>
      <c r="K27" s="91"/>
      <c r="L27" s="106"/>
      <c r="M27" s="91"/>
      <c r="N27" s="106"/>
      <c r="O27" s="91"/>
      <c r="P27" s="106"/>
      <c r="Q27" s="91"/>
      <c r="R27" s="106"/>
      <c r="S27" s="91"/>
      <c r="T27" s="106"/>
      <c r="U27" s="91"/>
      <c r="V27" s="106"/>
      <c r="W27" s="91"/>
      <c r="X27" s="106"/>
      <c r="Y27" s="91"/>
      <c r="Z27" s="106"/>
      <c r="AA27" s="91"/>
      <c r="AB27" s="106"/>
      <c r="AC27" s="91"/>
      <c r="AD27" s="106"/>
      <c r="AE27" s="91"/>
      <c r="AF27" s="106"/>
      <c r="AG27" s="91"/>
      <c r="AH27" s="106"/>
      <c r="AI27" s="91"/>
      <c r="AJ27" s="106"/>
      <c r="AK27" s="91"/>
      <c r="AL27" s="179"/>
      <c r="AM27" s="106">
        <v>46086</v>
      </c>
      <c r="AN27" s="190"/>
      <c r="AO27" s="179"/>
      <c r="AP27" s="203"/>
      <c r="AR27" s="16">
        <f t="shared" si="0"/>
        <v>0</v>
      </c>
    </row>
    <row r="28" spans="2:47" x14ac:dyDescent="0.25">
      <c r="B28" s="199">
        <v>10</v>
      </c>
      <c r="C28" s="199" t="s">
        <v>53</v>
      </c>
      <c r="D28" s="209" t="s">
        <v>54</v>
      </c>
      <c r="E28" s="199" t="s">
        <v>183</v>
      </c>
      <c r="F28" s="199" t="str">
        <f>_xlfn.XLOOKUP($B28,'Procurement Strategy'!$B$12:$B$1383,'Procurement Strategy'!$P$12:$P$1383,"-",0)</f>
        <v/>
      </c>
      <c r="G28" s="199" t="s">
        <v>165</v>
      </c>
      <c r="H28" s="198">
        <v>46022</v>
      </c>
      <c r="I28" s="129" t="s">
        <v>166</v>
      </c>
      <c r="J28" s="116">
        <f>IFERROR(IF(OR(L28="",K28=""),"",L28-K28),"")</f>
        <v>46013</v>
      </c>
      <c r="K28" s="130">
        <f>INDEX('Work Package Master List'!$C$12:$Y$1000, MATCH($E28, 'Work Package Master List'!$B$12:$B$1000, 0), MATCH(J$11, 'Work Package Master List'!$C$13:$Y$13, 0))</f>
        <v>2</v>
      </c>
      <c r="L28" s="116">
        <f>IFERROR(IF(OR(N28="",M28=""),"",N28-M28),"")</f>
        <v>46015</v>
      </c>
      <c r="M28" s="130">
        <f>INDEX('Work Package Master List'!$C$12:$Y$1000, MATCH($E28, 'Work Package Master List'!$B$12:$B$1000, 0), MATCH(L$11, 'Work Package Master List'!$C$13:$Y$13, 0))</f>
        <v>1</v>
      </c>
      <c r="N28" s="116">
        <f>IFERROR(IF(OR(P28="",O28=""),"",P28-O28),"")</f>
        <v>46016</v>
      </c>
      <c r="O28" s="130">
        <f>INDEX('Work Package Master List'!$C$12:$Y$1000, MATCH($E28, 'Work Package Master List'!$B$12:$B$1000, 0), MATCH(N$11, 'Work Package Master List'!$C$13:$Y$13, 0))</f>
        <v>0</v>
      </c>
      <c r="P28" s="116">
        <f>IFERROR(IF(OR(R28="",Q28=""),"",R28-Q28),"")</f>
        <v>46016</v>
      </c>
      <c r="Q28" s="130">
        <f>INDEX('Work Package Master List'!$C$12:$Y$1000, MATCH($E28, 'Work Package Master List'!$B$12:$B$1000, 0), MATCH(P$11, 'Work Package Master List'!$C$13:$Y$13, 0))</f>
        <v>5</v>
      </c>
      <c r="R28" s="116">
        <f>IFERROR(IF(OR(T28="",S28=""),"",T28-S28),"")</f>
        <v>46021</v>
      </c>
      <c r="S28" s="130">
        <f>INDEX('Work Package Master List'!$C$12:$Y$1000, MATCH($E28, 'Work Package Master List'!$B$12:$B$1000, 0), MATCH(R$11, 'Work Package Master List'!$C$13:$Y$13, 0))</f>
        <v>5</v>
      </c>
      <c r="T28" s="116">
        <f>IFERROR(IF(OR(V28="",U28=""),"",V28-U28),"")</f>
        <v>46026</v>
      </c>
      <c r="U28" s="130">
        <f>INDEX('Work Package Master List'!$C$12:$Y$1000, MATCH($E28, 'Work Package Master List'!$B$12:$B$1000, 0), MATCH(T$11, 'Work Package Master List'!$C$13:$Y$13, 0))</f>
        <v>1</v>
      </c>
      <c r="V28" s="116">
        <f>IFERROR(IF(OR(X28="",W28=""),"",X28-W28),"")</f>
        <v>46027</v>
      </c>
      <c r="W28" s="130">
        <f>INDEX('Work Package Master List'!$C$12:$Y$1000, MATCH($E28, 'Work Package Master List'!$B$12:$B$1000, 0), MATCH(V$11, 'Work Package Master List'!$C$13:$Y$13, 0))</f>
        <v>3</v>
      </c>
      <c r="X28" s="116">
        <f>IFERROR(IF(OR(Z28="",Y28=""),"",Z28-Y28),"")</f>
        <v>46030</v>
      </c>
      <c r="Y28" s="130">
        <f>INDEX('Work Package Master List'!$C$12:$Y$1000, MATCH($E28, 'Work Package Master List'!$B$12:$B$1000, 0), MATCH(X$11, 'Work Package Master List'!$C$13:$Y$13, 0))</f>
        <v>2</v>
      </c>
      <c r="Z28" s="116">
        <f>IFERROR(IF(OR(AB28="",AA28=""),"",AB28-AA28),"")</f>
        <v>46032</v>
      </c>
      <c r="AA28" s="130">
        <f>INDEX('Work Package Master List'!$C$12:$Y$1000, MATCH($E28, 'Work Package Master List'!$B$12:$B$1000, 0), MATCH(Z$11, 'Work Package Master List'!$C$13:$Y$13, 0))</f>
        <v>7</v>
      </c>
      <c r="AB28" s="116">
        <f>IFERROR(IF(OR(AD28="",AC28=""),"",AD28-AC28),"")</f>
        <v>46039</v>
      </c>
      <c r="AC28" s="130">
        <f>INDEX('Work Package Master List'!$C$12:$Y$1000, MATCH($E28, 'Work Package Master List'!$B$12:$B$1000, 0), MATCH(AB$11, 'Work Package Master List'!$C$13:$Y$13, 0))</f>
        <v>3</v>
      </c>
      <c r="AD28" s="116">
        <f>IFERROR(IF(OR(AF28="",AE28=""),"",AF28-AE28),"")</f>
        <v>46042</v>
      </c>
      <c r="AE28" s="130">
        <f>INDEX('Work Package Master List'!$C$12:$Y$1000, MATCH($E28, 'Work Package Master List'!$B$12:$B$1000, 0), MATCH(AD$11, 'Work Package Master List'!$C$13:$Y$13, 0))</f>
        <v>1</v>
      </c>
      <c r="AF28" s="116">
        <f>IFERROR(IF(OR(AH28="",AG28=""),"",AH28-AG28),"")</f>
        <v>46043</v>
      </c>
      <c r="AG28" s="130">
        <f>INDEX('Work Package Master List'!$C$12:$Y$1000, MATCH($E28, 'Work Package Master List'!$B$12:$B$1000, 0), MATCH(AF$11, 'Work Package Master List'!$C$13:$Y$13, 0))</f>
        <v>2</v>
      </c>
      <c r="AH28" s="116">
        <f>IFERROR(IF(OR(AJ28="",AI28=""),"",AJ28-AI28),"")</f>
        <v>46045</v>
      </c>
      <c r="AI28" s="130">
        <f>INDEX('Work Package Master List'!$C$12:$Y$1000, MATCH($E28, 'Work Package Master List'!$B$12:$B$1000, 0), MATCH(AH$11, 'Work Package Master List'!$C$13:$Y$13, 0))</f>
        <v>2</v>
      </c>
      <c r="AJ28" s="116">
        <f>IFERROR(IF(OR(AM28="",AK28=""),"",AM28-AK28),"")</f>
        <v>46047</v>
      </c>
      <c r="AK28" s="130">
        <f>INDEX('Work Package Master List'!$C$12:$Y$1000, MATCH($E28, 'Work Package Master List'!$B$12:$B$1000, 0), MATCH(AJ$11, 'Work Package Master List'!$C$13:$Y$13, 0))</f>
        <v>5</v>
      </c>
      <c r="AL28" s="199"/>
      <c r="AM28" s="116">
        <v>46052</v>
      </c>
      <c r="AN28" s="200">
        <f t="shared" ref="AN28" si="4">IF(MAX($H28,$AM29,$AJ29,$AH29,$AF29,$AD29,$AB29,$Z29,$X29,$V29,$T29,$R29,$P29,$N29,$L29,$J29) = 0,"",MAX($H28,$AM29,$AJ29,$AH29,$AF29,$AD29,$AB29,$Z29,$X29,$V29,$T29,$R29,$P29,$N29,$L29,$J29))</f>
        <v>46258</v>
      </c>
      <c r="AO28" s="199" t="str">
        <f>_xlfn.IFNA(INDEX($J$7:$AM$7,_xlfn.XMATCH(MAX($AM29,$AJ29,$AH29,$AF29,$AD29,$AB29,$Z29,$X29,$V29,$T29,$R29,$P29,$N29,$L29,$J29),$J29:$AM29,0,-1)),"Awaiting DTP")</f>
        <v>Awarded</v>
      </c>
      <c r="AP28" s="204" t="s">
        <v>184</v>
      </c>
      <c r="AR28" s="16">
        <f t="shared" si="0"/>
        <v>39</v>
      </c>
      <c r="AU28" s="16" t="s">
        <v>184</v>
      </c>
    </row>
    <row r="29" spans="2:47" x14ac:dyDescent="0.25">
      <c r="B29" s="180"/>
      <c r="C29" s="180"/>
      <c r="D29" s="187"/>
      <c r="E29" s="180"/>
      <c r="F29" s="180"/>
      <c r="G29" s="180"/>
      <c r="H29" s="189"/>
      <c r="I29" s="105" t="s">
        <v>168</v>
      </c>
      <c r="J29" s="111">
        <v>46048</v>
      </c>
      <c r="K29" s="105"/>
      <c r="L29" s="111">
        <v>46050</v>
      </c>
      <c r="M29" s="105"/>
      <c r="N29" s="111">
        <v>46058</v>
      </c>
      <c r="O29" s="105"/>
      <c r="P29" s="111">
        <v>46058</v>
      </c>
      <c r="Q29" s="105"/>
      <c r="R29" s="111"/>
      <c r="S29" s="105"/>
      <c r="T29" s="111"/>
      <c r="U29" s="105"/>
      <c r="V29" s="111">
        <v>46096</v>
      </c>
      <c r="W29" s="105"/>
      <c r="X29" s="111">
        <v>46132</v>
      </c>
      <c r="Y29" s="105"/>
      <c r="Z29" s="111">
        <v>46213</v>
      </c>
      <c r="AA29" s="105"/>
      <c r="AB29" s="111">
        <v>46223</v>
      </c>
      <c r="AC29" s="105"/>
      <c r="AD29" s="111">
        <v>46213</v>
      </c>
      <c r="AE29" s="105"/>
      <c r="AF29" s="111">
        <v>46218</v>
      </c>
      <c r="AG29" s="105"/>
      <c r="AH29" s="141">
        <v>46237</v>
      </c>
      <c r="AI29" s="105"/>
      <c r="AJ29" s="111"/>
      <c r="AK29" s="105"/>
      <c r="AL29" s="180"/>
      <c r="AM29" s="111">
        <v>46258</v>
      </c>
      <c r="AN29" s="191"/>
      <c r="AO29" s="180"/>
      <c r="AP29" s="203"/>
      <c r="AR29" s="16">
        <f t="shared" si="0"/>
        <v>0</v>
      </c>
    </row>
    <row r="30" spans="2:47" x14ac:dyDescent="0.25">
      <c r="B30" s="179">
        <v>11</v>
      </c>
      <c r="C30" s="179" t="s">
        <v>53</v>
      </c>
      <c r="D30" s="186" t="s">
        <v>55</v>
      </c>
      <c r="E30" s="179" t="s">
        <v>185</v>
      </c>
      <c r="F30" s="179" t="str">
        <f>_xlfn.XLOOKUP($B30,'Procurement Strategy'!$B$12:$B$1381,'Procurement Strategy'!$P$12:$P$1381,"-",0)</f>
        <v/>
      </c>
      <c r="G30" s="179" t="s">
        <v>165</v>
      </c>
      <c r="H30" s="188">
        <v>46022</v>
      </c>
      <c r="I30" s="126" t="s">
        <v>166</v>
      </c>
      <c r="J30" s="103">
        <f>IFERROR(IF(OR(L30="",K30=""),"",L30-K30),"")</f>
        <v>46013</v>
      </c>
      <c r="K30" s="127">
        <f>INDEX('Work Package Master List'!$C$12:$Y$1000, MATCH($E30, 'Work Package Master List'!$B$12:$B$1000, 0), MATCH(J$11, 'Work Package Master List'!$C$13:$Y$13, 0))</f>
        <v>2</v>
      </c>
      <c r="L30" s="103">
        <f>IFERROR(IF(OR(N30="",M30=""),"",N30-M30),"")</f>
        <v>46015</v>
      </c>
      <c r="M30" s="127">
        <f>INDEX('Work Package Master List'!$C$12:$Y$1000, MATCH($E30, 'Work Package Master List'!$B$12:$B$1000, 0), MATCH(L$11, 'Work Package Master List'!$C$13:$Y$13, 0))</f>
        <v>1</v>
      </c>
      <c r="N30" s="103">
        <f>IFERROR(IF(OR(P30="",O30=""),"",P30-O30),"")</f>
        <v>46016</v>
      </c>
      <c r="O30" s="127">
        <f>INDEX('Work Package Master List'!$C$12:$Y$1000, MATCH($E30, 'Work Package Master List'!$B$12:$B$1000, 0), MATCH(N$11, 'Work Package Master List'!$C$13:$Y$13, 0))</f>
        <v>0</v>
      </c>
      <c r="P30" s="103">
        <f>IFERROR(IF(OR(R30="",Q30=""),"",R30-Q30),"")</f>
        <v>46016</v>
      </c>
      <c r="Q30" s="127">
        <f>INDEX('Work Package Master List'!$C$12:$Y$1000, MATCH($E30, 'Work Package Master List'!$B$12:$B$1000, 0), MATCH(P$11, 'Work Package Master List'!$C$13:$Y$13, 0))</f>
        <v>5</v>
      </c>
      <c r="R30" s="103">
        <f>IFERROR(IF(OR(T30="",S30=""),"",T30-S30),"")</f>
        <v>46021</v>
      </c>
      <c r="S30" s="127">
        <f>INDEX('Work Package Master List'!$C$12:$Y$1000, MATCH($E30, 'Work Package Master List'!$B$12:$B$1000, 0), MATCH(R$11, 'Work Package Master List'!$C$13:$Y$13, 0))</f>
        <v>5</v>
      </c>
      <c r="T30" s="103">
        <f>IFERROR(IF(OR(V30="",U30=""),"",V30-U30),"")</f>
        <v>46026</v>
      </c>
      <c r="U30" s="127">
        <f>INDEX('Work Package Master List'!$C$12:$Y$1000, MATCH($E30, 'Work Package Master List'!$B$12:$B$1000, 0), MATCH(T$11, 'Work Package Master List'!$C$13:$Y$13, 0))</f>
        <v>1</v>
      </c>
      <c r="V30" s="103">
        <f>IFERROR(IF(OR(X30="",W30=""),"",X30-W30),"")</f>
        <v>46027</v>
      </c>
      <c r="W30" s="127">
        <f>INDEX('Work Package Master List'!$C$12:$Y$1000, MATCH($E30, 'Work Package Master List'!$B$12:$B$1000, 0), MATCH(V$11, 'Work Package Master List'!$C$13:$Y$13, 0))</f>
        <v>3</v>
      </c>
      <c r="X30" s="103">
        <f>IFERROR(IF(OR(Z30="",Y30=""),"",Z30-Y30),"")</f>
        <v>46030</v>
      </c>
      <c r="Y30" s="127">
        <f>INDEX('Work Package Master List'!$C$12:$Y$1000, MATCH($E30, 'Work Package Master List'!$B$12:$B$1000, 0), MATCH(X$11, 'Work Package Master List'!$C$13:$Y$13, 0))</f>
        <v>2</v>
      </c>
      <c r="Z30" s="103">
        <f>IFERROR(IF(OR(AB30="",AA30=""),"",AB30-AA30),"")</f>
        <v>46032</v>
      </c>
      <c r="AA30" s="127">
        <f>INDEX('Work Package Master List'!$C$12:$Y$1000, MATCH($E30, 'Work Package Master List'!$B$12:$B$1000, 0), MATCH(Z$11, 'Work Package Master List'!$C$13:$Y$13, 0))</f>
        <v>7</v>
      </c>
      <c r="AB30" s="103">
        <f>IFERROR(IF(OR(AD30="",AC30=""),"",AD30-AC30),"")</f>
        <v>46039</v>
      </c>
      <c r="AC30" s="127">
        <f>INDEX('Work Package Master List'!$C$12:$Y$1000, MATCH($E30, 'Work Package Master List'!$B$12:$B$1000, 0), MATCH(AB$11, 'Work Package Master List'!$C$13:$Y$13, 0))</f>
        <v>3</v>
      </c>
      <c r="AD30" s="103">
        <f>IFERROR(IF(OR(AF30="",AE30=""),"",AF30-AE30),"")</f>
        <v>46042</v>
      </c>
      <c r="AE30" s="127">
        <f>INDEX('Work Package Master List'!$C$12:$Y$1000, MATCH($E30, 'Work Package Master List'!$B$12:$B$1000, 0), MATCH(AD$11, 'Work Package Master List'!$C$13:$Y$13, 0))</f>
        <v>1</v>
      </c>
      <c r="AF30" s="103">
        <f>IFERROR(IF(OR(AH30="",AG30=""),"",AH30-AG30),"")</f>
        <v>46043</v>
      </c>
      <c r="AG30" s="127">
        <f>INDEX('Work Package Master List'!$C$12:$Y$1000, MATCH($E30, 'Work Package Master List'!$B$12:$B$1000, 0), MATCH(AF$11, 'Work Package Master List'!$C$13:$Y$13, 0))</f>
        <v>2</v>
      </c>
      <c r="AH30" s="103">
        <f>IFERROR(IF(OR(AJ30="",AI30=""),"",AJ30-AI30),"")</f>
        <v>46045</v>
      </c>
      <c r="AI30" s="127">
        <f>INDEX('Work Package Master List'!$C$12:$Y$1000, MATCH($E30, 'Work Package Master List'!$B$12:$B$1000, 0), MATCH(AH$11, 'Work Package Master List'!$C$13:$Y$13, 0))</f>
        <v>2</v>
      </c>
      <c r="AJ30" s="103">
        <f>IFERROR(IF(OR(AM30="",AK30=""),"",AM30-AK30),"")</f>
        <v>46047</v>
      </c>
      <c r="AK30" s="127">
        <f>INDEX('Work Package Master List'!$C$12:$Y$1000, MATCH($E30, 'Work Package Master List'!$B$12:$B$1000, 0), MATCH(AJ$11, 'Work Package Master List'!$C$13:$Y$13, 0))</f>
        <v>5</v>
      </c>
      <c r="AL30" s="179"/>
      <c r="AM30" s="103">
        <v>46052</v>
      </c>
      <c r="AN30" s="190">
        <f t="shared" ref="AN30" si="5">IF(MAX($H30,$AM31,$AJ31,$AH31,$AF31,$AD31,$AB31,$Z31,$X31,$V31,$T31,$R31,$P31,$N31,$L31,$J31) = 0,"",MAX($H30,$AM31,$AJ31,$AH31,$AF31,$AD31,$AB31,$Z31,$X31,$V31,$T31,$R31,$P31,$N31,$L31,$J31))</f>
        <v>46218</v>
      </c>
      <c r="AO30" s="179" t="str">
        <f>_xlfn.IFNA(INDEX($J$7:$AM$7,_xlfn.XMATCH(MAX($AM31,$AJ31,$AH31,$AF31,$AD31,$AB31,$Z31,$X31,$V31,$T31,$R31,$P31,$N31,$L31,$J31),$J31:$AM31,0,-1)),"Awaiting DTP")</f>
        <v>Awarded</v>
      </c>
      <c r="AP30" s="203" t="s">
        <v>186</v>
      </c>
      <c r="AR30" s="16">
        <f t="shared" si="0"/>
        <v>39</v>
      </c>
      <c r="AU30" s="16" t="s">
        <v>186</v>
      </c>
    </row>
    <row r="31" spans="2:47" x14ac:dyDescent="0.25">
      <c r="B31" s="180"/>
      <c r="C31" s="180"/>
      <c r="D31" s="187"/>
      <c r="E31" s="180"/>
      <c r="F31" s="180"/>
      <c r="G31" s="180"/>
      <c r="H31" s="189"/>
      <c r="I31" s="105" t="s">
        <v>168</v>
      </c>
      <c r="J31" s="111">
        <v>46027</v>
      </c>
      <c r="K31" s="105"/>
      <c r="L31" s="111">
        <v>46027</v>
      </c>
      <c r="M31" s="105"/>
      <c r="N31" s="111">
        <v>46027</v>
      </c>
      <c r="O31" s="105"/>
      <c r="P31" s="111">
        <v>46027</v>
      </c>
      <c r="Q31" s="105"/>
      <c r="R31" s="111">
        <v>46027</v>
      </c>
      <c r="S31" s="105"/>
      <c r="T31" s="111"/>
      <c r="U31" s="105"/>
      <c r="V31" s="111">
        <v>46073</v>
      </c>
      <c r="W31" s="105"/>
      <c r="X31" s="111">
        <v>46078</v>
      </c>
      <c r="Y31" s="105"/>
      <c r="Z31" s="111"/>
      <c r="AA31" s="105"/>
      <c r="AB31" s="111"/>
      <c r="AC31" s="105"/>
      <c r="AD31" s="111"/>
      <c r="AE31" s="105"/>
      <c r="AF31" s="111"/>
      <c r="AG31" s="105"/>
      <c r="AH31" s="111"/>
      <c r="AI31" s="105"/>
      <c r="AJ31" s="111"/>
      <c r="AK31" s="105"/>
      <c r="AL31" s="180"/>
      <c r="AM31" s="111">
        <v>46218</v>
      </c>
      <c r="AN31" s="191"/>
      <c r="AO31" s="180"/>
      <c r="AP31" s="204"/>
      <c r="AR31" s="16">
        <f t="shared" si="0"/>
        <v>0</v>
      </c>
    </row>
    <row r="32" spans="2:47" x14ac:dyDescent="0.25">
      <c r="B32" s="179">
        <v>12</v>
      </c>
      <c r="C32" s="179" t="s">
        <v>53</v>
      </c>
      <c r="D32" s="186" t="s">
        <v>56</v>
      </c>
      <c r="E32" s="179" t="s">
        <v>185</v>
      </c>
      <c r="F32" s="179" t="str">
        <f>_xlfn.XLOOKUP($B32,'Procurement Strategy'!$B$12:$B$1379,'Procurement Strategy'!$P$12:$P$1379,"-",0)</f>
        <v/>
      </c>
      <c r="G32" s="179" t="s">
        <v>165</v>
      </c>
      <c r="H32" s="188">
        <v>46022</v>
      </c>
      <c r="I32" s="126" t="s">
        <v>166</v>
      </c>
      <c r="J32" s="103">
        <f>IFERROR(IF(OR(L32="",K32=""),"",L32-K32),"")</f>
        <v>46013</v>
      </c>
      <c r="K32" s="127">
        <f>INDEX('Work Package Master List'!$C$12:$Y$1000, MATCH($E32, 'Work Package Master List'!$B$12:$B$1000, 0), MATCH(J$11, 'Work Package Master List'!$C$13:$Y$13, 0))</f>
        <v>2</v>
      </c>
      <c r="L32" s="103">
        <f>IFERROR(IF(OR(N32="",M32=""),"",N32-M32),"")</f>
        <v>46015</v>
      </c>
      <c r="M32" s="127">
        <f>INDEX('Work Package Master List'!$C$12:$Y$1000, MATCH($E32, 'Work Package Master List'!$B$12:$B$1000, 0), MATCH(L$11, 'Work Package Master List'!$C$13:$Y$13, 0))</f>
        <v>1</v>
      </c>
      <c r="N32" s="103">
        <f>IFERROR(IF(OR(P32="",O32=""),"",P32-O32),"")</f>
        <v>46016</v>
      </c>
      <c r="O32" s="127">
        <f>INDEX('Work Package Master List'!$C$12:$Y$1000, MATCH($E32, 'Work Package Master List'!$B$12:$B$1000, 0), MATCH(N$11, 'Work Package Master List'!$C$13:$Y$13, 0))</f>
        <v>0</v>
      </c>
      <c r="P32" s="103">
        <f>IFERROR(IF(OR(R32="",Q32=""),"",R32-Q32),"")</f>
        <v>46016</v>
      </c>
      <c r="Q32" s="127">
        <f>INDEX('Work Package Master List'!$C$12:$Y$1000, MATCH($E32, 'Work Package Master List'!$B$12:$B$1000, 0), MATCH(P$11, 'Work Package Master List'!$C$13:$Y$13, 0))</f>
        <v>5</v>
      </c>
      <c r="R32" s="103">
        <f>IFERROR(IF(OR(T32="",S32=""),"",T32-S32),"")</f>
        <v>46021</v>
      </c>
      <c r="S32" s="127">
        <f>INDEX('Work Package Master List'!$C$12:$Y$1000, MATCH($E32, 'Work Package Master List'!$B$12:$B$1000, 0), MATCH(R$11, 'Work Package Master List'!$C$13:$Y$13, 0))</f>
        <v>5</v>
      </c>
      <c r="T32" s="103">
        <f>IFERROR(IF(OR(V32="",U32=""),"",V32-U32),"")</f>
        <v>46026</v>
      </c>
      <c r="U32" s="127">
        <f>INDEX('Work Package Master List'!$C$12:$Y$1000, MATCH($E32, 'Work Package Master List'!$B$12:$B$1000, 0), MATCH(T$11, 'Work Package Master List'!$C$13:$Y$13, 0))</f>
        <v>1</v>
      </c>
      <c r="V32" s="103">
        <f>IFERROR(IF(OR(X32="",W32=""),"",X32-W32),"")</f>
        <v>46027</v>
      </c>
      <c r="W32" s="127">
        <f>INDEX('Work Package Master List'!$C$12:$Y$1000, MATCH($E32, 'Work Package Master List'!$B$12:$B$1000, 0), MATCH(V$11, 'Work Package Master List'!$C$13:$Y$13, 0))</f>
        <v>3</v>
      </c>
      <c r="X32" s="103">
        <f>IFERROR(IF(OR(Z32="",Y32=""),"",Z32-Y32),"")</f>
        <v>46030</v>
      </c>
      <c r="Y32" s="127">
        <f>INDEX('Work Package Master List'!$C$12:$Y$1000, MATCH($E32, 'Work Package Master List'!$B$12:$B$1000, 0), MATCH(X$11, 'Work Package Master List'!$C$13:$Y$13, 0))</f>
        <v>2</v>
      </c>
      <c r="Z32" s="103">
        <f>IFERROR(IF(OR(AB32="",AA32=""),"",AB32-AA32),"")</f>
        <v>46032</v>
      </c>
      <c r="AA32" s="127">
        <f>INDEX('Work Package Master List'!$C$12:$Y$1000, MATCH($E32, 'Work Package Master List'!$B$12:$B$1000, 0), MATCH(Z$11, 'Work Package Master List'!$C$13:$Y$13, 0))</f>
        <v>7</v>
      </c>
      <c r="AB32" s="103">
        <f>IFERROR(IF(OR(AD32="",AC32=""),"",AD32-AC32),"")</f>
        <v>46039</v>
      </c>
      <c r="AC32" s="127">
        <f>INDEX('Work Package Master List'!$C$12:$Y$1000, MATCH($E32, 'Work Package Master List'!$B$12:$B$1000, 0), MATCH(AB$11, 'Work Package Master List'!$C$13:$Y$13, 0))</f>
        <v>3</v>
      </c>
      <c r="AD32" s="103">
        <f>IFERROR(IF(OR(AF32="",AE32=""),"",AF32-AE32),"")</f>
        <v>46042</v>
      </c>
      <c r="AE32" s="127">
        <f>INDEX('Work Package Master List'!$C$12:$Y$1000, MATCH($E32, 'Work Package Master List'!$B$12:$B$1000, 0), MATCH(AD$11, 'Work Package Master List'!$C$13:$Y$13, 0))</f>
        <v>1</v>
      </c>
      <c r="AF32" s="103">
        <f>IFERROR(IF(OR(AH32="",AG32=""),"",AH32-AG32),"")</f>
        <v>46043</v>
      </c>
      <c r="AG32" s="127">
        <f>INDEX('Work Package Master List'!$C$12:$Y$1000, MATCH($E32, 'Work Package Master List'!$B$12:$B$1000, 0), MATCH(AF$11, 'Work Package Master List'!$C$13:$Y$13, 0))</f>
        <v>2</v>
      </c>
      <c r="AH32" s="103">
        <f>IFERROR(IF(OR(AJ32="",AI32=""),"",AJ32-AI32),"")</f>
        <v>46045</v>
      </c>
      <c r="AI32" s="127">
        <f>INDEX('Work Package Master List'!$C$12:$Y$1000, MATCH($E32, 'Work Package Master List'!$B$12:$B$1000, 0), MATCH(AH$11, 'Work Package Master List'!$C$13:$Y$13, 0))</f>
        <v>2</v>
      </c>
      <c r="AJ32" s="103">
        <f>IFERROR(IF(OR(AM32="",AK32=""),"",AM32-AK32),"")</f>
        <v>46047</v>
      </c>
      <c r="AK32" s="127">
        <f>INDEX('Work Package Master List'!$C$12:$Y$1000, MATCH($E32, 'Work Package Master List'!$B$12:$B$1000, 0), MATCH(AJ$11, 'Work Package Master List'!$C$13:$Y$13, 0))</f>
        <v>5</v>
      </c>
      <c r="AL32" s="179"/>
      <c r="AM32" s="103">
        <v>46052</v>
      </c>
      <c r="AN32" s="190">
        <f t="shared" ref="AN32" si="6">IF(MAX($H32,$AM33,$AJ33,$AH33,$AF33,$AD33,$AB33,$Z33,$X33,$V33,$T33,$R33,$P33,$N33,$L33,$J33) = 0,"",MAX($H32,$AM33,$AJ33,$AH33,$AF33,$AD33,$AB33,$Z33,$X33,$V33,$T33,$R33,$P33,$N33,$L33,$J33))</f>
        <v>46174</v>
      </c>
      <c r="AO32" s="179" t="str">
        <f>_xlfn.IFNA(INDEX($J$7:$AM$7,_xlfn.XMATCH(MAX($AM33,$AJ33,$AH33,$AF33,$AD33,$AB33,$Z33,$X33,$V33,$T33,$R33,$P33,$N33,$L33,$J33),$J33:$AM33,0,-1)),"Awaiting DTP")</f>
        <v>Awarded</v>
      </c>
      <c r="AP32" s="203" t="s">
        <v>187</v>
      </c>
      <c r="AR32" s="16">
        <f t="shared" si="0"/>
        <v>39</v>
      </c>
      <c r="AU32" s="16" t="s">
        <v>187</v>
      </c>
    </row>
    <row r="33" spans="2:47" x14ac:dyDescent="0.25">
      <c r="B33" s="180"/>
      <c r="C33" s="180"/>
      <c r="D33" s="187"/>
      <c r="E33" s="180"/>
      <c r="F33" s="180"/>
      <c r="G33" s="180"/>
      <c r="H33" s="189"/>
      <c r="I33" s="105" t="s">
        <v>168</v>
      </c>
      <c r="J33" s="111">
        <v>46027</v>
      </c>
      <c r="K33" s="105"/>
      <c r="L33" s="111">
        <v>46027</v>
      </c>
      <c r="M33" s="105"/>
      <c r="N33" s="111">
        <v>46027</v>
      </c>
      <c r="O33" s="105"/>
      <c r="P33" s="111">
        <v>46027</v>
      </c>
      <c r="Q33" s="105"/>
      <c r="R33" s="111">
        <v>46027</v>
      </c>
      <c r="S33" s="105"/>
      <c r="T33" s="111"/>
      <c r="U33" s="105"/>
      <c r="V33" s="111"/>
      <c r="W33" s="105"/>
      <c r="X33" s="111"/>
      <c r="Y33" s="105"/>
      <c r="Z33" s="111"/>
      <c r="AA33" s="105"/>
      <c r="AB33" s="111"/>
      <c r="AC33" s="105"/>
      <c r="AD33" s="111"/>
      <c r="AE33" s="105"/>
      <c r="AF33" s="111"/>
      <c r="AG33" s="105"/>
      <c r="AH33" s="111"/>
      <c r="AI33" s="105"/>
      <c r="AJ33" s="111"/>
      <c r="AK33" s="105"/>
      <c r="AL33" s="180"/>
      <c r="AM33" s="111">
        <v>46174</v>
      </c>
      <c r="AN33" s="191"/>
      <c r="AO33" s="180"/>
      <c r="AP33" s="204"/>
      <c r="AR33" s="16">
        <f t="shared" si="0"/>
        <v>0</v>
      </c>
    </row>
    <row r="34" spans="2:47" x14ac:dyDescent="0.25">
      <c r="B34" s="179">
        <v>13</v>
      </c>
      <c r="C34" s="179" t="s">
        <v>53</v>
      </c>
      <c r="D34" s="186" t="s">
        <v>57</v>
      </c>
      <c r="E34" s="179" t="s">
        <v>188</v>
      </c>
      <c r="F34" s="179" t="str">
        <f>_xlfn.XLOOKUP($B34,'Procurement Strategy'!$B$12:$B$1371,'Procurement Strategy'!$P$12:$P$1371,"-",0)</f>
        <v>Yes</v>
      </c>
      <c r="G34" s="179" t="s">
        <v>172</v>
      </c>
      <c r="H34" s="188">
        <v>46022</v>
      </c>
      <c r="I34" s="126" t="s">
        <v>166</v>
      </c>
      <c r="J34" s="103">
        <f>IFERROR(IF(OR(L34="",K34=""),"",L34-K34),"")</f>
        <v>45951</v>
      </c>
      <c r="K34" s="127">
        <f>INDEX('Work Package Master List'!$C$12:$Y$1000, MATCH($E34, 'Work Package Master List'!$B$12:$B$1000, 0), MATCH(J$11, 'Work Package Master List'!$C$13:$Y$13, 0))</f>
        <v>2</v>
      </c>
      <c r="L34" s="103">
        <f>IFERROR(IF(OR(N34="",M34=""),"",N34-M34),"")</f>
        <v>45953</v>
      </c>
      <c r="M34" s="127">
        <f>INDEX('Work Package Master List'!$C$12:$Y$1000, MATCH($E34, 'Work Package Master List'!$B$12:$B$1000, 0), MATCH(L$11, 'Work Package Master List'!$C$13:$Y$13, 0))</f>
        <v>1</v>
      </c>
      <c r="N34" s="103">
        <f>IFERROR(IF(OR(P34="",O34=""),"",P34-O34),"")</f>
        <v>45954</v>
      </c>
      <c r="O34" s="127">
        <f>INDEX('Work Package Master List'!$C$12:$Y$1000, MATCH($E34, 'Work Package Master List'!$B$12:$B$1000, 0), MATCH(N$11, 'Work Package Master List'!$C$13:$Y$13, 0))</f>
        <v>0</v>
      </c>
      <c r="P34" s="103">
        <f>IFERROR(IF(OR(R34="",Q34=""),"",R34-Q34),"")</f>
        <v>45954</v>
      </c>
      <c r="Q34" s="127">
        <f>INDEX('Work Package Master List'!$C$12:$Y$1000, MATCH($E34, 'Work Package Master List'!$B$12:$B$1000, 0), MATCH(P$11, 'Work Package Master List'!$C$13:$Y$13, 0))</f>
        <v>10</v>
      </c>
      <c r="R34" s="103">
        <f>IFERROR(IF(OR(T34="",S34=""),"",T34-S34),"")</f>
        <v>45964</v>
      </c>
      <c r="S34" s="127">
        <f>INDEX('Work Package Master List'!$C$12:$Y$1000, MATCH($E34, 'Work Package Master List'!$B$12:$B$1000, 0), MATCH(R$11, 'Work Package Master List'!$C$13:$Y$13, 0))</f>
        <v>5</v>
      </c>
      <c r="T34" s="103">
        <f>IFERROR(IF(OR(V34="",U34=""),"",V34-U34),"")</f>
        <v>45969</v>
      </c>
      <c r="U34" s="127">
        <f>INDEX('Work Package Master List'!$C$12:$Y$1000, MATCH($E34, 'Work Package Master List'!$B$12:$B$1000, 0), MATCH(T$11, 'Work Package Master List'!$C$13:$Y$13, 0))</f>
        <v>1</v>
      </c>
      <c r="V34" s="103">
        <f>IFERROR(IF(OR(X34="",W34=""),"",X34-W34),"")</f>
        <v>45970</v>
      </c>
      <c r="W34" s="127">
        <f>INDEX('Work Package Master List'!$C$12:$Y$1000, MATCH($E34, 'Work Package Master List'!$B$12:$B$1000, 0), MATCH(V$11, 'Work Package Master List'!$C$13:$Y$13, 0))</f>
        <v>3</v>
      </c>
      <c r="X34" s="103">
        <f>IFERROR(IF(OR(Z34="",Y34=""),"",Z34-Y34),"")</f>
        <v>45973</v>
      </c>
      <c r="Y34" s="127">
        <f>INDEX('Work Package Master List'!$C$12:$Y$1000, MATCH($E34, 'Work Package Master List'!$B$12:$B$1000, 0), MATCH(X$11, 'Work Package Master List'!$C$13:$Y$13, 0))</f>
        <v>2</v>
      </c>
      <c r="Z34" s="103">
        <f>IFERROR(IF(OR(AB34="",AA34=""),"",AB34-AA34),"")</f>
        <v>45975</v>
      </c>
      <c r="AA34" s="127">
        <f>INDEX('Work Package Master List'!$C$12:$Y$1000, MATCH($E34, 'Work Package Master List'!$B$12:$B$1000, 0), MATCH(Z$11, 'Work Package Master List'!$C$13:$Y$13, 0))</f>
        <v>3</v>
      </c>
      <c r="AB34" s="103">
        <f>IFERROR(IF(OR(AD34="",AC34=""),"",AD34-AC34),"")</f>
        <v>45978</v>
      </c>
      <c r="AC34" s="127">
        <f>INDEX('Work Package Master List'!$C$12:$Y$1000, MATCH($E34, 'Work Package Master List'!$B$12:$B$1000, 0), MATCH(AB$11, 'Work Package Master List'!$C$13:$Y$13, 0))</f>
        <v>3</v>
      </c>
      <c r="AD34" s="103">
        <f>IFERROR(IF(OR(AF34="",AE34=""),"",AF34-AE34),"")</f>
        <v>45981</v>
      </c>
      <c r="AE34" s="127">
        <f>INDEX('Work Package Master List'!$C$12:$Y$1000, MATCH($E34, 'Work Package Master List'!$B$12:$B$1000, 0), MATCH(AD$11, 'Work Package Master List'!$C$13:$Y$13, 0))</f>
        <v>1</v>
      </c>
      <c r="AF34" s="103">
        <f>IFERROR(IF(OR(AH34="",AG34=""),"",AH34-AG34),"")</f>
        <v>45982</v>
      </c>
      <c r="AG34" s="127">
        <f>INDEX('Work Package Master List'!$C$12:$Y$1000, MATCH($E34, 'Work Package Master List'!$B$12:$B$1000, 0), MATCH(AF$11, 'Work Package Master List'!$C$13:$Y$13, 0))</f>
        <v>2</v>
      </c>
      <c r="AH34" s="103">
        <f>IFERROR(IF(OR(AJ34="",AI34=""),"",AJ34-AI34),"")</f>
        <v>45984</v>
      </c>
      <c r="AI34" s="127">
        <f>INDEX('Work Package Master List'!$C$12:$Y$1000, MATCH($E34, 'Work Package Master List'!$B$12:$B$1000, 0), MATCH(AH$11, 'Work Package Master List'!$C$13:$Y$13, 0))</f>
        <v>2</v>
      </c>
      <c r="AJ34" s="103">
        <f>IFERROR(IF(OR(AM34="",AK34=""),"",AM34-AK34),"")</f>
        <v>45986</v>
      </c>
      <c r="AK34" s="127">
        <f>INDEX('Work Package Master List'!$C$12:$Y$1000, MATCH($E34, 'Work Package Master List'!$B$12:$B$1000, 0), MATCH(AJ$11, 'Work Package Master List'!$C$13:$Y$13, 0))</f>
        <v>5</v>
      </c>
      <c r="AL34" s="179">
        <v>15352</v>
      </c>
      <c r="AM34" s="103">
        <v>45991</v>
      </c>
      <c r="AN34" s="190">
        <f t="shared" ref="AN34" si="7">IF(MAX($H34,$AM35,$AJ35,$AH35,$AF35,$AD35,$AB35,$Z35,$X35,$V35,$T35,$R35,$P35,$N35,$L35,$J35) = 0,"",MAX($H34,$AM35,$AJ35,$AH35,$AF35,$AD35,$AB35,$Z35,$X35,$V35,$T35,$R35,$P35,$N35,$L35,$J35))</f>
        <v>46135</v>
      </c>
      <c r="AO34" s="179" t="str">
        <f>_xlfn.IFNA(INDEX($J$7:$AM$7,_xlfn.XMATCH(MAX($AM35,$AJ35,$AH35,$AF35,$AD35,$AB35,$Z35,$X35,$V35,$T35,$R35,$P35,$N35,$L35,$J35),$J35:$AM35,0,-1)),"Awaiting DTP")</f>
        <v>Awarded</v>
      </c>
      <c r="AP34" s="203" t="s">
        <v>189</v>
      </c>
      <c r="AR34" s="16">
        <f t="shared" si="0"/>
        <v>40</v>
      </c>
      <c r="AU34" s="16" t="s">
        <v>189</v>
      </c>
    </row>
    <row r="35" spans="2:47" x14ac:dyDescent="0.25">
      <c r="B35" s="180"/>
      <c r="C35" s="180"/>
      <c r="D35" s="187"/>
      <c r="E35" s="180"/>
      <c r="F35" s="180"/>
      <c r="G35" s="180"/>
      <c r="H35" s="189"/>
      <c r="I35" s="105" t="s">
        <v>168</v>
      </c>
      <c r="J35" s="111">
        <v>46017</v>
      </c>
      <c r="K35" s="105"/>
      <c r="L35" s="111"/>
      <c r="M35" s="105"/>
      <c r="N35" s="111"/>
      <c r="O35" s="105"/>
      <c r="P35" s="111"/>
      <c r="Q35" s="105"/>
      <c r="R35" s="111"/>
      <c r="S35" s="105"/>
      <c r="T35" s="111"/>
      <c r="U35" s="105"/>
      <c r="V35" s="111"/>
      <c r="W35" s="105"/>
      <c r="X35" s="111"/>
      <c r="Y35" s="105"/>
      <c r="Z35" s="111"/>
      <c r="AA35" s="105"/>
      <c r="AB35" s="111"/>
      <c r="AC35" s="105"/>
      <c r="AD35" s="111"/>
      <c r="AE35" s="105"/>
      <c r="AF35" s="111"/>
      <c r="AG35" s="105"/>
      <c r="AH35" s="111"/>
      <c r="AI35" s="105"/>
      <c r="AJ35" s="111"/>
      <c r="AK35" s="105"/>
      <c r="AL35" s="180"/>
      <c r="AM35" s="111">
        <v>46135</v>
      </c>
      <c r="AN35" s="191"/>
      <c r="AO35" s="180"/>
      <c r="AP35" s="204"/>
      <c r="AR35" s="16">
        <f t="shared" si="0"/>
        <v>0</v>
      </c>
    </row>
    <row r="36" spans="2:47" x14ac:dyDescent="0.25">
      <c r="B36" s="179">
        <v>14</v>
      </c>
      <c r="C36" s="179" t="s">
        <v>44</v>
      </c>
      <c r="D36" s="186" t="s">
        <v>58</v>
      </c>
      <c r="E36" s="179" t="s">
        <v>190</v>
      </c>
      <c r="F36" s="179" t="str">
        <f>_xlfn.XLOOKUP($B36,'Procurement Strategy'!$B$12:$B$1370,'Procurement Strategy'!$P$12:$P$1370,"-",0)</f>
        <v>Yes</v>
      </c>
      <c r="G36" s="179" t="s">
        <v>172</v>
      </c>
      <c r="H36" s="188">
        <v>46022</v>
      </c>
      <c r="I36" s="126" t="s">
        <v>166</v>
      </c>
      <c r="J36" s="103">
        <f>IFERROR(IF(OR(L36="",K36=""),"",L36-K36),"")</f>
        <v>45968</v>
      </c>
      <c r="K36" s="127">
        <f>INDEX('Work Package Master List'!$C$12:$Y$1000, MATCH($E36, 'Work Package Master List'!$B$12:$B$1000, 0), MATCH(J$11, 'Work Package Master List'!$C$13:$Y$13, 0))</f>
        <v>2</v>
      </c>
      <c r="L36" s="103">
        <f>IFERROR(IF(OR(N36="",M36=""),"",N36-M36),"")</f>
        <v>45970</v>
      </c>
      <c r="M36" s="127">
        <f>INDEX('Work Package Master List'!$C$12:$Y$1000, MATCH($E36, 'Work Package Master List'!$B$12:$B$1000, 0), MATCH(L$11, 'Work Package Master List'!$C$13:$Y$13, 0))</f>
        <v>1</v>
      </c>
      <c r="N36" s="103">
        <f>IFERROR(IF(OR(P36="",O36=""),"",P36-O36),"")</f>
        <v>45971</v>
      </c>
      <c r="O36" s="127">
        <f>INDEX('Work Package Master List'!$C$12:$Y$1000, MATCH($E36, 'Work Package Master List'!$B$12:$B$1000, 0), MATCH(N$11, 'Work Package Master List'!$C$13:$Y$13, 0))</f>
        <v>0</v>
      </c>
      <c r="P36" s="103">
        <f>IFERROR(IF(OR(R36="",Q36=""),"",R36-Q36),"")</f>
        <v>45971</v>
      </c>
      <c r="Q36" s="127">
        <f>INDEX('Work Package Master List'!$C$12:$Y$1000, MATCH($E36, 'Work Package Master List'!$B$12:$B$1000, 0), MATCH(P$11, 'Work Package Master List'!$C$13:$Y$13, 0))</f>
        <v>5</v>
      </c>
      <c r="R36" s="103">
        <f>IFERROR(IF(OR(T36="",S36=""),"",T36-S36),"")</f>
        <v>45976</v>
      </c>
      <c r="S36" s="127">
        <f>INDEX('Work Package Master List'!$C$12:$Y$1000, MATCH($E36, 'Work Package Master List'!$B$12:$B$1000, 0), MATCH(R$11, 'Work Package Master List'!$C$13:$Y$13, 0))</f>
        <v>2</v>
      </c>
      <c r="T36" s="103">
        <f>IFERROR(IF(OR(V36="",U36=""),"",V36-U36),"")</f>
        <v>45978</v>
      </c>
      <c r="U36" s="127">
        <f>INDEX('Work Package Master List'!$C$12:$Y$1000, MATCH($E36, 'Work Package Master List'!$B$12:$B$1000, 0), MATCH(T$11, 'Work Package Master List'!$C$13:$Y$13, 0))</f>
        <v>1</v>
      </c>
      <c r="V36" s="103">
        <f>IFERROR(IF(OR(X36="",W36=""),"",X36-W36),"")</f>
        <v>45979</v>
      </c>
      <c r="W36" s="127">
        <f>INDEX('Work Package Master List'!$C$12:$Y$1000, MATCH($E36, 'Work Package Master List'!$B$12:$B$1000, 0), MATCH(V$11, 'Work Package Master List'!$C$13:$Y$13, 0))</f>
        <v>3</v>
      </c>
      <c r="X36" s="103">
        <f>IFERROR(IF(OR(Z36="",Y36=""),"",Z36-Y36),"")</f>
        <v>45982</v>
      </c>
      <c r="Y36" s="127">
        <f>INDEX('Work Package Master List'!$C$12:$Y$1000, MATCH($E36, 'Work Package Master List'!$B$12:$B$1000, 0), MATCH(X$11, 'Work Package Master List'!$C$13:$Y$13, 0))</f>
        <v>2</v>
      </c>
      <c r="Z36" s="103">
        <f>IFERROR(IF(OR(AB36="",AA36=""),"",AB36-AA36),"")</f>
        <v>45984</v>
      </c>
      <c r="AA36" s="127">
        <f>INDEX('Work Package Master List'!$C$12:$Y$1000, MATCH($E36, 'Work Package Master List'!$B$12:$B$1000, 0), MATCH(Z$11, 'Work Package Master List'!$C$13:$Y$13, 0))</f>
        <v>2</v>
      </c>
      <c r="AB36" s="103">
        <f>IFERROR(IF(OR(AD36="",AC36=""),"",AD36-AC36),"")</f>
        <v>45986</v>
      </c>
      <c r="AC36" s="127">
        <f>INDEX('Work Package Master List'!$C$12:$Y$1000, MATCH($E36, 'Work Package Master List'!$B$12:$B$1000, 0), MATCH(AB$11, 'Work Package Master List'!$C$13:$Y$13, 0))</f>
        <v>2</v>
      </c>
      <c r="AD36" s="103">
        <f>IFERROR(IF(OR(AF36="",AE36=""),"",AF36-AE36),"")</f>
        <v>45988</v>
      </c>
      <c r="AE36" s="127">
        <f>INDEX('Work Package Master List'!$C$12:$Y$1000, MATCH($E36, 'Work Package Master List'!$B$12:$B$1000, 0), MATCH(AD$11, 'Work Package Master List'!$C$13:$Y$13, 0))</f>
        <v>1</v>
      </c>
      <c r="AF36" s="103">
        <f>IFERROR(IF(OR(AH36="",AG36=""),"",AH36-AG36),"")</f>
        <v>45989</v>
      </c>
      <c r="AG36" s="127">
        <f>INDEX('Work Package Master List'!$C$12:$Y$1000, MATCH($E36, 'Work Package Master List'!$B$12:$B$1000, 0), MATCH(AF$11, 'Work Package Master List'!$C$13:$Y$13, 0))</f>
        <v>2</v>
      </c>
      <c r="AH36" s="103">
        <f>IFERROR(IF(OR(AJ36="",AI36=""),"",AJ36-AI36),"")</f>
        <v>45991</v>
      </c>
      <c r="AI36" s="127">
        <f>INDEX('Work Package Master List'!$C$12:$Y$1000, MATCH($E36, 'Work Package Master List'!$B$12:$B$1000, 0), MATCH(AH$11, 'Work Package Master List'!$C$13:$Y$13, 0))</f>
        <v>2</v>
      </c>
      <c r="AJ36" s="103">
        <f>IFERROR(IF(OR(AM36="",AK36=""),"",AM36-AK36),"")</f>
        <v>45993</v>
      </c>
      <c r="AK36" s="127">
        <f>INDEX('Work Package Master List'!$C$12:$Y$1000, MATCH($E36, 'Work Package Master List'!$B$12:$B$1000, 0), MATCH(AJ$11, 'Work Package Master List'!$C$13:$Y$13, 0))</f>
        <v>5</v>
      </c>
      <c r="AL36" s="179">
        <v>13245</v>
      </c>
      <c r="AM36" s="103">
        <v>45998</v>
      </c>
      <c r="AN36" s="190">
        <f t="shared" ref="AN36" si="8">IF(MAX($H36,$AM37,$AJ37,$AH37,$AF37,$AD37,$AB37,$Z37,$X37,$V37,$T37,$R37,$P37,$N37,$L37,$J37) = 0,"",MAX($H36,$AM37,$AJ37,$AH37,$AF37,$AD37,$AB37,$Z37,$X37,$V37,$T37,$R37,$P37,$N37,$L37,$J37))</f>
        <v>46024</v>
      </c>
      <c r="AO36" s="179" t="str">
        <f>_xlfn.IFNA(INDEX($J$7:$AM$7,_xlfn.XMATCH(MAX($AM37,$AJ37,$AH37,$AF37,$AD37,$AB37,$Z37,$X37,$V37,$T37,$R37,$P37,$N37,$L37,$J37),$J37:$AM37,0,-1)),"Awaiting DTP")</f>
        <v>Awarded</v>
      </c>
      <c r="AP36" s="203" t="s">
        <v>191</v>
      </c>
      <c r="AR36" s="16">
        <f t="shared" si="0"/>
        <v>30</v>
      </c>
      <c r="AU36" s="16" t="s">
        <v>191</v>
      </c>
    </row>
    <row r="37" spans="2:47" x14ac:dyDescent="0.25">
      <c r="B37" s="180"/>
      <c r="C37" s="180"/>
      <c r="D37" s="187"/>
      <c r="E37" s="180"/>
      <c r="F37" s="180"/>
      <c r="G37" s="180"/>
      <c r="H37" s="189"/>
      <c r="I37" s="105" t="s">
        <v>168</v>
      </c>
      <c r="J37" s="111">
        <v>45966</v>
      </c>
      <c r="K37" s="105"/>
      <c r="L37" s="111">
        <v>45966</v>
      </c>
      <c r="M37" s="105"/>
      <c r="N37" s="111">
        <v>45966</v>
      </c>
      <c r="O37" s="105"/>
      <c r="P37" s="111">
        <v>45966</v>
      </c>
      <c r="Q37" s="105"/>
      <c r="R37" s="111">
        <v>45967</v>
      </c>
      <c r="S37" s="105"/>
      <c r="T37" s="111">
        <v>45967</v>
      </c>
      <c r="U37" s="105"/>
      <c r="V37" s="111">
        <v>45967</v>
      </c>
      <c r="W37" s="105"/>
      <c r="X37" s="111">
        <v>46014</v>
      </c>
      <c r="Y37" s="105"/>
      <c r="Z37" s="111">
        <v>46014</v>
      </c>
      <c r="AA37" s="105"/>
      <c r="AB37" s="111">
        <v>46015</v>
      </c>
      <c r="AC37" s="105"/>
      <c r="AD37" s="111">
        <v>46015</v>
      </c>
      <c r="AE37" s="105"/>
      <c r="AF37" s="111">
        <v>46015</v>
      </c>
      <c r="AG37" s="105"/>
      <c r="AH37" s="111">
        <v>46016</v>
      </c>
      <c r="AI37" s="105"/>
      <c r="AJ37" s="111">
        <v>46017</v>
      </c>
      <c r="AK37" s="105"/>
      <c r="AL37" s="180"/>
      <c r="AM37" s="111">
        <v>46024</v>
      </c>
      <c r="AN37" s="191"/>
      <c r="AO37" s="180"/>
      <c r="AP37" s="204"/>
      <c r="AR37" s="16">
        <f t="shared" si="0"/>
        <v>0</v>
      </c>
    </row>
    <row r="38" spans="2:47" x14ac:dyDescent="0.25">
      <c r="B38" s="179">
        <v>15</v>
      </c>
      <c r="C38" s="179" t="s">
        <v>44</v>
      </c>
      <c r="D38" s="186" t="s">
        <v>59</v>
      </c>
      <c r="E38" s="179" t="s">
        <v>192</v>
      </c>
      <c r="F38" s="179" t="str">
        <f>_xlfn.XLOOKUP($B38,'Procurement Strategy'!$B$12:$B$1365,'Procurement Strategy'!$P$12:$P$1365,"-",0)</f>
        <v/>
      </c>
      <c r="G38" s="179" t="s">
        <v>176</v>
      </c>
      <c r="H38" s="188">
        <v>46022</v>
      </c>
      <c r="I38" s="126" t="s">
        <v>166</v>
      </c>
      <c r="J38" s="103">
        <f>IFERROR(IF(OR(L38="",K38=""),"",L38-K38),"")</f>
        <v>46101</v>
      </c>
      <c r="K38" s="127">
        <f>INDEX('Work Package Master List'!$C$12:$Y$1000, MATCH($E38, 'Work Package Master List'!$B$12:$B$1000, 0), MATCH(J$11, 'Work Package Master List'!$C$13:$Y$13, 0))</f>
        <v>2</v>
      </c>
      <c r="L38" s="103">
        <f>IFERROR(IF(OR(N38="",M38=""),"",N38-M38),"")</f>
        <v>46103</v>
      </c>
      <c r="M38" s="127">
        <f>INDEX('Work Package Master List'!$C$12:$Y$1000, MATCH($E38, 'Work Package Master List'!$B$12:$B$1000, 0), MATCH(L$11, 'Work Package Master List'!$C$13:$Y$13, 0))</f>
        <v>1</v>
      </c>
      <c r="N38" s="103">
        <f>IFERROR(IF(OR(P38="",O38=""),"",P38-O38),"")</f>
        <v>46104</v>
      </c>
      <c r="O38" s="127">
        <f>INDEX('Work Package Master List'!$C$12:$Y$1000, MATCH($E38, 'Work Package Master List'!$B$12:$B$1000, 0), MATCH(N$11, 'Work Package Master List'!$C$13:$Y$13, 0))</f>
        <v>0</v>
      </c>
      <c r="P38" s="103">
        <f>IFERROR(IF(OR(R38="",Q38=""),"",R38-Q38),"")</f>
        <v>46104</v>
      </c>
      <c r="Q38" s="127">
        <f>INDEX('Work Package Master List'!$C$12:$Y$1000, MATCH($E38, 'Work Package Master List'!$B$12:$B$1000, 0), MATCH(P$11, 'Work Package Master List'!$C$13:$Y$13, 0))</f>
        <v>14</v>
      </c>
      <c r="R38" s="103">
        <f>IFERROR(IF(OR(T38="",S38=""),"",T38-S38),"")</f>
        <v>46118</v>
      </c>
      <c r="S38" s="127">
        <f>INDEX('Work Package Master List'!$C$12:$Y$1000, MATCH($E38, 'Work Package Master List'!$B$12:$B$1000, 0), MATCH(R$11, 'Work Package Master List'!$C$13:$Y$13, 0))</f>
        <v>10</v>
      </c>
      <c r="T38" s="103">
        <f>IFERROR(IF(OR(V38="",U38=""),"",V38-U38),"")</f>
        <v>46128</v>
      </c>
      <c r="U38" s="127">
        <f>INDEX('Work Package Master List'!$C$12:$Y$1000, MATCH($E38, 'Work Package Master List'!$B$12:$B$1000, 0), MATCH(T$11, 'Work Package Master List'!$C$13:$Y$13, 0))</f>
        <v>1</v>
      </c>
      <c r="V38" s="103">
        <f>IFERROR(IF(OR(X38="",W38=""),"",X38-W38),"")</f>
        <v>46129</v>
      </c>
      <c r="W38" s="127">
        <f>INDEX('Work Package Master List'!$C$12:$Y$1000, MATCH($E38, 'Work Package Master List'!$B$12:$B$1000, 0), MATCH(V$11, 'Work Package Master List'!$C$13:$Y$13, 0))</f>
        <v>3</v>
      </c>
      <c r="X38" s="103">
        <f>IFERROR(IF(OR(Z38="",Y38=""),"",Z38-Y38),"")</f>
        <v>46132</v>
      </c>
      <c r="Y38" s="127">
        <f>INDEX('Work Package Master List'!$C$12:$Y$1000, MATCH($E38, 'Work Package Master List'!$B$12:$B$1000, 0), MATCH(X$11, 'Work Package Master List'!$C$13:$Y$13, 0))</f>
        <v>2</v>
      </c>
      <c r="Z38" s="103">
        <f>IFERROR(IF(OR(AB38="",AA38=""),"",AB38-AA38),"")</f>
        <v>46134</v>
      </c>
      <c r="AA38" s="127">
        <f>INDEX('Work Package Master List'!$C$12:$Y$1000, MATCH($E38, 'Work Package Master List'!$B$12:$B$1000, 0), MATCH(Z$11, 'Work Package Master List'!$C$13:$Y$13, 0))</f>
        <v>5</v>
      </c>
      <c r="AB38" s="103">
        <f>IFERROR(IF(OR(AD38="",AC38=""),"",AD38-AC38),"")</f>
        <v>46139</v>
      </c>
      <c r="AC38" s="127">
        <f>INDEX('Work Package Master List'!$C$12:$Y$1000, MATCH($E38, 'Work Package Master List'!$B$12:$B$1000, 0), MATCH(AB$11, 'Work Package Master List'!$C$13:$Y$13, 0))</f>
        <v>5</v>
      </c>
      <c r="AD38" s="103">
        <f>IFERROR(IF(OR(AF38="",AE38=""),"",AF38-AE38),"")</f>
        <v>46144</v>
      </c>
      <c r="AE38" s="127">
        <f>INDEX('Work Package Master List'!$C$12:$Y$1000, MATCH($E38, 'Work Package Master List'!$B$12:$B$1000, 0), MATCH(AD$11, 'Work Package Master List'!$C$13:$Y$13, 0))</f>
        <v>1</v>
      </c>
      <c r="AF38" s="103">
        <f>IFERROR(IF(OR(AH38="",AG38=""),"",AH38-AG38),"")</f>
        <v>46145</v>
      </c>
      <c r="AG38" s="127">
        <f>INDEX('Work Package Master List'!$C$12:$Y$1000, MATCH($E38, 'Work Package Master List'!$B$12:$B$1000, 0), MATCH(AF$11, 'Work Package Master List'!$C$13:$Y$13, 0))</f>
        <v>2</v>
      </c>
      <c r="AH38" s="103">
        <f>IFERROR(IF(OR(AJ38="",AI38=""),"",AJ38-AI38),"")</f>
        <v>46147</v>
      </c>
      <c r="AI38" s="127">
        <f>INDEX('Work Package Master List'!$C$12:$Y$1000, MATCH($E38, 'Work Package Master List'!$B$12:$B$1000, 0), MATCH(AH$11, 'Work Package Master List'!$C$13:$Y$13, 0))</f>
        <v>2</v>
      </c>
      <c r="AJ38" s="103">
        <f>IFERROR(IF(OR(AM38="",AK38=""),"",AM38-AK38),"")</f>
        <v>46149</v>
      </c>
      <c r="AK38" s="127">
        <f>INDEX('Work Package Master List'!$C$12:$Y$1000, MATCH($E38, 'Work Package Master List'!$B$12:$B$1000, 0), MATCH(AJ$11, 'Work Package Master List'!$C$13:$Y$13, 0))</f>
        <v>5</v>
      </c>
      <c r="AL38" s="179"/>
      <c r="AM38" s="103">
        <v>46154</v>
      </c>
      <c r="AN38" s="190">
        <f t="shared" ref="AN38" si="9">IF(MAX($H38,$AM39,$AJ39,$AH39,$AF39,$AD39,$AB39,$Z39,$X39,$V39,$T39,$R39,$P39,$N39,$L39,$J39) = 0,"",MAX($H38,$AM39,$AJ39,$AH39,$AF39,$AD39,$AB39,$Z39,$X39,$V39,$T39,$R39,$P39,$N39,$L39,$J39))</f>
        <v>46114</v>
      </c>
      <c r="AO38" s="179" t="str">
        <f>_xlfn.IFNA(INDEX($J$7:$AM$7,_xlfn.XMATCH(MAX($AM39,$AJ39,$AH39,$AF39,$AD39,$AB39,$Z39,$X39,$V39,$T39,$R39,$P39,$N39,$L39,$J39),$J39:$AM39,0,-1)),"Awaiting DTP")</f>
        <v>Awarded</v>
      </c>
      <c r="AP38" s="203" t="s">
        <v>193</v>
      </c>
      <c r="AR38" s="16">
        <f t="shared" si="0"/>
        <v>53</v>
      </c>
      <c r="AU38" s="16" t="s">
        <v>193</v>
      </c>
    </row>
    <row r="39" spans="2:47" x14ac:dyDescent="0.25">
      <c r="B39" s="180"/>
      <c r="C39" s="180"/>
      <c r="D39" s="187"/>
      <c r="E39" s="180"/>
      <c r="F39" s="180"/>
      <c r="G39" s="180"/>
      <c r="H39" s="189"/>
      <c r="I39" s="105" t="s">
        <v>168</v>
      </c>
      <c r="J39" s="111">
        <v>46024</v>
      </c>
      <c r="K39" s="105"/>
      <c r="L39" s="111">
        <v>46025</v>
      </c>
      <c r="M39" s="105"/>
      <c r="N39" s="111">
        <v>46025</v>
      </c>
      <c r="O39" s="105"/>
      <c r="P39" s="111">
        <v>46025</v>
      </c>
      <c r="Q39" s="105"/>
      <c r="R39" s="111">
        <v>46025</v>
      </c>
      <c r="S39" s="105"/>
      <c r="T39" s="111">
        <v>46027</v>
      </c>
      <c r="U39" s="105"/>
      <c r="V39" s="111">
        <v>46029</v>
      </c>
      <c r="W39" s="105"/>
      <c r="X39" s="111">
        <v>46030</v>
      </c>
      <c r="Y39" s="105"/>
      <c r="Z39" s="111">
        <v>46050</v>
      </c>
      <c r="AA39" s="105"/>
      <c r="AB39" s="111">
        <v>46062</v>
      </c>
      <c r="AC39" s="105"/>
      <c r="AD39" s="111"/>
      <c r="AE39" s="105"/>
      <c r="AF39" s="111"/>
      <c r="AG39" s="105"/>
      <c r="AH39" s="111"/>
      <c r="AI39" s="105"/>
      <c r="AJ39" s="111"/>
      <c r="AK39" s="105"/>
      <c r="AL39" s="180"/>
      <c r="AM39" s="111">
        <v>46114</v>
      </c>
      <c r="AN39" s="191"/>
      <c r="AO39" s="180"/>
      <c r="AP39" s="204"/>
      <c r="AR39" s="16">
        <f t="shared" si="0"/>
        <v>0</v>
      </c>
    </row>
    <row r="40" spans="2:47" x14ac:dyDescent="0.25">
      <c r="B40" s="180">
        <v>16</v>
      </c>
      <c r="C40" s="180" t="s">
        <v>44</v>
      </c>
      <c r="D40" s="187" t="s">
        <v>60</v>
      </c>
      <c r="E40" s="180" t="s">
        <v>194</v>
      </c>
      <c r="F40" s="180" t="str">
        <f>_xlfn.XLOOKUP($B40,'Procurement Strategy'!$B$12:$B$1359,'Procurement Strategy'!$P$12:$P$1359,"-",0)</f>
        <v/>
      </c>
      <c r="G40" s="180" t="s">
        <v>195</v>
      </c>
      <c r="H40" s="189">
        <v>46022</v>
      </c>
      <c r="I40" s="125" t="s">
        <v>166</v>
      </c>
      <c r="J40" s="115">
        <f>IFERROR(IF(OR(L40="",K40=""),"",L40-K40),"")</f>
        <v>45966</v>
      </c>
      <c r="K40" s="128">
        <f>INDEX('Work Package Master List'!$C$12:$Y$1000, MATCH($E40, 'Work Package Master List'!$B$12:$B$1000, 0), MATCH(J$11, 'Work Package Master List'!$C$13:$Y$13, 0))</f>
        <v>2</v>
      </c>
      <c r="L40" s="115">
        <f>IFERROR(IF(OR(N40="",M40=""),"",N40-M40),"")</f>
        <v>45968</v>
      </c>
      <c r="M40" s="128">
        <f>INDEX('Work Package Master List'!$C$12:$Y$1000, MATCH($E40, 'Work Package Master List'!$B$12:$B$1000, 0), MATCH(L$11, 'Work Package Master List'!$C$13:$Y$13, 0))</f>
        <v>1</v>
      </c>
      <c r="N40" s="115">
        <f>IFERROR(IF(OR(P40="",O40=""),"",P40-O40),"")</f>
        <v>45969</v>
      </c>
      <c r="O40" s="128">
        <f>INDEX('Work Package Master List'!$C$12:$Y$1000, MATCH($E40, 'Work Package Master List'!$B$12:$B$1000, 0), MATCH(N$11, 'Work Package Master List'!$C$13:$Y$13, 0))</f>
        <v>0</v>
      </c>
      <c r="P40" s="115">
        <f>IFERROR(IF(OR(R40="",Q40=""),"",R40-Q40),"")</f>
        <v>45969</v>
      </c>
      <c r="Q40" s="128">
        <f>INDEX('Work Package Master List'!$C$12:$Y$1000, MATCH($E40, 'Work Package Master List'!$B$12:$B$1000, 0), MATCH(P$11, 'Work Package Master List'!$C$13:$Y$13, 0))</f>
        <v>10</v>
      </c>
      <c r="R40" s="115">
        <f>IFERROR(IF(OR(T40="",S40=""),"",T40-S40),"")</f>
        <v>45979</v>
      </c>
      <c r="S40" s="128">
        <f>INDEX('Work Package Master List'!$C$12:$Y$1000, MATCH($E40, 'Work Package Master List'!$B$12:$B$1000, 0), MATCH(R$11, 'Work Package Master List'!$C$13:$Y$13, 0))</f>
        <v>5</v>
      </c>
      <c r="T40" s="115">
        <f>IFERROR(IF(OR(V40="",U40=""),"",V40-U40),"")</f>
        <v>45984</v>
      </c>
      <c r="U40" s="128">
        <f>INDEX('Work Package Master List'!$C$12:$Y$1000, MATCH($E40, 'Work Package Master List'!$B$12:$B$1000, 0), MATCH(T$11, 'Work Package Master List'!$C$13:$Y$13, 0))</f>
        <v>1</v>
      </c>
      <c r="V40" s="115">
        <f>IFERROR(IF(OR(X40="",W40=""),"",X40-W40),"")</f>
        <v>45985</v>
      </c>
      <c r="W40" s="128">
        <f>INDEX('Work Package Master List'!$C$12:$Y$1000, MATCH($E40, 'Work Package Master List'!$B$12:$B$1000, 0), MATCH(V$11, 'Work Package Master List'!$C$13:$Y$13, 0))</f>
        <v>3</v>
      </c>
      <c r="X40" s="115">
        <f>IFERROR(IF(OR(Z40="",Y40=""),"",Z40-Y40),"")</f>
        <v>45988</v>
      </c>
      <c r="Y40" s="128">
        <f>INDEX('Work Package Master List'!$C$12:$Y$1000, MATCH($E40, 'Work Package Master List'!$B$12:$B$1000, 0), MATCH(X$11, 'Work Package Master List'!$C$13:$Y$13, 0))</f>
        <v>2</v>
      </c>
      <c r="Z40" s="115">
        <f>IFERROR(IF(OR(AB40="",AA40=""),"",AB40-AA40),"")</f>
        <v>45990</v>
      </c>
      <c r="AA40" s="128">
        <f>INDEX('Work Package Master List'!$C$12:$Y$1000, MATCH($E40, 'Work Package Master List'!$B$12:$B$1000, 0), MATCH(Z$11, 'Work Package Master List'!$C$13:$Y$13, 0))</f>
        <v>3</v>
      </c>
      <c r="AB40" s="115">
        <f>IFERROR(IF(OR(AD40="",AC40=""),"",AD40-AC40),"")</f>
        <v>45993</v>
      </c>
      <c r="AC40" s="128">
        <f>INDEX('Work Package Master List'!$C$12:$Y$1000, MATCH($E40, 'Work Package Master List'!$B$12:$B$1000, 0), MATCH(AB$11, 'Work Package Master List'!$C$13:$Y$13, 0))</f>
        <v>3</v>
      </c>
      <c r="AD40" s="115">
        <f>IFERROR(IF(OR(AF40="",AE40=""),"",AF40-AE40),"")</f>
        <v>45996</v>
      </c>
      <c r="AE40" s="128">
        <f>INDEX('Work Package Master List'!$C$12:$Y$1000, MATCH($E40, 'Work Package Master List'!$B$12:$B$1000, 0), MATCH(AD$11, 'Work Package Master List'!$C$13:$Y$13, 0))</f>
        <v>1</v>
      </c>
      <c r="AF40" s="115">
        <f>IFERROR(IF(OR(AH40="",AG40=""),"",AH40-AG40),"")</f>
        <v>45997</v>
      </c>
      <c r="AG40" s="128">
        <f>INDEX('Work Package Master List'!$C$12:$Y$1000, MATCH($E40, 'Work Package Master List'!$B$12:$B$1000, 0), MATCH(AF$11, 'Work Package Master List'!$C$13:$Y$13, 0))</f>
        <v>2</v>
      </c>
      <c r="AH40" s="115">
        <f>IFERROR(IF(OR(AJ40="",AI40=""),"",AJ40-AI40),"")</f>
        <v>45999</v>
      </c>
      <c r="AI40" s="128">
        <f>INDEX('Work Package Master List'!$C$12:$Y$1000, MATCH($E40, 'Work Package Master List'!$B$12:$B$1000, 0), MATCH(AH$11, 'Work Package Master List'!$C$13:$Y$13, 0))</f>
        <v>2</v>
      </c>
      <c r="AJ40" s="115">
        <f>IFERROR(IF(OR(AM40="",AK40=""),"",AM40-AK40),"")</f>
        <v>46001</v>
      </c>
      <c r="AK40" s="128">
        <f>INDEX('Work Package Master List'!$C$12:$Y$1000, MATCH($E40, 'Work Package Master List'!$B$12:$B$1000, 0), MATCH(AJ$11, 'Work Package Master List'!$C$13:$Y$13, 0))</f>
        <v>5</v>
      </c>
      <c r="AL40" s="180"/>
      <c r="AM40" s="115">
        <v>46006</v>
      </c>
      <c r="AN40" s="191">
        <f t="shared" ref="AN40" si="10">IF(MAX($H40,$AM41,$AJ41,$AH41,$AF41,$AD41,$AB41,$Z41,$X41,$V41,$T41,$R41,$P41,$N41,$L41,$J41) = 0,"",MAX($H40,$AM41,$AJ41,$AH41,$AF41,$AD41,$AB41,$Z41,$X41,$V41,$T41,$R41,$P41,$N41,$L41,$J41))</f>
        <v>46174</v>
      </c>
      <c r="AO40" s="180" t="str">
        <f>_xlfn.IFNA(INDEX($J$7:$AM$7,_xlfn.XMATCH(MAX($AM41,$AJ41,$AH41,$AF41,$AD41,$AB41,$Z41,$X41,$V41,$T41,$R41,$P41,$N41,$L41,$J41),$J41:$AM41,0,-1)),"Awaiting DTP")</f>
        <v>Awarded</v>
      </c>
      <c r="AP40" s="204" t="s">
        <v>196</v>
      </c>
      <c r="AR40" s="16">
        <f t="shared" si="0"/>
        <v>40</v>
      </c>
      <c r="AU40" s="16" t="s">
        <v>196</v>
      </c>
    </row>
    <row r="41" spans="2:47" x14ac:dyDescent="0.25">
      <c r="B41" s="179"/>
      <c r="C41" s="179"/>
      <c r="D41" s="186"/>
      <c r="E41" s="179"/>
      <c r="F41" s="179"/>
      <c r="G41" s="179"/>
      <c r="H41" s="188"/>
      <c r="I41" s="91" t="s">
        <v>168</v>
      </c>
      <c r="J41" s="106">
        <v>46136</v>
      </c>
      <c r="K41" s="91"/>
      <c r="L41" s="106"/>
      <c r="M41" s="91"/>
      <c r="N41" s="106"/>
      <c r="O41" s="91"/>
      <c r="P41" s="106"/>
      <c r="Q41" s="91"/>
      <c r="R41" s="106"/>
      <c r="S41" s="91"/>
      <c r="T41" s="106"/>
      <c r="U41" s="91"/>
      <c r="V41" s="106"/>
      <c r="W41" s="91"/>
      <c r="X41" s="106"/>
      <c r="Y41" s="91"/>
      <c r="Z41" s="106"/>
      <c r="AA41" s="91"/>
      <c r="AB41" s="106"/>
      <c r="AC41" s="91"/>
      <c r="AD41" s="106"/>
      <c r="AE41" s="91"/>
      <c r="AF41" s="106"/>
      <c r="AG41" s="91"/>
      <c r="AH41" s="106"/>
      <c r="AI41" s="91"/>
      <c r="AJ41" s="106"/>
      <c r="AK41" s="91"/>
      <c r="AL41" s="179"/>
      <c r="AM41" s="106">
        <v>46174</v>
      </c>
      <c r="AN41" s="190"/>
      <c r="AO41" s="179"/>
      <c r="AP41" s="203"/>
      <c r="AR41" s="16">
        <f t="shared" si="0"/>
        <v>0</v>
      </c>
    </row>
    <row r="42" spans="2:47" x14ac:dyDescent="0.25">
      <c r="B42" s="199">
        <v>19</v>
      </c>
      <c r="C42" s="199" t="s">
        <v>53</v>
      </c>
      <c r="D42" s="209" t="s">
        <v>61</v>
      </c>
      <c r="E42" s="199" t="s">
        <v>197</v>
      </c>
      <c r="F42" s="199" t="str">
        <f>_xlfn.XLOOKUP($B42,'Procurement Strategy'!$B$12:$B$1339,'Procurement Strategy'!$P$12:$P$1339,"-",0)</f>
        <v>Yes</v>
      </c>
      <c r="G42" s="180" t="s">
        <v>195</v>
      </c>
      <c r="H42" s="198">
        <v>46022</v>
      </c>
      <c r="I42" s="129" t="s">
        <v>166</v>
      </c>
      <c r="J42" s="116">
        <f>IFERROR(IF(OR(L42="",K42=""),"",L42-K42),"")</f>
        <v>45970</v>
      </c>
      <c r="K42" s="130">
        <f>INDEX('Work Package Master List'!$C$12:$Y$1000, MATCH($E42, 'Work Package Master List'!$B$12:$B$1000, 0), MATCH(J$11, 'Work Package Master List'!$C$13:$Y$13, 0))</f>
        <v>2</v>
      </c>
      <c r="L42" s="116">
        <f>IFERROR(IF(OR(N42="",M42=""),"",N42-M42),"")</f>
        <v>45972</v>
      </c>
      <c r="M42" s="130">
        <f>INDEX('Work Package Master List'!$C$12:$Y$1000, MATCH($E42, 'Work Package Master List'!$B$12:$B$1000, 0), MATCH(L$11, 'Work Package Master List'!$C$13:$Y$13, 0))</f>
        <v>1</v>
      </c>
      <c r="N42" s="116">
        <f>IFERROR(IF(OR(P42="",O42=""),"",P42-O42),"")</f>
        <v>45973</v>
      </c>
      <c r="O42" s="130">
        <f>INDEX('Work Package Master List'!$C$12:$Y$1000, MATCH($E42, 'Work Package Master List'!$B$12:$B$1000, 0), MATCH(N$11, 'Work Package Master List'!$C$13:$Y$13, 0))</f>
        <v>0</v>
      </c>
      <c r="P42" s="116">
        <f>IFERROR(IF(OR(R42="",Q42=""),"",R42-Q42),"")</f>
        <v>45973</v>
      </c>
      <c r="Q42" s="130">
        <f>INDEX('Work Package Master List'!$C$12:$Y$1000, MATCH($E42, 'Work Package Master List'!$B$12:$B$1000, 0), MATCH(P$11, 'Work Package Master List'!$C$13:$Y$13, 0))</f>
        <v>5</v>
      </c>
      <c r="R42" s="116">
        <f>IFERROR(IF(OR(T42="",S42=""),"",T42-S42),"")</f>
        <v>45978</v>
      </c>
      <c r="S42" s="130">
        <f>INDEX('Work Package Master List'!$C$12:$Y$1000, MATCH($E42, 'Work Package Master List'!$B$12:$B$1000, 0), MATCH(R$11, 'Work Package Master List'!$C$13:$Y$13, 0))</f>
        <v>2</v>
      </c>
      <c r="T42" s="116">
        <f>IFERROR(IF(OR(V42="",U42=""),"",V42-U42),"")</f>
        <v>45980</v>
      </c>
      <c r="U42" s="130">
        <f>INDEX('Work Package Master List'!$C$12:$Y$1000, MATCH($E42, 'Work Package Master List'!$B$12:$B$1000, 0), MATCH(T$11, 'Work Package Master List'!$C$13:$Y$13, 0))</f>
        <v>1</v>
      </c>
      <c r="V42" s="116">
        <f>IFERROR(IF(OR(X42="",W42=""),"",X42-W42),"")</f>
        <v>45981</v>
      </c>
      <c r="W42" s="130">
        <f>INDEX('Work Package Master List'!$C$12:$Y$1000, MATCH($E42, 'Work Package Master List'!$B$12:$B$1000, 0), MATCH(V$11, 'Work Package Master List'!$C$13:$Y$13, 0))</f>
        <v>3</v>
      </c>
      <c r="X42" s="116">
        <f>IFERROR(IF(OR(Z42="",Y42=""),"",Z42-Y42),"")</f>
        <v>45984</v>
      </c>
      <c r="Y42" s="130">
        <f>INDEX('Work Package Master List'!$C$12:$Y$1000, MATCH($E42, 'Work Package Master List'!$B$12:$B$1000, 0), MATCH(X$11, 'Work Package Master List'!$C$13:$Y$13, 0))</f>
        <v>2</v>
      </c>
      <c r="Z42" s="116">
        <f>IFERROR(IF(OR(AB42="",AA42=""),"",AB42-AA42),"")</f>
        <v>45986</v>
      </c>
      <c r="AA42" s="130">
        <f>INDEX('Work Package Master List'!$C$12:$Y$1000, MATCH($E42, 'Work Package Master List'!$B$12:$B$1000, 0), MATCH(Z$11, 'Work Package Master List'!$C$13:$Y$13, 0))</f>
        <v>0</v>
      </c>
      <c r="AB42" s="116">
        <f>IFERROR(IF(OR(AD42="",AC42=""),"",AD42-AC42),"")</f>
        <v>45986</v>
      </c>
      <c r="AC42" s="130">
        <f>INDEX('Work Package Master List'!$C$12:$Y$1000, MATCH($E42, 'Work Package Master List'!$B$12:$B$1000, 0), MATCH(AB$11, 'Work Package Master List'!$C$13:$Y$13, 0))</f>
        <v>2</v>
      </c>
      <c r="AD42" s="116">
        <f>IFERROR(IF(OR(AF42="",AE42=""),"",AF42-AE42),"")</f>
        <v>45988</v>
      </c>
      <c r="AE42" s="130">
        <f>INDEX('Work Package Master List'!$C$12:$Y$1000, MATCH($E42, 'Work Package Master List'!$B$12:$B$1000, 0), MATCH(AD$11, 'Work Package Master List'!$C$13:$Y$13, 0))</f>
        <v>1</v>
      </c>
      <c r="AF42" s="116">
        <f>IFERROR(IF(OR(AH42="",AG42=""),"",AH42-AG42),"")</f>
        <v>45989</v>
      </c>
      <c r="AG42" s="130">
        <f>INDEX('Work Package Master List'!$C$12:$Y$1000, MATCH($E42, 'Work Package Master List'!$B$12:$B$1000, 0), MATCH(AF$11, 'Work Package Master List'!$C$13:$Y$13, 0))</f>
        <v>2</v>
      </c>
      <c r="AH42" s="116">
        <f>IFERROR(IF(OR(AJ42="",AI42=""),"",AJ42-AI42),"")</f>
        <v>45991</v>
      </c>
      <c r="AI42" s="130">
        <f>INDEX('Work Package Master List'!$C$12:$Y$1000, MATCH($E42, 'Work Package Master List'!$B$12:$B$1000, 0), MATCH(AH$11, 'Work Package Master List'!$C$13:$Y$13, 0))</f>
        <v>2</v>
      </c>
      <c r="AJ42" s="116">
        <f>IFERROR(IF(OR(AM42="",AK42=""),"",AM42-AK42),"")</f>
        <v>45993</v>
      </c>
      <c r="AK42" s="130">
        <f>INDEX('Work Package Master List'!$C$12:$Y$1000, MATCH($E42, 'Work Package Master List'!$B$12:$B$1000, 0), MATCH(AJ$11, 'Work Package Master List'!$C$13:$Y$13, 0))</f>
        <v>5</v>
      </c>
      <c r="AL42" s="199">
        <v>13413</v>
      </c>
      <c r="AM42" s="116">
        <v>45998</v>
      </c>
      <c r="AN42" s="200">
        <f t="shared" ref="AN42" si="11">IF(MAX($H42,$AM43,$AJ43,$AH43,$AF43,$AD43,$AB43,$Z43,$X43,$V43,$T43,$R43,$P43,$N43,$L43,$J43) = 0,"",MAX($H42,$AM43,$AJ43,$AH43,$AF43,$AD43,$AB43,$Z43,$X43,$V43,$T43,$R43,$P43,$N43,$L43,$J43))</f>
        <v>46062</v>
      </c>
      <c r="AO42" s="199" t="str">
        <f>_xlfn.IFNA(INDEX($J$7:$AM$7,_xlfn.XMATCH(MAX($AM43,$AJ43,$AH43,$AF43,$AD43,$AB43,$Z43,$X43,$V43,$T43,$R43,$P43,$N43,$L43,$J43),$J43:$AM43,0,-1)),"Awaiting DTP")</f>
        <v>Awarded</v>
      </c>
      <c r="AP42" s="214" t="s">
        <v>198</v>
      </c>
      <c r="AR42" s="16">
        <f t="shared" si="0"/>
        <v>28</v>
      </c>
      <c r="AU42" s="16" t="s">
        <v>198</v>
      </c>
    </row>
    <row r="43" spans="2:47" x14ac:dyDescent="0.25">
      <c r="B43" s="180"/>
      <c r="C43" s="180"/>
      <c r="D43" s="187"/>
      <c r="E43" s="180"/>
      <c r="F43" s="180"/>
      <c r="G43" s="179"/>
      <c r="H43" s="189"/>
      <c r="I43" s="105" t="s">
        <v>168</v>
      </c>
      <c r="J43" s="111">
        <v>46008</v>
      </c>
      <c r="K43" s="105"/>
      <c r="L43" s="111">
        <v>46009</v>
      </c>
      <c r="M43" s="105"/>
      <c r="N43" s="111">
        <v>46009</v>
      </c>
      <c r="O43" s="105"/>
      <c r="P43" s="111">
        <v>46009</v>
      </c>
      <c r="Q43" s="105"/>
      <c r="R43" s="111">
        <v>46010</v>
      </c>
      <c r="S43" s="105"/>
      <c r="T43" s="111">
        <v>46011</v>
      </c>
      <c r="U43" s="105"/>
      <c r="V43" s="111">
        <v>46017</v>
      </c>
      <c r="W43" s="105"/>
      <c r="X43" s="111">
        <v>46018</v>
      </c>
      <c r="Y43" s="105"/>
      <c r="Z43" s="111">
        <v>46020</v>
      </c>
      <c r="AA43" s="105"/>
      <c r="AB43" s="111">
        <v>46021</v>
      </c>
      <c r="AC43" s="105"/>
      <c r="AD43" s="111">
        <v>46022</v>
      </c>
      <c r="AE43" s="105"/>
      <c r="AF43" s="111">
        <v>46024</v>
      </c>
      <c r="AG43" s="105"/>
      <c r="AH43" s="111">
        <v>46027</v>
      </c>
      <c r="AI43" s="105"/>
      <c r="AJ43" s="111">
        <v>46027</v>
      </c>
      <c r="AK43" s="105"/>
      <c r="AL43" s="180"/>
      <c r="AM43" s="111">
        <v>46062</v>
      </c>
      <c r="AN43" s="191"/>
      <c r="AO43" s="180"/>
      <c r="AP43" s="204"/>
      <c r="AR43" s="16">
        <f t="shared" si="0"/>
        <v>0</v>
      </c>
    </row>
    <row r="44" spans="2:47" x14ac:dyDescent="0.25">
      <c r="B44" s="179">
        <v>20</v>
      </c>
      <c r="C44" s="179" t="s">
        <v>53</v>
      </c>
      <c r="D44" s="186" t="s">
        <v>62</v>
      </c>
      <c r="E44" s="179" t="s">
        <v>197</v>
      </c>
      <c r="F44" s="179" t="str">
        <f>_xlfn.XLOOKUP($B44,'Procurement Strategy'!$B$12:$B$1331,'Procurement Strategy'!$P$12:$P$1331,"-",0)</f>
        <v>Yes</v>
      </c>
      <c r="G44" s="180" t="s">
        <v>195</v>
      </c>
      <c r="H44" s="188">
        <v>46022</v>
      </c>
      <c r="I44" s="126" t="s">
        <v>166</v>
      </c>
      <c r="J44" s="103">
        <f>IFERROR(IF(OR(L44="",K44=""),"",L44-K44),"")</f>
        <v>45970</v>
      </c>
      <c r="K44" s="127">
        <f>INDEX('Work Package Master List'!$C$12:$Y$1000, MATCH($E44, 'Work Package Master List'!$B$12:$B$1000, 0), MATCH(J$11, 'Work Package Master List'!$C$13:$Y$13, 0))</f>
        <v>2</v>
      </c>
      <c r="L44" s="103">
        <f>IFERROR(IF(OR(N44="",M44=""),"",N44-M44),"")</f>
        <v>45972</v>
      </c>
      <c r="M44" s="127">
        <f>INDEX('Work Package Master List'!$C$12:$Y$1000, MATCH($E44, 'Work Package Master List'!$B$12:$B$1000, 0), MATCH(L$11, 'Work Package Master List'!$C$13:$Y$13, 0))</f>
        <v>1</v>
      </c>
      <c r="N44" s="103">
        <f>IFERROR(IF(OR(P44="",O44=""),"",P44-O44),"")</f>
        <v>45973</v>
      </c>
      <c r="O44" s="127">
        <f>INDEX('Work Package Master List'!$C$12:$Y$1000, MATCH($E44, 'Work Package Master List'!$B$12:$B$1000, 0), MATCH(N$11, 'Work Package Master List'!$C$13:$Y$13, 0))</f>
        <v>0</v>
      </c>
      <c r="P44" s="103">
        <f>IFERROR(IF(OR(R44="",Q44=""),"",R44-Q44),"")</f>
        <v>45973</v>
      </c>
      <c r="Q44" s="127">
        <f>INDEX('Work Package Master List'!$C$12:$Y$1000, MATCH($E44, 'Work Package Master List'!$B$12:$B$1000, 0), MATCH(P$11, 'Work Package Master List'!$C$13:$Y$13, 0))</f>
        <v>5</v>
      </c>
      <c r="R44" s="103">
        <f>IFERROR(IF(OR(T44="",S44=""),"",T44-S44),"")</f>
        <v>45978</v>
      </c>
      <c r="S44" s="127">
        <f>INDEX('Work Package Master List'!$C$12:$Y$1000, MATCH($E44, 'Work Package Master List'!$B$12:$B$1000, 0), MATCH(R$11, 'Work Package Master List'!$C$13:$Y$13, 0))</f>
        <v>2</v>
      </c>
      <c r="T44" s="103">
        <f>IFERROR(IF(OR(V44="",U44=""),"",V44-U44),"")</f>
        <v>45980</v>
      </c>
      <c r="U44" s="127">
        <f>INDEX('Work Package Master List'!$C$12:$Y$1000, MATCH($E44, 'Work Package Master List'!$B$12:$B$1000, 0), MATCH(T$11, 'Work Package Master List'!$C$13:$Y$13, 0))</f>
        <v>1</v>
      </c>
      <c r="V44" s="103">
        <f>IFERROR(IF(OR(X44="",W44=""),"",X44-W44),"")</f>
        <v>45981</v>
      </c>
      <c r="W44" s="127">
        <f>INDEX('Work Package Master List'!$C$12:$Y$1000, MATCH($E44, 'Work Package Master List'!$B$12:$B$1000, 0), MATCH(V$11, 'Work Package Master List'!$C$13:$Y$13, 0))</f>
        <v>3</v>
      </c>
      <c r="X44" s="103">
        <f>IFERROR(IF(OR(Z44="",Y44=""),"",Z44-Y44),"")</f>
        <v>45984</v>
      </c>
      <c r="Y44" s="127">
        <f>INDEX('Work Package Master List'!$C$12:$Y$1000, MATCH($E44, 'Work Package Master List'!$B$12:$B$1000, 0), MATCH(X$11, 'Work Package Master List'!$C$13:$Y$13, 0))</f>
        <v>2</v>
      </c>
      <c r="Z44" s="103">
        <f>IFERROR(IF(OR(AB44="",AA44=""),"",AB44-AA44),"")</f>
        <v>45986</v>
      </c>
      <c r="AA44" s="127">
        <f>INDEX('Work Package Master List'!$C$12:$Y$1000, MATCH($E44, 'Work Package Master List'!$B$12:$B$1000, 0), MATCH(Z$11, 'Work Package Master List'!$C$13:$Y$13, 0))</f>
        <v>0</v>
      </c>
      <c r="AB44" s="103">
        <f>IFERROR(IF(OR(AD44="",AC44=""),"",AD44-AC44),"")</f>
        <v>45986</v>
      </c>
      <c r="AC44" s="127">
        <f>INDEX('Work Package Master List'!$C$12:$Y$1000, MATCH($E44, 'Work Package Master List'!$B$12:$B$1000, 0), MATCH(AB$11, 'Work Package Master List'!$C$13:$Y$13, 0))</f>
        <v>2</v>
      </c>
      <c r="AD44" s="103">
        <f>IFERROR(IF(OR(AF44="",AE44=""),"",AF44-AE44),"")</f>
        <v>45988</v>
      </c>
      <c r="AE44" s="127">
        <f>INDEX('Work Package Master List'!$C$12:$Y$1000, MATCH($E44, 'Work Package Master List'!$B$12:$B$1000, 0), MATCH(AD$11, 'Work Package Master List'!$C$13:$Y$13, 0))</f>
        <v>1</v>
      </c>
      <c r="AF44" s="103">
        <f>IFERROR(IF(OR(AH44="",AG44=""),"",AH44-AG44),"")</f>
        <v>45989</v>
      </c>
      <c r="AG44" s="127">
        <f>INDEX('Work Package Master List'!$C$12:$Y$1000, MATCH($E44, 'Work Package Master List'!$B$12:$B$1000, 0), MATCH(AF$11, 'Work Package Master List'!$C$13:$Y$13, 0))</f>
        <v>2</v>
      </c>
      <c r="AH44" s="103">
        <f>IFERROR(IF(OR(AJ44="",AI44=""),"",AJ44-AI44),"")</f>
        <v>45991</v>
      </c>
      <c r="AI44" s="127">
        <f>INDEX('Work Package Master List'!$C$12:$Y$1000, MATCH($E44, 'Work Package Master List'!$B$12:$B$1000, 0), MATCH(AH$11, 'Work Package Master List'!$C$13:$Y$13, 0))</f>
        <v>2</v>
      </c>
      <c r="AJ44" s="103">
        <f>IFERROR(IF(OR(AM44="",AK44=""),"",AM44-AK44),"")</f>
        <v>45993</v>
      </c>
      <c r="AK44" s="127">
        <f>INDEX('Work Package Master List'!$C$12:$Y$1000, MATCH($E44, 'Work Package Master List'!$B$12:$B$1000, 0), MATCH(AJ$11, 'Work Package Master List'!$C$13:$Y$13, 0))</f>
        <v>5</v>
      </c>
      <c r="AL44" s="179"/>
      <c r="AM44" s="103">
        <v>45998</v>
      </c>
      <c r="AN44" s="190">
        <f t="shared" ref="AN44" si="12">IF(MAX($H44,$AM45,$AJ45,$AH45,$AF45,$AD45,$AB45,$Z45,$X45,$V45,$T45,$R45,$P45,$N45,$L45,$J45) = 0,"",MAX($H44,$AM45,$AJ45,$AH45,$AF45,$AD45,$AB45,$Z45,$X45,$V45,$T45,$R45,$P45,$N45,$L45,$J45))</f>
        <v>46062</v>
      </c>
      <c r="AO44" s="179" t="str">
        <f>_xlfn.IFNA(INDEX($J$7:$AM$7,_xlfn.XMATCH(MAX($AM45,$AJ45,$AH45,$AF45,$AD45,$AB45,$Z45,$X45,$V45,$T45,$R45,$P45,$N45,$L45,$J45),$J45:$AM45,0,-1)),"Awaiting DTP")</f>
        <v>Awarded</v>
      </c>
      <c r="AP44" s="203" t="s">
        <v>199</v>
      </c>
      <c r="AR44" s="16">
        <f t="shared" si="0"/>
        <v>28</v>
      </c>
      <c r="AU44" s="16" t="s">
        <v>199</v>
      </c>
    </row>
    <row r="45" spans="2:47" x14ac:dyDescent="0.25">
      <c r="B45" s="180"/>
      <c r="C45" s="180"/>
      <c r="D45" s="187"/>
      <c r="E45" s="180"/>
      <c r="F45" s="180"/>
      <c r="G45" s="179"/>
      <c r="H45" s="189"/>
      <c r="I45" s="105" t="s">
        <v>168</v>
      </c>
      <c r="J45" s="111">
        <v>46008</v>
      </c>
      <c r="K45" s="105"/>
      <c r="L45" s="111"/>
      <c r="M45" s="105"/>
      <c r="N45" s="111"/>
      <c r="O45" s="105"/>
      <c r="P45" s="111"/>
      <c r="Q45" s="105"/>
      <c r="R45" s="111"/>
      <c r="S45" s="105"/>
      <c r="T45" s="111"/>
      <c r="U45" s="105"/>
      <c r="V45" s="111"/>
      <c r="W45" s="105"/>
      <c r="X45" s="111"/>
      <c r="Y45" s="105"/>
      <c r="Z45" s="111"/>
      <c r="AA45" s="105"/>
      <c r="AB45" s="111"/>
      <c r="AC45" s="105"/>
      <c r="AD45" s="111"/>
      <c r="AE45" s="105"/>
      <c r="AF45" s="111"/>
      <c r="AG45" s="105"/>
      <c r="AH45" s="111"/>
      <c r="AI45" s="105"/>
      <c r="AJ45" s="111"/>
      <c r="AK45" s="105"/>
      <c r="AL45" s="180"/>
      <c r="AM45" s="111">
        <v>46062</v>
      </c>
      <c r="AN45" s="191"/>
      <c r="AO45" s="180"/>
      <c r="AP45" s="204"/>
      <c r="AR45" s="16">
        <f t="shared" si="0"/>
        <v>0</v>
      </c>
    </row>
    <row r="46" spans="2:47" x14ac:dyDescent="0.25">
      <c r="B46" s="180">
        <v>21</v>
      </c>
      <c r="C46" s="180" t="s">
        <v>53</v>
      </c>
      <c r="D46" s="187" t="s">
        <v>63</v>
      </c>
      <c r="E46" s="180" t="s">
        <v>197</v>
      </c>
      <c r="F46" s="180" t="str">
        <f>_xlfn.XLOOKUP($B46,'Procurement Strategy'!$B$12:$B$1323,'Procurement Strategy'!$P$12:$P$1323,"-",0)</f>
        <v>Yes</v>
      </c>
      <c r="G46" s="180" t="s">
        <v>195</v>
      </c>
      <c r="H46" s="189">
        <v>46022</v>
      </c>
      <c r="I46" s="125" t="s">
        <v>166</v>
      </c>
      <c r="J46" s="115">
        <f>IFERROR(IF(OR(L46="",K46=""),"",L46-K46),"")</f>
        <v>45970</v>
      </c>
      <c r="K46" s="128">
        <f>INDEX('Work Package Master List'!$C$12:$Y$1000, MATCH($E46, 'Work Package Master List'!$B$12:$B$1000, 0), MATCH(J$11, 'Work Package Master List'!$C$13:$Y$13, 0))</f>
        <v>2</v>
      </c>
      <c r="L46" s="115">
        <f>IFERROR(IF(OR(N46="",M46=""),"",N46-M46),"")</f>
        <v>45972</v>
      </c>
      <c r="M46" s="128">
        <f>INDEX('Work Package Master List'!$C$12:$Y$1000, MATCH($E46, 'Work Package Master List'!$B$12:$B$1000, 0), MATCH(L$11, 'Work Package Master List'!$C$13:$Y$13, 0))</f>
        <v>1</v>
      </c>
      <c r="N46" s="115">
        <f>IFERROR(IF(OR(P46="",O46=""),"",P46-O46),"")</f>
        <v>45973</v>
      </c>
      <c r="O46" s="128">
        <f>INDEX('Work Package Master List'!$C$12:$Y$1000, MATCH($E46, 'Work Package Master List'!$B$12:$B$1000, 0), MATCH(N$11, 'Work Package Master List'!$C$13:$Y$13, 0))</f>
        <v>0</v>
      </c>
      <c r="P46" s="115">
        <f>IFERROR(IF(OR(R46="",Q46=""),"",R46-Q46),"")</f>
        <v>45973</v>
      </c>
      <c r="Q46" s="128">
        <f>INDEX('Work Package Master List'!$C$12:$Y$1000, MATCH($E46, 'Work Package Master List'!$B$12:$B$1000, 0), MATCH(P$11, 'Work Package Master List'!$C$13:$Y$13, 0))</f>
        <v>5</v>
      </c>
      <c r="R46" s="115">
        <f>IFERROR(IF(OR(T46="",S46=""),"",T46-S46),"")</f>
        <v>45978</v>
      </c>
      <c r="S46" s="128">
        <f>INDEX('Work Package Master List'!$C$12:$Y$1000, MATCH($E46, 'Work Package Master List'!$B$12:$B$1000, 0), MATCH(R$11, 'Work Package Master List'!$C$13:$Y$13, 0))</f>
        <v>2</v>
      </c>
      <c r="T46" s="115">
        <f>IFERROR(IF(OR(V46="",U46=""),"",V46-U46),"")</f>
        <v>45980</v>
      </c>
      <c r="U46" s="128">
        <f>INDEX('Work Package Master List'!$C$12:$Y$1000, MATCH($E46, 'Work Package Master List'!$B$12:$B$1000, 0), MATCH(T$11, 'Work Package Master List'!$C$13:$Y$13, 0))</f>
        <v>1</v>
      </c>
      <c r="V46" s="115">
        <f>IFERROR(IF(OR(X46="",W46=""),"",X46-W46),"")</f>
        <v>45981</v>
      </c>
      <c r="W46" s="128">
        <f>INDEX('Work Package Master List'!$C$12:$Y$1000, MATCH($E46, 'Work Package Master List'!$B$12:$B$1000, 0), MATCH(V$11, 'Work Package Master List'!$C$13:$Y$13, 0))</f>
        <v>3</v>
      </c>
      <c r="X46" s="115">
        <f>IFERROR(IF(OR(Z46="",Y46=""),"",Z46-Y46),"")</f>
        <v>45984</v>
      </c>
      <c r="Y46" s="128">
        <f>INDEX('Work Package Master List'!$C$12:$Y$1000, MATCH($E46, 'Work Package Master List'!$B$12:$B$1000, 0), MATCH(X$11, 'Work Package Master List'!$C$13:$Y$13, 0))</f>
        <v>2</v>
      </c>
      <c r="Z46" s="115">
        <f>IFERROR(IF(OR(AB46="",AA46=""),"",AB46-AA46),"")</f>
        <v>45986</v>
      </c>
      <c r="AA46" s="128">
        <f>INDEX('Work Package Master List'!$C$12:$Y$1000, MATCH($E46, 'Work Package Master List'!$B$12:$B$1000, 0), MATCH(Z$11, 'Work Package Master List'!$C$13:$Y$13, 0))</f>
        <v>0</v>
      </c>
      <c r="AB46" s="115">
        <f>IFERROR(IF(OR(AD46="",AC46=""),"",AD46-AC46),"")</f>
        <v>45986</v>
      </c>
      <c r="AC46" s="128">
        <f>INDEX('Work Package Master List'!$C$12:$Y$1000, MATCH($E46, 'Work Package Master List'!$B$12:$B$1000, 0), MATCH(AB$11, 'Work Package Master List'!$C$13:$Y$13, 0))</f>
        <v>2</v>
      </c>
      <c r="AD46" s="115">
        <f>IFERROR(IF(OR(AF46="",AE46=""),"",AF46-AE46),"")</f>
        <v>45988</v>
      </c>
      <c r="AE46" s="128">
        <f>INDEX('Work Package Master List'!$C$12:$Y$1000, MATCH($E46, 'Work Package Master List'!$B$12:$B$1000, 0), MATCH(AD$11, 'Work Package Master List'!$C$13:$Y$13, 0))</f>
        <v>1</v>
      </c>
      <c r="AF46" s="115">
        <f>IFERROR(IF(OR(AH46="",AG46=""),"",AH46-AG46),"")</f>
        <v>45989</v>
      </c>
      <c r="AG46" s="128">
        <f>INDEX('Work Package Master List'!$C$12:$Y$1000, MATCH($E46, 'Work Package Master List'!$B$12:$B$1000, 0), MATCH(AF$11, 'Work Package Master List'!$C$13:$Y$13, 0))</f>
        <v>2</v>
      </c>
      <c r="AH46" s="115">
        <f>IFERROR(IF(OR(AJ46="",AI46=""),"",AJ46-AI46),"")</f>
        <v>45991</v>
      </c>
      <c r="AI46" s="128">
        <f>INDEX('Work Package Master List'!$C$12:$Y$1000, MATCH($E46, 'Work Package Master List'!$B$12:$B$1000, 0), MATCH(AH$11, 'Work Package Master List'!$C$13:$Y$13, 0))</f>
        <v>2</v>
      </c>
      <c r="AJ46" s="115">
        <f>IFERROR(IF(OR(AM46="",AK46=""),"",AM46-AK46),"")</f>
        <v>45993</v>
      </c>
      <c r="AK46" s="128">
        <f>INDEX('Work Package Master List'!$C$12:$Y$1000, MATCH($E46, 'Work Package Master List'!$B$12:$B$1000, 0), MATCH(AJ$11, 'Work Package Master List'!$C$13:$Y$13, 0))</f>
        <v>5</v>
      </c>
      <c r="AL46" s="180"/>
      <c r="AM46" s="115">
        <v>45998</v>
      </c>
      <c r="AN46" s="191">
        <f t="shared" ref="AN46" si="13">IF(MAX($H46,$AM47,$AJ47,$AH47,$AF47,$AD47,$AB47,$Z47,$X47,$V47,$T47,$R47,$P47,$N47,$L47,$J47) = 0,"",MAX($H46,$AM47,$AJ47,$AH47,$AF47,$AD47,$AB47,$Z47,$X47,$V47,$T47,$R47,$P47,$N47,$L47,$J47))</f>
        <v>46062</v>
      </c>
      <c r="AO46" s="180" t="str">
        <f>_xlfn.IFNA(INDEX($J$7:$AM$7,_xlfn.XMATCH(MAX($AM47,$AJ47,$AH47,$AF47,$AD47,$AB47,$Z47,$X47,$V47,$T47,$R47,$P47,$N47,$L47,$J47),$J47:$AM47,0,-1)),"Awaiting DTP")</f>
        <v>Awarded</v>
      </c>
      <c r="AP46" s="204" t="s">
        <v>200</v>
      </c>
      <c r="AR46" s="16">
        <f t="shared" si="0"/>
        <v>28</v>
      </c>
      <c r="AU46" s="16" t="s">
        <v>200</v>
      </c>
    </row>
    <row r="47" spans="2:47" x14ac:dyDescent="0.25">
      <c r="B47" s="179"/>
      <c r="C47" s="179"/>
      <c r="D47" s="186"/>
      <c r="E47" s="179"/>
      <c r="F47" s="179"/>
      <c r="G47" s="179"/>
      <c r="H47" s="188"/>
      <c r="I47" s="91" t="s">
        <v>168</v>
      </c>
      <c r="J47" s="106">
        <v>46008</v>
      </c>
      <c r="K47" s="91"/>
      <c r="L47" s="106"/>
      <c r="M47" s="91"/>
      <c r="N47" s="106"/>
      <c r="O47" s="91"/>
      <c r="P47" s="106"/>
      <c r="Q47" s="91"/>
      <c r="R47" s="106"/>
      <c r="S47" s="91"/>
      <c r="T47" s="106"/>
      <c r="U47" s="91"/>
      <c r="V47" s="106"/>
      <c r="W47" s="91"/>
      <c r="X47" s="106"/>
      <c r="Y47" s="91"/>
      <c r="Z47" s="106"/>
      <c r="AA47" s="91"/>
      <c r="AB47" s="106"/>
      <c r="AC47" s="91"/>
      <c r="AD47" s="106"/>
      <c r="AE47" s="91"/>
      <c r="AF47" s="106"/>
      <c r="AG47" s="91"/>
      <c r="AH47" s="106"/>
      <c r="AI47" s="91"/>
      <c r="AJ47" s="106"/>
      <c r="AK47" s="91"/>
      <c r="AL47" s="179"/>
      <c r="AM47" s="106">
        <v>46062</v>
      </c>
      <c r="AN47" s="190"/>
      <c r="AO47" s="179"/>
      <c r="AP47" s="203"/>
      <c r="AR47" s="16">
        <f t="shared" si="0"/>
        <v>0</v>
      </c>
    </row>
    <row r="48" spans="2:47" x14ac:dyDescent="0.25">
      <c r="B48" s="210">
        <v>23</v>
      </c>
      <c r="C48" s="210" t="s">
        <v>53</v>
      </c>
      <c r="D48" s="213" t="s">
        <v>64</v>
      </c>
      <c r="E48" s="210" t="s">
        <v>201</v>
      </c>
      <c r="F48" s="210" t="str">
        <f>_xlfn.XLOOKUP($B48,'Procurement Strategy'!$B$12:$B$1307,'Procurement Strategy'!$P$12:$P$1307,"-",0)</f>
        <v>Yes</v>
      </c>
      <c r="G48" s="210" t="s">
        <v>172</v>
      </c>
      <c r="H48" s="211">
        <v>46022</v>
      </c>
      <c r="I48" s="131" t="s">
        <v>166</v>
      </c>
      <c r="J48" s="120">
        <f>IFERROR(IF(OR(L48="",K48=""),"",L48-K48),"")</f>
        <v>45970</v>
      </c>
      <c r="K48" s="132">
        <f>INDEX('Work Package Master List'!$C$12:$Y$1000, MATCH($E48, 'Work Package Master List'!$B$12:$B$1000, 0), MATCH(J$11, 'Work Package Master List'!$C$13:$Y$13, 0))</f>
        <v>2</v>
      </c>
      <c r="L48" s="120">
        <f>IFERROR(IF(OR(N48="",M48=""),"",N48-M48),"")</f>
        <v>45972</v>
      </c>
      <c r="M48" s="132">
        <f>INDEX('Work Package Master List'!$C$12:$Y$1000, MATCH($E48, 'Work Package Master List'!$B$12:$B$1000, 0), MATCH(L$11, 'Work Package Master List'!$C$13:$Y$13, 0))</f>
        <v>1</v>
      </c>
      <c r="N48" s="120">
        <f>IFERROR(IF(OR(P48="",O48=""),"",P48-O48),"")</f>
        <v>45973</v>
      </c>
      <c r="O48" s="132">
        <f>INDEX('Work Package Master List'!$C$12:$Y$1000, MATCH($E48, 'Work Package Master List'!$B$12:$B$1000, 0), MATCH(N$11, 'Work Package Master List'!$C$13:$Y$13, 0))</f>
        <v>0</v>
      </c>
      <c r="P48" s="120">
        <f>IFERROR(IF(OR(R48="",Q48=""),"",R48-Q48),"")</f>
        <v>45973</v>
      </c>
      <c r="Q48" s="132">
        <f>INDEX('Work Package Master List'!$C$12:$Y$1000, MATCH($E48, 'Work Package Master List'!$B$12:$B$1000, 0), MATCH(P$11, 'Work Package Master List'!$C$13:$Y$13, 0))</f>
        <v>5</v>
      </c>
      <c r="R48" s="120">
        <f>IFERROR(IF(OR(T48="",S48=""),"",T48-S48),"")</f>
        <v>45978</v>
      </c>
      <c r="S48" s="132">
        <f>INDEX('Work Package Master List'!$C$12:$Y$1000, MATCH($E48, 'Work Package Master List'!$B$12:$B$1000, 0), MATCH(R$11, 'Work Package Master List'!$C$13:$Y$13, 0))</f>
        <v>2</v>
      </c>
      <c r="T48" s="120">
        <f>IFERROR(IF(OR(V48="",U48=""),"",V48-U48),"")</f>
        <v>45980</v>
      </c>
      <c r="U48" s="132">
        <f>INDEX('Work Package Master List'!$C$12:$Y$1000, MATCH($E48, 'Work Package Master List'!$B$12:$B$1000, 0), MATCH(T$11, 'Work Package Master List'!$C$13:$Y$13, 0))</f>
        <v>1</v>
      </c>
      <c r="V48" s="120">
        <f>IFERROR(IF(OR(X48="",W48=""),"",X48-W48),"")</f>
        <v>45981</v>
      </c>
      <c r="W48" s="132">
        <f>INDEX('Work Package Master List'!$C$12:$Y$1000, MATCH($E48, 'Work Package Master List'!$B$12:$B$1000, 0), MATCH(V$11, 'Work Package Master List'!$C$13:$Y$13, 0))</f>
        <v>3</v>
      </c>
      <c r="X48" s="120">
        <f>IFERROR(IF(OR(Z48="",Y48=""),"",Z48-Y48),"")</f>
        <v>45984</v>
      </c>
      <c r="Y48" s="132">
        <f>INDEX('Work Package Master List'!$C$12:$Y$1000, MATCH($E48, 'Work Package Master List'!$B$12:$B$1000, 0), MATCH(X$11, 'Work Package Master List'!$C$13:$Y$13, 0))</f>
        <v>2</v>
      </c>
      <c r="Z48" s="120">
        <f>IFERROR(IF(OR(AB48="",AA48=""),"",AB48-AA48),"")</f>
        <v>45986</v>
      </c>
      <c r="AA48" s="132">
        <f>INDEX('Work Package Master List'!$C$12:$Y$1000, MATCH($E48, 'Work Package Master List'!$B$12:$B$1000, 0), MATCH(Z$11, 'Work Package Master List'!$C$13:$Y$13, 0))</f>
        <v>0</v>
      </c>
      <c r="AB48" s="120">
        <f>IFERROR(IF(OR(AD48="",AC48=""),"",AD48-AC48),"")</f>
        <v>45986</v>
      </c>
      <c r="AC48" s="132">
        <f>INDEX('Work Package Master List'!$C$12:$Y$1000, MATCH($E48, 'Work Package Master List'!$B$12:$B$1000, 0), MATCH(AB$11, 'Work Package Master List'!$C$13:$Y$13, 0))</f>
        <v>2</v>
      </c>
      <c r="AD48" s="120">
        <f>IFERROR(IF(OR(AF48="",AE48=""),"",AF48-AE48),"")</f>
        <v>45988</v>
      </c>
      <c r="AE48" s="132">
        <f>INDEX('Work Package Master List'!$C$12:$Y$1000, MATCH($E48, 'Work Package Master List'!$B$12:$B$1000, 0), MATCH(AD$11, 'Work Package Master List'!$C$13:$Y$13, 0))</f>
        <v>1</v>
      </c>
      <c r="AF48" s="120">
        <f>IFERROR(IF(OR(AH48="",AG48=""),"",AH48-AG48),"")</f>
        <v>45989</v>
      </c>
      <c r="AG48" s="132">
        <f>INDEX('Work Package Master List'!$C$12:$Y$1000, MATCH($E48, 'Work Package Master List'!$B$12:$B$1000, 0), MATCH(AF$11, 'Work Package Master List'!$C$13:$Y$13, 0))</f>
        <v>2</v>
      </c>
      <c r="AH48" s="120">
        <f>IFERROR(IF(OR(AJ48="",AI48=""),"",AJ48-AI48),"")</f>
        <v>45991</v>
      </c>
      <c r="AI48" s="132">
        <f>INDEX('Work Package Master List'!$C$12:$Y$1000, MATCH($E48, 'Work Package Master List'!$B$12:$B$1000, 0), MATCH(AH$11, 'Work Package Master List'!$C$13:$Y$13, 0))</f>
        <v>2</v>
      </c>
      <c r="AJ48" s="120">
        <f>IFERROR(IF(OR(AM48="",AK48=""),"",AM48-AK48),"")</f>
        <v>45993</v>
      </c>
      <c r="AK48" s="132">
        <f>INDEX('Work Package Master List'!$C$12:$Y$1000, MATCH($E48, 'Work Package Master List'!$B$12:$B$1000, 0), MATCH(AJ$11, 'Work Package Master List'!$C$13:$Y$13, 0))</f>
        <v>5</v>
      </c>
      <c r="AL48" s="210">
        <v>13246</v>
      </c>
      <c r="AM48" s="120">
        <v>45998</v>
      </c>
      <c r="AN48" s="212">
        <f t="shared" ref="AN48" si="14">IF(MAX($H48,$AM49,$AJ49,$AH49,$AF49,$AD49,$AB49,$Z49,$X49,$V49,$T49,$R49,$P49,$N49,$L49,$J49) = 0,"",MAX($H48,$AM49,$AJ49,$AH49,$AF49,$AD49,$AB49,$Z49,$X49,$V49,$T49,$R49,$P49,$N49,$L49,$J49))</f>
        <v>46027</v>
      </c>
      <c r="AO48" s="210" t="str">
        <f>_xlfn.IFNA(INDEX($J$7:$AM$7,_xlfn.XMATCH(MAX($AM49,$AJ49,$AH49,$AF49,$AD49,$AB49,$Z49,$X49,$V49,$T49,$R49,$P49,$N49,$L49,$J49),$J49:$AM49,0,-1)),"Awaiting DTP")</f>
        <v>Awarded</v>
      </c>
      <c r="AP48" s="215" t="s">
        <v>202</v>
      </c>
      <c r="AR48" s="16">
        <f t="shared" si="0"/>
        <v>28</v>
      </c>
      <c r="AU48" s="16" t="s">
        <v>202</v>
      </c>
    </row>
    <row r="49" spans="2:47" x14ac:dyDescent="0.25">
      <c r="B49" s="179"/>
      <c r="C49" s="179"/>
      <c r="D49" s="186"/>
      <c r="E49" s="179"/>
      <c r="F49" s="179"/>
      <c r="G49" s="179"/>
      <c r="H49" s="188"/>
      <c r="I49" s="91" t="s">
        <v>168</v>
      </c>
      <c r="J49" s="106">
        <v>45985</v>
      </c>
      <c r="K49" s="91"/>
      <c r="L49" s="106"/>
      <c r="M49" s="91"/>
      <c r="N49" s="106"/>
      <c r="O49" s="91"/>
      <c r="P49" s="106"/>
      <c r="Q49" s="91"/>
      <c r="R49" s="106"/>
      <c r="S49" s="91"/>
      <c r="T49" s="106"/>
      <c r="U49" s="91"/>
      <c r="V49" s="106">
        <v>45985</v>
      </c>
      <c r="W49" s="91"/>
      <c r="X49" s="106">
        <v>45986</v>
      </c>
      <c r="Y49" s="91"/>
      <c r="Z49" s="106">
        <v>45987</v>
      </c>
      <c r="AA49" s="91"/>
      <c r="AB49" s="106">
        <v>45988</v>
      </c>
      <c r="AC49" s="91"/>
      <c r="AD49" s="106">
        <v>45989</v>
      </c>
      <c r="AE49" s="91"/>
      <c r="AF49" s="106">
        <v>46016</v>
      </c>
      <c r="AG49" s="91"/>
      <c r="AH49" s="106">
        <v>46016</v>
      </c>
      <c r="AI49" s="91"/>
      <c r="AJ49" s="106">
        <v>46017</v>
      </c>
      <c r="AK49" s="91"/>
      <c r="AL49" s="179"/>
      <c r="AM49" s="106">
        <v>46027</v>
      </c>
      <c r="AN49" s="190"/>
      <c r="AO49" s="179"/>
      <c r="AP49" s="203"/>
      <c r="AR49" s="16">
        <f t="shared" si="0"/>
        <v>0</v>
      </c>
    </row>
    <row r="50" spans="2:47" x14ac:dyDescent="0.25">
      <c r="B50" s="210">
        <v>25</v>
      </c>
      <c r="C50" s="210" t="s">
        <v>53</v>
      </c>
      <c r="D50" s="213" t="s">
        <v>65</v>
      </c>
      <c r="E50" s="210" t="s">
        <v>203</v>
      </c>
      <c r="F50" s="210" t="str">
        <f>_xlfn.XLOOKUP($B50,'Procurement Strategy'!$B$12:$B$1292,'Procurement Strategy'!$P$12:$P$1292,"-",0)</f>
        <v/>
      </c>
      <c r="G50" s="210" t="s">
        <v>204</v>
      </c>
      <c r="H50" s="211">
        <v>46022</v>
      </c>
      <c r="I50" s="131" t="s">
        <v>166</v>
      </c>
      <c r="J50" s="120">
        <f>IFERROR(IF(OR(L50="",K50=""),"",L50-K50),"")</f>
        <v>45980</v>
      </c>
      <c r="K50" s="132">
        <f>INDEX('Work Package Master List'!$C$12:$Y$1000, MATCH($E50, 'Work Package Master List'!$B$12:$B$1000, 0), MATCH(J$11, 'Work Package Master List'!$C$13:$Y$13, 0))</f>
        <v>2</v>
      </c>
      <c r="L50" s="120">
        <f>IFERROR(IF(OR(N50="",M50=""),"",N50-M50),"")</f>
        <v>45982</v>
      </c>
      <c r="M50" s="132">
        <f>INDEX('Work Package Master List'!$C$12:$Y$1000, MATCH($E50, 'Work Package Master List'!$B$12:$B$1000, 0), MATCH(L$11, 'Work Package Master List'!$C$13:$Y$13, 0))</f>
        <v>1</v>
      </c>
      <c r="N50" s="120">
        <f>IFERROR(IF(OR(P50="",O50=""),"",P50-O50),"")</f>
        <v>45983</v>
      </c>
      <c r="O50" s="132">
        <f>INDEX('Work Package Master List'!$C$12:$Y$1000, MATCH($E50, 'Work Package Master List'!$B$12:$B$1000, 0), MATCH(N$11, 'Work Package Master List'!$C$13:$Y$13, 0))</f>
        <v>0</v>
      </c>
      <c r="P50" s="120">
        <f>IFERROR(IF(OR(R50="",Q50=""),"",R50-Q50),"")</f>
        <v>45983</v>
      </c>
      <c r="Q50" s="132">
        <f>INDEX('Work Package Master List'!$C$12:$Y$1000, MATCH($E50, 'Work Package Master List'!$B$12:$B$1000, 0), MATCH(P$11, 'Work Package Master List'!$C$13:$Y$13, 0))</f>
        <v>3</v>
      </c>
      <c r="R50" s="120">
        <f>IFERROR(IF(OR(T50="",S50=""),"",T50-S50),"")</f>
        <v>45986</v>
      </c>
      <c r="S50" s="132">
        <f>INDEX('Work Package Master List'!$C$12:$Y$1000, MATCH($E50, 'Work Package Master List'!$B$12:$B$1000, 0), MATCH(R$11, 'Work Package Master List'!$C$13:$Y$13, 0))</f>
        <v>2</v>
      </c>
      <c r="T50" s="120">
        <f>IFERROR(IF(OR(V50="",U50=""),"",V50-U50),"")</f>
        <v>45988</v>
      </c>
      <c r="U50" s="132">
        <f>INDEX('Work Package Master List'!$C$12:$Y$1000, MATCH($E50, 'Work Package Master List'!$B$12:$B$1000, 0), MATCH(T$11, 'Work Package Master List'!$C$13:$Y$13, 0))</f>
        <v>1</v>
      </c>
      <c r="V50" s="120">
        <f>IFERROR(IF(OR(X50="",W50=""),"",X50-W50),"")</f>
        <v>45989</v>
      </c>
      <c r="W50" s="132">
        <f>INDEX('Work Package Master List'!$C$12:$Y$1000, MATCH($E50, 'Work Package Master List'!$B$12:$B$1000, 0), MATCH(V$11, 'Work Package Master List'!$C$13:$Y$13, 0))</f>
        <v>3</v>
      </c>
      <c r="X50" s="120">
        <f>IFERROR(IF(OR(Z50="",Y50=""),"",Z50-Y50),"")</f>
        <v>45992</v>
      </c>
      <c r="Y50" s="132">
        <f>INDEX('Work Package Master List'!$C$12:$Y$1000, MATCH($E50, 'Work Package Master List'!$B$12:$B$1000, 0), MATCH(X$11, 'Work Package Master List'!$C$13:$Y$13, 0))</f>
        <v>2</v>
      </c>
      <c r="Z50" s="120">
        <f>IFERROR(IF(OR(AB50="",AA50=""),"",AB50-AA50),"")</f>
        <v>45994</v>
      </c>
      <c r="AA50" s="132">
        <f>INDEX('Work Package Master List'!$C$12:$Y$1000, MATCH($E50, 'Work Package Master List'!$B$12:$B$1000, 0), MATCH(Z$11, 'Work Package Master List'!$C$13:$Y$13, 0))</f>
        <v>0</v>
      </c>
      <c r="AB50" s="120">
        <f>IFERROR(IF(OR(AD50="",AC50=""),"",AD50-AC50),"")</f>
        <v>45994</v>
      </c>
      <c r="AC50" s="132">
        <f>INDEX('Work Package Master List'!$C$12:$Y$1000, MATCH($E50, 'Work Package Master List'!$B$12:$B$1000, 0), MATCH(AB$11, 'Work Package Master List'!$C$13:$Y$13, 0))</f>
        <v>2</v>
      </c>
      <c r="AD50" s="120">
        <f>IFERROR(IF(OR(AF50="",AE50=""),"",AF50-AE50),"")</f>
        <v>45996</v>
      </c>
      <c r="AE50" s="132">
        <f>INDEX('Work Package Master List'!$C$12:$Y$1000, MATCH($E50, 'Work Package Master List'!$B$12:$B$1000, 0), MATCH(AD$11, 'Work Package Master List'!$C$13:$Y$13, 0))</f>
        <v>1</v>
      </c>
      <c r="AF50" s="120">
        <f>IFERROR(IF(OR(AH50="",AG50=""),"",AH50-AG50),"")</f>
        <v>45997</v>
      </c>
      <c r="AG50" s="132">
        <f>INDEX('Work Package Master List'!$C$12:$Y$1000, MATCH($E50, 'Work Package Master List'!$B$12:$B$1000, 0), MATCH(AF$11, 'Work Package Master List'!$C$13:$Y$13, 0))</f>
        <v>2</v>
      </c>
      <c r="AH50" s="120">
        <f>IFERROR(IF(OR(AJ50="",AI50=""),"",AJ50-AI50),"")</f>
        <v>45999</v>
      </c>
      <c r="AI50" s="132">
        <f>INDEX('Work Package Master List'!$C$12:$Y$1000, MATCH($E50, 'Work Package Master List'!$B$12:$B$1000, 0), MATCH(AH$11, 'Work Package Master List'!$C$13:$Y$13, 0))</f>
        <v>2</v>
      </c>
      <c r="AJ50" s="120">
        <f>IFERROR(IF(OR(AM50="",AK50=""),"",AM50-AK50),"")</f>
        <v>46001</v>
      </c>
      <c r="AK50" s="132">
        <f>INDEX('Work Package Master List'!$C$12:$Y$1000, MATCH($E50, 'Work Package Master List'!$B$12:$B$1000, 0), MATCH(AJ$11, 'Work Package Master List'!$C$13:$Y$13, 0))</f>
        <v>5</v>
      </c>
      <c r="AL50" s="210"/>
      <c r="AM50" s="120">
        <v>46006</v>
      </c>
      <c r="AN50" s="212">
        <f t="shared" ref="AN50" si="15">IF(MAX($H50,$AM51,$AJ51,$AH51,$AF51,$AD51,$AB51,$Z51,$X51,$V51,$T51,$R51,$P51,$N51,$L51,$J51) = 0,"",MAX($H50,$AM51,$AJ51,$AH51,$AF51,$AD51,$AB51,$Z51,$X51,$V51,$T51,$R51,$P51,$N51,$L51,$J51))</f>
        <v>46174</v>
      </c>
      <c r="AO50" s="210" t="str">
        <f>_xlfn.IFNA(INDEX($J$7:$AM$7,_xlfn.XMATCH(MAX($AM51,$AJ51,$AH51,$AF51,$AD51,$AB51,$Z51,$X51,$V51,$T51,$R51,$P51,$N51,$L51,$J51),$J51:$AM51,0,-1)),"Awaiting DTP")</f>
        <v>Awarded</v>
      </c>
      <c r="AP50" s="215" t="s">
        <v>205</v>
      </c>
      <c r="AR50" s="16">
        <f t="shared" si="0"/>
        <v>26</v>
      </c>
      <c r="AU50" s="16" t="s">
        <v>205</v>
      </c>
    </row>
    <row r="51" spans="2:47" x14ac:dyDescent="0.25">
      <c r="B51" s="179"/>
      <c r="C51" s="179"/>
      <c r="D51" s="186"/>
      <c r="E51" s="179"/>
      <c r="F51" s="179"/>
      <c r="G51" s="179"/>
      <c r="H51" s="188"/>
      <c r="I51" s="91" t="s">
        <v>168</v>
      </c>
      <c r="J51" s="106">
        <v>45967</v>
      </c>
      <c r="K51" s="91"/>
      <c r="L51" s="106"/>
      <c r="M51" s="91"/>
      <c r="N51" s="106"/>
      <c r="O51" s="91"/>
      <c r="P51" s="106"/>
      <c r="Q51" s="91"/>
      <c r="R51" s="106"/>
      <c r="S51" s="91"/>
      <c r="T51" s="106"/>
      <c r="U51" s="91"/>
      <c r="V51" s="106"/>
      <c r="W51" s="91"/>
      <c r="X51" s="106"/>
      <c r="Y51" s="91"/>
      <c r="Z51" s="106"/>
      <c r="AA51" s="91"/>
      <c r="AB51" s="106"/>
      <c r="AC51" s="91"/>
      <c r="AD51" s="106"/>
      <c r="AE51" s="91"/>
      <c r="AF51" s="106"/>
      <c r="AG51" s="91"/>
      <c r="AH51" s="106"/>
      <c r="AI51" s="91"/>
      <c r="AJ51" s="106"/>
      <c r="AK51" s="91"/>
      <c r="AL51" s="179"/>
      <c r="AM51" s="106">
        <v>46174</v>
      </c>
      <c r="AN51" s="190"/>
      <c r="AO51" s="179"/>
      <c r="AP51" s="203"/>
      <c r="AR51" s="16">
        <f t="shared" si="0"/>
        <v>0</v>
      </c>
    </row>
    <row r="52" spans="2:47" x14ac:dyDescent="0.25">
      <c r="B52" s="199">
        <v>27</v>
      </c>
      <c r="C52" s="199" t="s">
        <v>44</v>
      </c>
      <c r="D52" s="209" t="s">
        <v>66</v>
      </c>
      <c r="E52" s="199" t="s">
        <v>206</v>
      </c>
      <c r="F52" s="199" t="str">
        <f>_xlfn.XLOOKUP($B52,'Procurement Strategy'!$B$12:$B$1279,'Procurement Strategy'!$P$12:$P$1279,"-",0)</f>
        <v/>
      </c>
      <c r="G52" s="199" t="s">
        <v>172</v>
      </c>
      <c r="H52" s="198">
        <v>46022</v>
      </c>
      <c r="I52" s="129" t="s">
        <v>166</v>
      </c>
      <c r="J52" s="116">
        <f>IFERROR(IF(OR(L52="",K52=""),"",L52-K52),"")</f>
        <v>45961</v>
      </c>
      <c r="K52" s="130">
        <f>INDEX('Work Package Master List'!$C$12:$Y$1000, MATCH($E52, 'Work Package Master List'!$B$12:$B$1000, 0), MATCH(J$11, 'Work Package Master List'!$C$13:$Y$13, 0))</f>
        <v>2</v>
      </c>
      <c r="L52" s="116">
        <f>IFERROR(IF(OR(N52="",M52=""),"",N52-M52),"")</f>
        <v>45963</v>
      </c>
      <c r="M52" s="130">
        <f>INDEX('Work Package Master List'!$C$12:$Y$1000, MATCH($E52, 'Work Package Master List'!$B$12:$B$1000, 0), MATCH(L$11, 'Work Package Master List'!$C$13:$Y$13, 0))</f>
        <v>1</v>
      </c>
      <c r="N52" s="116">
        <f>IFERROR(IF(OR(P52="",O52=""),"",P52-O52),"")</f>
        <v>45964</v>
      </c>
      <c r="O52" s="130">
        <f>INDEX('Work Package Master List'!$C$12:$Y$1000, MATCH($E52, 'Work Package Master List'!$B$12:$B$1000, 0), MATCH(N$11, 'Work Package Master List'!$C$13:$Y$13, 0))</f>
        <v>0</v>
      </c>
      <c r="P52" s="116">
        <f>IFERROR(IF(OR(R52="",Q52=""),"",R52-Q52),"")</f>
        <v>45964</v>
      </c>
      <c r="Q52" s="130">
        <f>INDEX('Work Package Master List'!$C$12:$Y$1000, MATCH($E52, 'Work Package Master List'!$B$12:$B$1000, 0), MATCH(P$11, 'Work Package Master List'!$C$13:$Y$13, 0))</f>
        <v>7</v>
      </c>
      <c r="R52" s="116">
        <f>IFERROR(IF(OR(T52="",S52=""),"",T52-S52),"")</f>
        <v>45971</v>
      </c>
      <c r="S52" s="130">
        <f>INDEX('Work Package Master List'!$C$12:$Y$1000, MATCH($E52, 'Work Package Master List'!$B$12:$B$1000, 0), MATCH(R$11, 'Work Package Master List'!$C$13:$Y$13, 0))</f>
        <v>5</v>
      </c>
      <c r="T52" s="116">
        <f>IFERROR(IF(OR(V52="",U52=""),"",V52-U52),"")</f>
        <v>45976</v>
      </c>
      <c r="U52" s="130">
        <f>INDEX('Work Package Master List'!$C$12:$Y$1000, MATCH($E52, 'Work Package Master List'!$B$12:$B$1000, 0), MATCH(T$11, 'Work Package Master List'!$C$13:$Y$13, 0))</f>
        <v>1</v>
      </c>
      <c r="V52" s="116">
        <f>IFERROR(IF(OR(X52="",W52=""),"",X52-W52),"")</f>
        <v>45977</v>
      </c>
      <c r="W52" s="130">
        <f>INDEX('Work Package Master List'!$C$12:$Y$1000, MATCH($E52, 'Work Package Master List'!$B$12:$B$1000, 0), MATCH(V$11, 'Work Package Master List'!$C$13:$Y$13, 0))</f>
        <v>3</v>
      </c>
      <c r="X52" s="116">
        <f>IFERROR(IF(OR(Z52="",Y52=""),"",Z52-Y52),"")</f>
        <v>45980</v>
      </c>
      <c r="Y52" s="130">
        <f>INDEX('Work Package Master List'!$C$12:$Y$1000, MATCH($E52, 'Work Package Master List'!$B$12:$B$1000, 0), MATCH(X$11, 'Work Package Master List'!$C$13:$Y$13, 0))</f>
        <v>2</v>
      </c>
      <c r="Z52" s="116">
        <f>IFERROR(IF(OR(AB52="",AA52=""),"",AB52-AA52),"")</f>
        <v>45982</v>
      </c>
      <c r="AA52" s="130">
        <f>INDEX('Work Package Master List'!$C$12:$Y$1000, MATCH($E52, 'Work Package Master List'!$B$12:$B$1000, 0), MATCH(Z$11, 'Work Package Master List'!$C$13:$Y$13, 0))</f>
        <v>3</v>
      </c>
      <c r="AB52" s="116">
        <f>IFERROR(IF(OR(AD52="",AC52=""),"",AD52-AC52),"")</f>
        <v>45985</v>
      </c>
      <c r="AC52" s="130">
        <f>INDEX('Work Package Master List'!$C$12:$Y$1000, MATCH($E52, 'Work Package Master List'!$B$12:$B$1000, 0), MATCH(AB$11, 'Work Package Master List'!$C$13:$Y$13, 0))</f>
        <v>3</v>
      </c>
      <c r="AD52" s="116">
        <f>IFERROR(IF(OR(AF52="",AE52=""),"",AF52-AE52),"")</f>
        <v>45988</v>
      </c>
      <c r="AE52" s="130">
        <f>INDEX('Work Package Master List'!$C$12:$Y$1000, MATCH($E52, 'Work Package Master List'!$B$12:$B$1000, 0), MATCH(AD$11, 'Work Package Master List'!$C$13:$Y$13, 0))</f>
        <v>1</v>
      </c>
      <c r="AF52" s="116">
        <f>IFERROR(IF(OR(AH52="",AG52=""),"",AH52-AG52),"")</f>
        <v>45989</v>
      </c>
      <c r="AG52" s="130">
        <f>INDEX('Work Package Master List'!$C$12:$Y$1000, MATCH($E52, 'Work Package Master List'!$B$12:$B$1000, 0), MATCH(AF$11, 'Work Package Master List'!$C$13:$Y$13, 0))</f>
        <v>2</v>
      </c>
      <c r="AH52" s="116">
        <f>IFERROR(IF(OR(AJ52="",AI52=""),"",AJ52-AI52),"")</f>
        <v>45991</v>
      </c>
      <c r="AI52" s="130">
        <f>INDEX('Work Package Master List'!$C$12:$Y$1000, MATCH($E52, 'Work Package Master List'!$B$12:$B$1000, 0), MATCH(AH$11, 'Work Package Master List'!$C$13:$Y$13, 0))</f>
        <v>2</v>
      </c>
      <c r="AJ52" s="116">
        <f>IFERROR(IF(OR(AM52="",AK52=""),"",AM52-AK52),"")</f>
        <v>45993</v>
      </c>
      <c r="AK52" s="130">
        <f>INDEX('Work Package Master List'!$C$12:$Y$1000, MATCH($E52, 'Work Package Master List'!$B$12:$B$1000, 0), MATCH(AJ$11, 'Work Package Master List'!$C$13:$Y$13, 0))</f>
        <v>5</v>
      </c>
      <c r="AL52" s="199">
        <v>17897</v>
      </c>
      <c r="AM52" s="116">
        <v>45998</v>
      </c>
      <c r="AN52" s="200">
        <f t="shared" ref="AN52" si="16">IF(MAX($H52,$AM53,$AJ53,$AH53,$AF53,$AD53,$AB53,$Z53,$X53,$V53,$T53,$R53,$P53,$N53,$L53,$J53) = 0,"",MAX($H52,$AM53,$AJ53,$AH53,$AF53,$AD53,$AB53,$Z53,$X53,$V53,$T53,$R53,$P53,$N53,$L53,$J53))</f>
        <v>46294</v>
      </c>
      <c r="AO52" s="199" t="str">
        <f>_xlfn.IFNA(INDEX($J$7:$AM$7,_xlfn.XMATCH(MAX($AM53,$AJ53,$AH53,$AF53,$AD53,$AB53,$Z53,$X53,$V53,$T53,$R53,$P53,$N53,$L53,$J53),$J53:$AM53,0,-1)),"Awaiting DTP")</f>
        <v>Awarded</v>
      </c>
      <c r="AP52" s="203" t="s">
        <v>1341</v>
      </c>
      <c r="AR52" s="16">
        <f t="shared" si="0"/>
        <v>37</v>
      </c>
      <c r="AU52" s="16" t="s">
        <v>207</v>
      </c>
    </row>
    <row r="53" spans="2:47" x14ac:dyDescent="0.25">
      <c r="B53" s="180"/>
      <c r="C53" s="180"/>
      <c r="D53" s="187"/>
      <c r="E53" s="180"/>
      <c r="F53" s="180"/>
      <c r="G53" s="180"/>
      <c r="H53" s="189"/>
      <c r="I53" s="105" t="s">
        <v>168</v>
      </c>
      <c r="J53" s="111">
        <v>46017</v>
      </c>
      <c r="K53" s="105"/>
      <c r="L53" s="111"/>
      <c r="M53" s="105"/>
      <c r="N53" s="111"/>
      <c r="O53" s="105"/>
      <c r="P53" s="111"/>
      <c r="Q53" s="105"/>
      <c r="R53" s="111"/>
      <c r="S53" s="105"/>
      <c r="T53" s="111"/>
      <c r="U53" s="105"/>
      <c r="V53" s="111"/>
      <c r="W53" s="105"/>
      <c r="X53" s="111"/>
      <c r="Y53" s="105"/>
      <c r="Z53" s="111"/>
      <c r="AA53" s="105"/>
      <c r="AB53" s="111"/>
      <c r="AC53" s="105"/>
      <c r="AD53" s="111"/>
      <c r="AE53" s="105"/>
      <c r="AF53" s="111"/>
      <c r="AG53" s="105"/>
      <c r="AH53" s="111"/>
      <c r="AI53" s="105"/>
      <c r="AJ53" s="111">
        <v>46284</v>
      </c>
      <c r="AK53" s="105"/>
      <c r="AL53" s="180"/>
      <c r="AM53" s="111">
        <v>46294</v>
      </c>
      <c r="AN53" s="191"/>
      <c r="AO53" s="180"/>
      <c r="AP53" s="203"/>
      <c r="AR53" s="16">
        <f t="shared" si="0"/>
        <v>0</v>
      </c>
    </row>
    <row r="54" spans="2:47" ht="14.65" customHeight="1" x14ac:dyDescent="0.25">
      <c r="B54" s="179">
        <v>28</v>
      </c>
      <c r="C54" s="179" t="s">
        <v>44</v>
      </c>
      <c r="D54" s="186" t="s">
        <v>67</v>
      </c>
      <c r="E54" s="179" t="s">
        <v>208</v>
      </c>
      <c r="F54" s="179" t="str">
        <f>_xlfn.XLOOKUP($B54,'Procurement Strategy'!$B$12:$B$1273,'Procurement Strategy'!$P$12:$P$1273,"-",0)</f>
        <v/>
      </c>
      <c r="G54" s="179" t="s">
        <v>204</v>
      </c>
      <c r="H54" s="188">
        <v>46022</v>
      </c>
      <c r="I54" s="126" t="s">
        <v>166</v>
      </c>
      <c r="J54" s="103">
        <f>IFERROR(IF(OR(L54="",K54=""),"",L54-K54),"")</f>
        <v>45961</v>
      </c>
      <c r="K54" s="127">
        <f>INDEX('Work Package Master List'!$C$12:$Y$1000, MATCH($E54, 'Work Package Master List'!$B$12:$B$1000, 0), MATCH(J$11, 'Work Package Master List'!$C$13:$Y$13, 0))</f>
        <v>2</v>
      </c>
      <c r="L54" s="103">
        <f>IFERROR(IF(OR(N54="",M54=""),"",N54-M54),"")</f>
        <v>45963</v>
      </c>
      <c r="M54" s="127">
        <f>INDEX('Work Package Master List'!$C$12:$Y$1000, MATCH($E54, 'Work Package Master List'!$B$12:$B$1000, 0), MATCH(L$11, 'Work Package Master List'!$C$13:$Y$13, 0))</f>
        <v>1</v>
      </c>
      <c r="N54" s="103">
        <f>IFERROR(IF(OR(P54="",O54=""),"",P54-O54),"")</f>
        <v>45964</v>
      </c>
      <c r="O54" s="127">
        <f>INDEX('Work Package Master List'!$C$12:$Y$1000, MATCH($E54, 'Work Package Master List'!$B$12:$B$1000, 0), MATCH(N$11, 'Work Package Master List'!$C$13:$Y$13, 0))</f>
        <v>0</v>
      </c>
      <c r="P54" s="103">
        <f>IFERROR(IF(OR(R54="",Q54=""),"",R54-Q54),"")</f>
        <v>45964</v>
      </c>
      <c r="Q54" s="127">
        <f>INDEX('Work Package Master List'!$C$12:$Y$1000, MATCH($E54, 'Work Package Master List'!$B$12:$B$1000, 0), MATCH(P$11, 'Work Package Master List'!$C$13:$Y$13, 0))</f>
        <v>7</v>
      </c>
      <c r="R54" s="103">
        <f>IFERROR(IF(OR(T54="",S54=""),"",T54-S54),"")</f>
        <v>45971</v>
      </c>
      <c r="S54" s="127">
        <f>INDEX('Work Package Master List'!$C$12:$Y$1000, MATCH($E54, 'Work Package Master List'!$B$12:$B$1000, 0), MATCH(R$11, 'Work Package Master List'!$C$13:$Y$13, 0))</f>
        <v>5</v>
      </c>
      <c r="T54" s="103">
        <f>IFERROR(IF(OR(V54="",U54=""),"",V54-U54),"")</f>
        <v>45976</v>
      </c>
      <c r="U54" s="127">
        <f>INDEX('Work Package Master List'!$C$12:$Y$1000, MATCH($E54, 'Work Package Master List'!$B$12:$B$1000, 0), MATCH(T$11, 'Work Package Master List'!$C$13:$Y$13, 0))</f>
        <v>1</v>
      </c>
      <c r="V54" s="103">
        <f>IFERROR(IF(OR(X54="",W54=""),"",X54-W54),"")</f>
        <v>45977</v>
      </c>
      <c r="W54" s="127">
        <f>INDEX('Work Package Master List'!$C$12:$Y$1000, MATCH($E54, 'Work Package Master List'!$B$12:$B$1000, 0), MATCH(V$11, 'Work Package Master List'!$C$13:$Y$13, 0))</f>
        <v>3</v>
      </c>
      <c r="X54" s="103">
        <f>IFERROR(IF(OR(Z54="",Y54=""),"",Z54-Y54),"")</f>
        <v>45980</v>
      </c>
      <c r="Y54" s="127">
        <f>INDEX('Work Package Master List'!$C$12:$Y$1000, MATCH($E54, 'Work Package Master List'!$B$12:$B$1000, 0), MATCH(X$11, 'Work Package Master List'!$C$13:$Y$13, 0))</f>
        <v>2</v>
      </c>
      <c r="Z54" s="103">
        <f>IFERROR(IF(OR(AB54="",AA54=""),"",AB54-AA54),"")</f>
        <v>45982</v>
      </c>
      <c r="AA54" s="127">
        <f>INDEX('Work Package Master List'!$C$12:$Y$1000, MATCH($E54, 'Work Package Master List'!$B$12:$B$1000, 0), MATCH(Z$11, 'Work Package Master List'!$C$13:$Y$13, 0))</f>
        <v>3</v>
      </c>
      <c r="AB54" s="103">
        <f>IFERROR(IF(OR(AD54="",AC54=""),"",AD54-AC54),"")</f>
        <v>45985</v>
      </c>
      <c r="AC54" s="127">
        <f>INDEX('Work Package Master List'!$C$12:$Y$1000, MATCH($E54, 'Work Package Master List'!$B$12:$B$1000, 0), MATCH(AB$11, 'Work Package Master List'!$C$13:$Y$13, 0))</f>
        <v>3</v>
      </c>
      <c r="AD54" s="103">
        <f>IFERROR(IF(OR(AF54="",AE54=""),"",AF54-AE54),"")</f>
        <v>45988</v>
      </c>
      <c r="AE54" s="127">
        <f>INDEX('Work Package Master List'!$C$12:$Y$1000, MATCH($E54, 'Work Package Master List'!$B$12:$B$1000, 0), MATCH(AD$11, 'Work Package Master List'!$C$13:$Y$13, 0))</f>
        <v>1</v>
      </c>
      <c r="AF54" s="103">
        <f>IFERROR(IF(OR(AH54="",AG54=""),"",AH54-AG54),"")</f>
        <v>45989</v>
      </c>
      <c r="AG54" s="127">
        <f>INDEX('Work Package Master List'!$C$12:$Y$1000, MATCH($E54, 'Work Package Master List'!$B$12:$B$1000, 0), MATCH(AF$11, 'Work Package Master List'!$C$13:$Y$13, 0))</f>
        <v>2</v>
      </c>
      <c r="AH54" s="103">
        <f>IFERROR(IF(OR(AJ54="",AI54=""),"",AJ54-AI54),"")</f>
        <v>45991</v>
      </c>
      <c r="AI54" s="127">
        <f>INDEX('Work Package Master List'!$C$12:$Y$1000, MATCH($E54, 'Work Package Master List'!$B$12:$B$1000, 0), MATCH(AH$11, 'Work Package Master List'!$C$13:$Y$13, 0))</f>
        <v>2</v>
      </c>
      <c r="AJ54" s="103">
        <f>IFERROR(IF(OR(AM54="",AK54=""),"",AM54-AK54),"")</f>
        <v>45993</v>
      </c>
      <c r="AK54" s="127">
        <f>INDEX('Work Package Master List'!$C$12:$Y$1000, MATCH($E54, 'Work Package Master List'!$B$12:$B$1000, 0), MATCH(AJ$11, 'Work Package Master List'!$C$13:$Y$13, 0))</f>
        <v>5</v>
      </c>
      <c r="AL54" s="179"/>
      <c r="AM54" s="103">
        <v>45998</v>
      </c>
      <c r="AN54" s="190">
        <f t="shared" ref="AN54" si="17">IF(MAX($H54,$AM55,$AJ55,$AH55,$AF55,$AD55,$AB55,$Z55,$X55,$V55,$T55,$R55,$P55,$N55,$L55,$J55) = 0,"",MAX($H54,$AM55,$AJ55,$AH55,$AF55,$AD55,$AB55,$Z55,$X55,$V55,$T55,$R55,$P55,$N55,$L55,$J55))</f>
        <v>46174</v>
      </c>
      <c r="AO54" s="179" t="str">
        <f>_xlfn.IFNA(INDEX($J$7:$AM$7,_xlfn.XMATCH(MAX($AM55,$AJ55,$AH55,$AF55,$AD55,$AB55,$Z55,$X55,$V55,$T55,$R55,$P55,$N55,$L55,$J55),$J55:$AM55,0,-1)),"Awaiting DTP")</f>
        <v>Awarded</v>
      </c>
      <c r="AP54" s="214" t="s">
        <v>209</v>
      </c>
      <c r="AR54" s="16">
        <f t="shared" si="0"/>
        <v>37</v>
      </c>
      <c r="AU54" s="16" t="s">
        <v>209</v>
      </c>
    </row>
    <row r="55" spans="2:47" x14ac:dyDescent="0.25">
      <c r="B55" s="180"/>
      <c r="C55" s="180"/>
      <c r="D55" s="187"/>
      <c r="E55" s="180"/>
      <c r="F55" s="180"/>
      <c r="G55" s="180"/>
      <c r="H55" s="189"/>
      <c r="I55" s="105" t="s">
        <v>168</v>
      </c>
      <c r="J55" s="111">
        <v>46017</v>
      </c>
      <c r="K55" s="105"/>
      <c r="L55" s="111"/>
      <c r="M55" s="105"/>
      <c r="N55" s="111"/>
      <c r="O55" s="105"/>
      <c r="P55" s="111"/>
      <c r="Q55" s="105"/>
      <c r="R55" s="111"/>
      <c r="S55" s="105"/>
      <c r="T55" s="111"/>
      <c r="U55" s="105"/>
      <c r="V55" s="111"/>
      <c r="W55" s="105"/>
      <c r="X55" s="111"/>
      <c r="Y55" s="105"/>
      <c r="Z55" s="111"/>
      <c r="AA55" s="105"/>
      <c r="AB55" s="111"/>
      <c r="AC55" s="105"/>
      <c r="AD55" s="111"/>
      <c r="AE55" s="105"/>
      <c r="AF55" s="111"/>
      <c r="AG55" s="105"/>
      <c r="AH55" s="111"/>
      <c r="AI55" s="105"/>
      <c r="AJ55" s="111"/>
      <c r="AK55" s="105"/>
      <c r="AL55" s="180"/>
      <c r="AM55" s="111">
        <v>46174</v>
      </c>
      <c r="AN55" s="191"/>
      <c r="AO55" s="180"/>
      <c r="AP55" s="204"/>
      <c r="AR55" s="16">
        <f t="shared" si="0"/>
        <v>0</v>
      </c>
    </row>
    <row r="56" spans="2:47" x14ac:dyDescent="0.25">
      <c r="B56" s="179">
        <v>29</v>
      </c>
      <c r="C56" s="179" t="s">
        <v>53</v>
      </c>
      <c r="D56" s="186" t="s">
        <v>68</v>
      </c>
      <c r="E56" s="179" t="s">
        <v>188</v>
      </c>
      <c r="F56" s="179" t="str">
        <f>_xlfn.XLOOKUP($B56,'Procurement Strategy'!$B$12:$B$1269,'Procurement Strategy'!$P$12:$P$1269,"-",0)</f>
        <v/>
      </c>
      <c r="G56" s="210" t="s">
        <v>210</v>
      </c>
      <c r="H56" s="188">
        <v>46022</v>
      </c>
      <c r="I56" s="126" t="s">
        <v>166</v>
      </c>
      <c r="J56" s="103">
        <f>IFERROR(IF(OR(L56="",K56=""),"",L56-K56),"")</f>
        <v>46012</v>
      </c>
      <c r="K56" s="127">
        <f>INDEX('Work Package Master List'!$C$12:$Y$1000, MATCH($E56, 'Work Package Master List'!$B$12:$B$1000, 0), MATCH(J$11, 'Work Package Master List'!$C$13:$Y$13, 0))</f>
        <v>2</v>
      </c>
      <c r="L56" s="103">
        <f>IFERROR(IF(OR(N56="",M56=""),"",N56-M56),"")</f>
        <v>46014</v>
      </c>
      <c r="M56" s="127">
        <f>INDEX('Work Package Master List'!$C$12:$Y$1000, MATCH($E56, 'Work Package Master List'!$B$12:$B$1000, 0), MATCH(L$11, 'Work Package Master List'!$C$13:$Y$13, 0))</f>
        <v>1</v>
      </c>
      <c r="N56" s="103">
        <f>IFERROR(IF(OR(P56="",O56=""),"",P56-O56),"")</f>
        <v>46015</v>
      </c>
      <c r="O56" s="127">
        <f>INDEX('Work Package Master List'!$C$12:$Y$1000, MATCH($E56, 'Work Package Master List'!$B$12:$B$1000, 0), MATCH(N$11, 'Work Package Master List'!$C$13:$Y$13, 0))</f>
        <v>0</v>
      </c>
      <c r="P56" s="103">
        <f>IFERROR(IF(OR(R56="",Q56=""),"",R56-Q56),"")</f>
        <v>46015</v>
      </c>
      <c r="Q56" s="127">
        <f>INDEX('Work Package Master List'!$C$12:$Y$1000, MATCH($E56, 'Work Package Master List'!$B$12:$B$1000, 0), MATCH(P$11, 'Work Package Master List'!$C$13:$Y$13, 0))</f>
        <v>10</v>
      </c>
      <c r="R56" s="103">
        <f>IFERROR(IF(OR(T56="",S56=""),"",T56-S56),"")</f>
        <v>46025</v>
      </c>
      <c r="S56" s="127">
        <f>INDEX('Work Package Master List'!$C$12:$Y$1000, MATCH($E56, 'Work Package Master List'!$B$12:$B$1000, 0), MATCH(R$11, 'Work Package Master List'!$C$13:$Y$13, 0))</f>
        <v>5</v>
      </c>
      <c r="T56" s="103">
        <f>IFERROR(IF(OR(V56="",U56=""),"",V56-U56),"")</f>
        <v>46030</v>
      </c>
      <c r="U56" s="127">
        <f>INDEX('Work Package Master List'!$C$12:$Y$1000, MATCH($E56, 'Work Package Master List'!$B$12:$B$1000, 0), MATCH(T$11, 'Work Package Master List'!$C$13:$Y$13, 0))</f>
        <v>1</v>
      </c>
      <c r="V56" s="103">
        <f>IFERROR(IF(OR(X56="",W56=""),"",X56-W56),"")</f>
        <v>46031</v>
      </c>
      <c r="W56" s="127">
        <f>INDEX('Work Package Master List'!$C$12:$Y$1000, MATCH($E56, 'Work Package Master List'!$B$12:$B$1000, 0), MATCH(V$11, 'Work Package Master List'!$C$13:$Y$13, 0))</f>
        <v>3</v>
      </c>
      <c r="X56" s="103">
        <f>IFERROR(IF(OR(Z56="",Y56=""),"",Z56-Y56),"")</f>
        <v>46034</v>
      </c>
      <c r="Y56" s="127">
        <f>INDEX('Work Package Master List'!$C$12:$Y$1000, MATCH($E56, 'Work Package Master List'!$B$12:$B$1000, 0), MATCH(X$11, 'Work Package Master List'!$C$13:$Y$13, 0))</f>
        <v>2</v>
      </c>
      <c r="Z56" s="103">
        <f>IFERROR(IF(OR(AB56="",AA56=""),"",AB56-AA56),"")</f>
        <v>46036</v>
      </c>
      <c r="AA56" s="127">
        <f>INDEX('Work Package Master List'!$C$12:$Y$1000, MATCH($E56, 'Work Package Master List'!$B$12:$B$1000, 0), MATCH(Z$11, 'Work Package Master List'!$C$13:$Y$13, 0))</f>
        <v>3</v>
      </c>
      <c r="AB56" s="103">
        <f>IFERROR(IF(OR(AD56="",AC56=""),"",AD56-AC56),"")</f>
        <v>46039</v>
      </c>
      <c r="AC56" s="127">
        <f>INDEX('Work Package Master List'!$C$12:$Y$1000, MATCH($E56, 'Work Package Master List'!$B$12:$B$1000, 0), MATCH(AB$11, 'Work Package Master List'!$C$13:$Y$13, 0))</f>
        <v>3</v>
      </c>
      <c r="AD56" s="103">
        <f>IFERROR(IF(OR(AF56="",AE56=""),"",AF56-AE56),"")</f>
        <v>46042</v>
      </c>
      <c r="AE56" s="127">
        <f>INDEX('Work Package Master List'!$C$12:$Y$1000, MATCH($E56, 'Work Package Master List'!$B$12:$B$1000, 0), MATCH(AD$11, 'Work Package Master List'!$C$13:$Y$13, 0))</f>
        <v>1</v>
      </c>
      <c r="AF56" s="103">
        <f>IFERROR(IF(OR(AH56="",AG56=""),"",AH56-AG56),"")</f>
        <v>46043</v>
      </c>
      <c r="AG56" s="127">
        <f>INDEX('Work Package Master List'!$C$12:$Y$1000, MATCH($E56, 'Work Package Master List'!$B$12:$B$1000, 0), MATCH(AF$11, 'Work Package Master List'!$C$13:$Y$13, 0))</f>
        <v>2</v>
      </c>
      <c r="AH56" s="103">
        <f>IFERROR(IF(OR(AJ56="",AI56=""),"",AJ56-AI56),"")</f>
        <v>46045</v>
      </c>
      <c r="AI56" s="127">
        <f>INDEX('Work Package Master List'!$C$12:$Y$1000, MATCH($E56, 'Work Package Master List'!$B$12:$B$1000, 0), MATCH(AH$11, 'Work Package Master List'!$C$13:$Y$13, 0))</f>
        <v>2</v>
      </c>
      <c r="AJ56" s="103">
        <f>IFERROR(IF(OR(AM56="",AK56=""),"",AM56-AK56),"")</f>
        <v>46047</v>
      </c>
      <c r="AK56" s="127">
        <f>INDEX('Work Package Master List'!$C$12:$Y$1000, MATCH($E56, 'Work Package Master List'!$B$12:$B$1000, 0), MATCH(AJ$11, 'Work Package Master List'!$C$13:$Y$13, 0))</f>
        <v>5</v>
      </c>
      <c r="AL56" s="179"/>
      <c r="AM56" s="103">
        <v>46052</v>
      </c>
      <c r="AN56" s="190">
        <f t="shared" ref="AN56" si="18">IF(MAX($H56,$AM57,$AJ57,$AH57,$AF57,$AD57,$AB57,$Z57,$X57,$V57,$T57,$R57,$P57,$N57,$L57,$J57) = 0,"",MAX($H56,$AM57,$AJ57,$AH57,$AF57,$AD57,$AB57,$Z57,$X57,$V57,$T57,$R57,$P57,$N57,$L57,$J57))</f>
        <v>46218</v>
      </c>
      <c r="AO56" s="179" t="str">
        <f>_xlfn.IFNA(INDEX($J$7:$AM$7,_xlfn.XMATCH(MAX($AM57,$AJ57,$AH57,$AF57,$AD57,$AB57,$Z57,$X57,$V57,$T57,$R57,$P57,$N57,$L57,$J57),$J57:$AM57,0,-1)),"Awaiting DTP")</f>
        <v>Awarded</v>
      </c>
      <c r="AP56" s="203" t="s">
        <v>211</v>
      </c>
      <c r="AR56" s="16">
        <f t="shared" si="0"/>
        <v>40</v>
      </c>
      <c r="AU56" s="16" t="s">
        <v>211</v>
      </c>
    </row>
    <row r="57" spans="2:47" x14ac:dyDescent="0.25">
      <c r="B57" s="180"/>
      <c r="C57" s="180"/>
      <c r="D57" s="187"/>
      <c r="E57" s="180"/>
      <c r="F57" s="180"/>
      <c r="G57" s="179"/>
      <c r="H57" s="189"/>
      <c r="I57" s="105" t="s">
        <v>168</v>
      </c>
      <c r="J57" s="111">
        <v>46126</v>
      </c>
      <c r="K57" s="105"/>
      <c r="L57" s="111">
        <v>46126</v>
      </c>
      <c r="M57" s="105"/>
      <c r="N57" s="111">
        <v>46126</v>
      </c>
      <c r="O57" s="105"/>
      <c r="P57" s="111">
        <v>46126</v>
      </c>
      <c r="Q57" s="105"/>
      <c r="R57" s="111"/>
      <c r="S57" s="105"/>
      <c r="T57" s="111"/>
      <c r="U57" s="105"/>
      <c r="V57" s="111">
        <v>46183</v>
      </c>
      <c r="W57" s="105"/>
      <c r="X57" s="111">
        <v>46188</v>
      </c>
      <c r="Y57" s="105"/>
      <c r="Z57" s="111">
        <v>46191</v>
      </c>
      <c r="AA57" s="105"/>
      <c r="AB57" s="111">
        <v>46192</v>
      </c>
      <c r="AC57" s="105"/>
      <c r="AD57" s="111">
        <v>46202</v>
      </c>
      <c r="AE57" s="105"/>
      <c r="AF57" s="111">
        <v>46204</v>
      </c>
      <c r="AG57" s="105"/>
      <c r="AH57" s="111">
        <v>46213</v>
      </c>
      <c r="AI57" s="105"/>
      <c r="AJ57" s="111">
        <v>46218</v>
      </c>
      <c r="AK57" s="105"/>
      <c r="AL57" s="180"/>
      <c r="AM57" s="111">
        <v>46218</v>
      </c>
      <c r="AN57" s="191"/>
      <c r="AO57" s="180"/>
      <c r="AP57" s="204"/>
      <c r="AR57" s="16">
        <f t="shared" si="0"/>
        <v>0</v>
      </c>
    </row>
    <row r="58" spans="2:47" x14ac:dyDescent="0.25">
      <c r="B58" s="180">
        <v>30</v>
      </c>
      <c r="C58" s="180" t="s">
        <v>44</v>
      </c>
      <c r="D58" s="187" t="s">
        <v>69</v>
      </c>
      <c r="E58" s="180" t="s">
        <v>212</v>
      </c>
      <c r="F58" s="180" t="str">
        <f>_xlfn.XLOOKUP($B58,'Procurement Strategy'!$B$12:$B$1268,'Procurement Strategy'!$P$12:$P$1268,"-",0)</f>
        <v/>
      </c>
      <c r="G58" s="210" t="s">
        <v>210</v>
      </c>
      <c r="H58" s="189">
        <v>46022</v>
      </c>
      <c r="I58" s="125" t="s">
        <v>166</v>
      </c>
      <c r="J58" s="115">
        <f>IFERROR(IF(OR(L58="",K58=""),"",L58-K58),"")</f>
        <v>45959</v>
      </c>
      <c r="K58" s="128">
        <f>INDEX('Work Package Master List'!$C$12:$Y$1000, MATCH($E58, 'Work Package Master List'!$B$12:$B$1000, 0), MATCH(J$11, 'Work Package Master List'!$C$13:$Y$13, 0))</f>
        <v>2</v>
      </c>
      <c r="L58" s="115">
        <f>IFERROR(IF(OR(N58="",M58=""),"",N58-M58),"")</f>
        <v>45961</v>
      </c>
      <c r="M58" s="128">
        <f>INDEX('Work Package Master List'!$C$12:$Y$1000, MATCH($E58, 'Work Package Master List'!$B$12:$B$1000, 0), MATCH(L$11, 'Work Package Master List'!$C$13:$Y$13, 0))</f>
        <v>1</v>
      </c>
      <c r="N58" s="115">
        <f>IFERROR(IF(OR(P58="",O58=""),"",P58-O58),"")</f>
        <v>45962</v>
      </c>
      <c r="O58" s="128">
        <f>INDEX('Work Package Master List'!$C$12:$Y$1000, MATCH($E58, 'Work Package Master List'!$B$12:$B$1000, 0), MATCH(N$11, 'Work Package Master List'!$C$13:$Y$13, 0))</f>
        <v>0</v>
      </c>
      <c r="P58" s="115">
        <f>IFERROR(IF(OR(R58="",Q58=""),"",R58-Q58),"")</f>
        <v>45962</v>
      </c>
      <c r="Q58" s="128">
        <f>INDEX('Work Package Master List'!$C$12:$Y$1000, MATCH($E58, 'Work Package Master List'!$B$12:$B$1000, 0), MATCH(P$11, 'Work Package Master List'!$C$13:$Y$13, 0))</f>
        <v>5</v>
      </c>
      <c r="R58" s="115">
        <f>IFERROR(IF(OR(T58="",S58=""),"",T58-S58),"")</f>
        <v>45967</v>
      </c>
      <c r="S58" s="128">
        <f>INDEX('Work Package Master List'!$C$12:$Y$1000, MATCH($E58, 'Work Package Master List'!$B$12:$B$1000, 0), MATCH(R$11, 'Work Package Master List'!$C$13:$Y$13, 0))</f>
        <v>5</v>
      </c>
      <c r="T58" s="115">
        <f>IFERROR(IF(OR(V58="",U58=""),"",V58-U58),"")</f>
        <v>45972</v>
      </c>
      <c r="U58" s="128">
        <f>INDEX('Work Package Master List'!$C$12:$Y$1000, MATCH($E58, 'Work Package Master List'!$B$12:$B$1000, 0), MATCH(T$11, 'Work Package Master List'!$C$13:$Y$13, 0))</f>
        <v>1</v>
      </c>
      <c r="V58" s="115">
        <f>IFERROR(IF(OR(X58="",W58=""),"",X58-W58),"")</f>
        <v>45973</v>
      </c>
      <c r="W58" s="128">
        <f>INDEX('Work Package Master List'!$C$12:$Y$1000, MATCH($E58, 'Work Package Master List'!$B$12:$B$1000, 0), MATCH(V$11, 'Work Package Master List'!$C$13:$Y$13, 0))</f>
        <v>3</v>
      </c>
      <c r="X58" s="115">
        <f>IFERROR(IF(OR(Z58="",Y58=""),"",Z58-Y58),"")</f>
        <v>45976</v>
      </c>
      <c r="Y58" s="128">
        <f>INDEX('Work Package Master List'!$C$12:$Y$1000, MATCH($E58, 'Work Package Master List'!$B$12:$B$1000, 0), MATCH(X$11, 'Work Package Master List'!$C$13:$Y$13, 0))</f>
        <v>2</v>
      </c>
      <c r="Z58" s="115">
        <f>IFERROR(IF(OR(AB58="",AA58=""),"",AB58-AA58),"")</f>
        <v>45978</v>
      </c>
      <c r="AA58" s="128">
        <f>INDEX('Work Package Master List'!$C$12:$Y$1000, MATCH($E58, 'Work Package Master List'!$B$12:$B$1000, 0), MATCH(Z$11, 'Work Package Master List'!$C$13:$Y$13, 0))</f>
        <v>7</v>
      </c>
      <c r="AB58" s="115">
        <f>IFERROR(IF(OR(AD58="",AC58=""),"",AD58-AC58),"")</f>
        <v>45985</v>
      </c>
      <c r="AC58" s="128">
        <f>INDEX('Work Package Master List'!$C$12:$Y$1000, MATCH($E58, 'Work Package Master List'!$B$12:$B$1000, 0), MATCH(AB$11, 'Work Package Master List'!$C$13:$Y$13, 0))</f>
        <v>3</v>
      </c>
      <c r="AD58" s="115">
        <f>IFERROR(IF(OR(AF58="",AE58=""),"",AF58-AE58),"")</f>
        <v>45988</v>
      </c>
      <c r="AE58" s="128">
        <f>INDEX('Work Package Master List'!$C$12:$Y$1000, MATCH($E58, 'Work Package Master List'!$B$12:$B$1000, 0), MATCH(AD$11, 'Work Package Master List'!$C$13:$Y$13, 0))</f>
        <v>1</v>
      </c>
      <c r="AF58" s="115">
        <f>IFERROR(IF(OR(AH58="",AG58=""),"",AH58-AG58),"")</f>
        <v>45989</v>
      </c>
      <c r="AG58" s="128">
        <f>INDEX('Work Package Master List'!$C$12:$Y$1000, MATCH($E58, 'Work Package Master List'!$B$12:$B$1000, 0), MATCH(AF$11, 'Work Package Master List'!$C$13:$Y$13, 0))</f>
        <v>2</v>
      </c>
      <c r="AH58" s="115">
        <f>IFERROR(IF(OR(AJ58="",AI58=""),"",AJ58-AI58),"")</f>
        <v>45991</v>
      </c>
      <c r="AI58" s="128">
        <f>INDEX('Work Package Master List'!$C$12:$Y$1000, MATCH($E58, 'Work Package Master List'!$B$12:$B$1000, 0), MATCH(AH$11, 'Work Package Master List'!$C$13:$Y$13, 0))</f>
        <v>2</v>
      </c>
      <c r="AJ58" s="115">
        <f>IFERROR(IF(OR(AM58="",AK58=""),"",AM58-AK58),"")</f>
        <v>45993</v>
      </c>
      <c r="AK58" s="128">
        <f>INDEX('Work Package Master List'!$C$12:$Y$1000, MATCH($E58, 'Work Package Master List'!$B$12:$B$1000, 0), MATCH(AJ$11, 'Work Package Master List'!$C$13:$Y$13, 0))</f>
        <v>5</v>
      </c>
      <c r="AL58" s="180"/>
      <c r="AM58" s="115">
        <v>45998</v>
      </c>
      <c r="AN58" s="191">
        <f t="shared" ref="AN58" si="19">IF(MAX($H58,$AM59,$AJ59,$AH59,$AF59,$AD59,$AB59,$Z59,$X59,$V59,$T59,$R59,$P59,$N59,$L59,$J59) = 0,"",MAX($H58,$AM59,$AJ59,$AH59,$AF59,$AD59,$AB59,$Z59,$X59,$V59,$T59,$R59,$P59,$N59,$L59,$J59))</f>
        <v>46090</v>
      </c>
      <c r="AO58" s="180" t="str">
        <f>_xlfn.IFNA(INDEX($J$7:$AM$7,_xlfn.XMATCH(MAX($AM59,$AJ59,$AH59,$AF59,$AD59,$AB59,$Z59,$X59,$V59,$T59,$R59,$P59,$N59,$L59,$J59),$J59:$AM59,0,-1)),"Awaiting DTP")</f>
        <v>Awarded</v>
      </c>
      <c r="AP58" s="204" t="s">
        <v>213</v>
      </c>
      <c r="AR58" s="16">
        <f t="shared" si="0"/>
        <v>39</v>
      </c>
      <c r="AU58" s="16" t="s">
        <v>213</v>
      </c>
    </row>
    <row r="59" spans="2:47" x14ac:dyDescent="0.25">
      <c r="B59" s="179"/>
      <c r="C59" s="179"/>
      <c r="D59" s="186"/>
      <c r="E59" s="179"/>
      <c r="F59" s="179"/>
      <c r="G59" s="179"/>
      <c r="H59" s="188"/>
      <c r="I59" s="91" t="s">
        <v>168</v>
      </c>
      <c r="J59" s="106">
        <v>46062</v>
      </c>
      <c r="K59" s="91"/>
      <c r="L59" s="106"/>
      <c r="M59" s="91"/>
      <c r="N59" s="106"/>
      <c r="O59" s="91"/>
      <c r="P59" s="106"/>
      <c r="Q59" s="91"/>
      <c r="R59" s="106"/>
      <c r="S59" s="91"/>
      <c r="T59" s="106"/>
      <c r="U59" s="91"/>
      <c r="V59" s="106"/>
      <c r="W59" s="91"/>
      <c r="X59" s="106"/>
      <c r="Y59" s="91"/>
      <c r="Z59" s="106"/>
      <c r="AA59" s="91"/>
      <c r="AB59" s="106"/>
      <c r="AC59" s="91"/>
      <c r="AD59" s="106"/>
      <c r="AE59" s="91"/>
      <c r="AF59" s="106"/>
      <c r="AG59" s="91"/>
      <c r="AH59" s="106"/>
      <c r="AI59" s="91"/>
      <c r="AJ59" s="106"/>
      <c r="AK59" s="91"/>
      <c r="AL59" s="179"/>
      <c r="AM59" s="106">
        <v>46090</v>
      </c>
      <c r="AN59" s="190"/>
      <c r="AO59" s="179"/>
      <c r="AP59" s="203"/>
      <c r="AR59" s="16">
        <f t="shared" si="0"/>
        <v>0</v>
      </c>
    </row>
    <row r="60" spans="2:47" x14ac:dyDescent="0.25">
      <c r="B60" s="210">
        <v>32</v>
      </c>
      <c r="C60" s="210" t="s">
        <v>53</v>
      </c>
      <c r="D60" s="213" t="s">
        <v>70</v>
      </c>
      <c r="E60" s="210" t="s">
        <v>214</v>
      </c>
      <c r="F60" s="210" t="str">
        <f>_xlfn.XLOOKUP($B60,'Procurement Strategy'!$B$12:$B$1260,'Procurement Strategy'!$P$12:$P$1260,"-",0)</f>
        <v/>
      </c>
      <c r="G60" s="210" t="s">
        <v>210</v>
      </c>
      <c r="H60" s="211">
        <v>46022</v>
      </c>
      <c r="I60" s="131" t="s">
        <v>166</v>
      </c>
      <c r="J60" s="120">
        <f>IFERROR(IF(OR(L60="",K60=""),"",L60-K60),"")</f>
        <v>46013</v>
      </c>
      <c r="K60" s="132">
        <f>INDEX('Work Package Master List'!$C$12:$Y$1000, MATCH($E60, 'Work Package Master List'!$B$12:$B$1000, 0), MATCH(J$11, 'Work Package Master List'!$C$13:$Y$13, 0))</f>
        <v>2</v>
      </c>
      <c r="L60" s="120">
        <f>IFERROR(IF(OR(N60="",M60=""),"",N60-M60),"")</f>
        <v>46015</v>
      </c>
      <c r="M60" s="132">
        <f>INDEX('Work Package Master List'!$C$12:$Y$1000, MATCH($E60, 'Work Package Master List'!$B$12:$B$1000, 0), MATCH(L$11, 'Work Package Master List'!$C$13:$Y$13, 0))</f>
        <v>1</v>
      </c>
      <c r="N60" s="120">
        <f>IFERROR(IF(OR(P60="",O60=""),"",P60-O60),"")</f>
        <v>46016</v>
      </c>
      <c r="O60" s="132">
        <f>INDEX('Work Package Master List'!$C$12:$Y$1000, MATCH($E60, 'Work Package Master List'!$B$12:$B$1000, 0), MATCH(N$11, 'Work Package Master List'!$C$13:$Y$13, 0))</f>
        <v>0</v>
      </c>
      <c r="P60" s="120">
        <f>IFERROR(IF(OR(R60="",Q60=""),"",R60-Q60),"")</f>
        <v>46016</v>
      </c>
      <c r="Q60" s="132">
        <f>INDEX('Work Package Master List'!$C$12:$Y$1000, MATCH($E60, 'Work Package Master List'!$B$12:$B$1000, 0), MATCH(P$11, 'Work Package Master List'!$C$13:$Y$13, 0))</f>
        <v>5</v>
      </c>
      <c r="R60" s="120">
        <f>IFERROR(IF(OR(T60="",S60=""),"",T60-S60),"")</f>
        <v>46021</v>
      </c>
      <c r="S60" s="132">
        <f>INDEX('Work Package Master List'!$C$12:$Y$1000, MATCH($E60, 'Work Package Master List'!$B$12:$B$1000, 0), MATCH(R$11, 'Work Package Master List'!$C$13:$Y$13, 0))</f>
        <v>5</v>
      </c>
      <c r="T60" s="120">
        <f>IFERROR(IF(OR(V60="",U60=""),"",V60-U60),"")</f>
        <v>46026</v>
      </c>
      <c r="U60" s="132">
        <f>INDEX('Work Package Master List'!$C$12:$Y$1000, MATCH($E60, 'Work Package Master List'!$B$12:$B$1000, 0), MATCH(T$11, 'Work Package Master List'!$C$13:$Y$13, 0))</f>
        <v>1</v>
      </c>
      <c r="V60" s="120">
        <f>IFERROR(IF(OR(X60="",W60=""),"",X60-W60),"")</f>
        <v>46027</v>
      </c>
      <c r="W60" s="132">
        <f>INDEX('Work Package Master List'!$C$12:$Y$1000, MATCH($E60, 'Work Package Master List'!$B$12:$B$1000, 0), MATCH(V$11, 'Work Package Master List'!$C$13:$Y$13, 0))</f>
        <v>3</v>
      </c>
      <c r="X60" s="120">
        <f>IFERROR(IF(OR(Z60="",Y60=""),"",Z60-Y60),"")</f>
        <v>46030</v>
      </c>
      <c r="Y60" s="132">
        <f>INDEX('Work Package Master List'!$C$12:$Y$1000, MATCH($E60, 'Work Package Master List'!$B$12:$B$1000, 0), MATCH(X$11, 'Work Package Master List'!$C$13:$Y$13, 0))</f>
        <v>2</v>
      </c>
      <c r="Z60" s="120">
        <f>IFERROR(IF(OR(AB60="",AA60=""),"",AB60-AA60),"")</f>
        <v>46032</v>
      </c>
      <c r="AA60" s="132">
        <f>INDEX('Work Package Master List'!$C$12:$Y$1000, MATCH($E60, 'Work Package Master List'!$B$12:$B$1000, 0), MATCH(Z$11, 'Work Package Master List'!$C$13:$Y$13, 0))</f>
        <v>7</v>
      </c>
      <c r="AB60" s="120">
        <f>IFERROR(IF(OR(AD60="",AC60=""),"",AD60-AC60),"")</f>
        <v>46039</v>
      </c>
      <c r="AC60" s="132">
        <f>INDEX('Work Package Master List'!$C$12:$Y$1000, MATCH($E60, 'Work Package Master List'!$B$12:$B$1000, 0), MATCH(AB$11, 'Work Package Master List'!$C$13:$Y$13, 0))</f>
        <v>3</v>
      </c>
      <c r="AD60" s="120">
        <f>IFERROR(IF(OR(AF60="",AE60=""),"",AF60-AE60),"")</f>
        <v>46042</v>
      </c>
      <c r="AE60" s="132">
        <f>INDEX('Work Package Master List'!$C$12:$Y$1000, MATCH($E60, 'Work Package Master List'!$B$12:$B$1000, 0), MATCH(AD$11, 'Work Package Master List'!$C$13:$Y$13, 0))</f>
        <v>1</v>
      </c>
      <c r="AF60" s="120">
        <f>IFERROR(IF(OR(AH60="",AG60=""),"",AH60-AG60),"")</f>
        <v>46043</v>
      </c>
      <c r="AG60" s="132">
        <f>INDEX('Work Package Master List'!$C$12:$Y$1000, MATCH($E60, 'Work Package Master List'!$B$12:$B$1000, 0), MATCH(AF$11, 'Work Package Master List'!$C$13:$Y$13, 0))</f>
        <v>2</v>
      </c>
      <c r="AH60" s="120">
        <f>IFERROR(IF(OR(AJ60="",AI60=""),"",AJ60-AI60),"")</f>
        <v>46045</v>
      </c>
      <c r="AI60" s="132">
        <f>INDEX('Work Package Master List'!$C$12:$Y$1000, MATCH($E60, 'Work Package Master List'!$B$12:$B$1000, 0), MATCH(AH$11, 'Work Package Master List'!$C$13:$Y$13, 0))</f>
        <v>2</v>
      </c>
      <c r="AJ60" s="120">
        <f>IFERROR(IF(OR(AM60="",AK60=""),"",AM60-AK60),"")</f>
        <v>46047</v>
      </c>
      <c r="AK60" s="132">
        <f>INDEX('Work Package Master List'!$C$12:$Y$1000, MATCH($E60, 'Work Package Master List'!$B$12:$B$1000, 0), MATCH(AJ$11, 'Work Package Master List'!$C$13:$Y$13, 0))</f>
        <v>5</v>
      </c>
      <c r="AL60" s="210"/>
      <c r="AM60" s="120">
        <v>46052</v>
      </c>
      <c r="AN60" s="212">
        <f t="shared" ref="AN60" si="20">IF(MAX($H60,$AM61,$AJ61,$AH61,$AF61,$AD61,$AB61,$Z61,$X61,$V61,$T61,$R61,$P61,$N61,$L61,$J61) = 0,"",MAX($H60,$AM61,$AJ61,$AH61,$AF61,$AD61,$AB61,$Z61,$X61,$V61,$T61,$R61,$P61,$N61,$L61,$J61))</f>
        <v>46281</v>
      </c>
      <c r="AO60" s="210" t="str">
        <f>_xlfn.IFNA(INDEX($J$7:$AM$7,_xlfn.XMATCH(MAX($AM61,$AJ61,$AH61,$AF61,$AD61,$AB61,$Z61,$X61,$V61,$T61,$R61,$P61,$N61,$L61,$J61),$J61:$AM61,0,-1)),"Awaiting DTP")</f>
        <v>Awarded</v>
      </c>
      <c r="AP60" s="219" t="s">
        <v>1315</v>
      </c>
      <c r="AR60" s="16">
        <f t="shared" si="0"/>
        <v>39</v>
      </c>
      <c r="AU60" s="16" t="s">
        <v>1315</v>
      </c>
    </row>
    <row r="61" spans="2:47" x14ac:dyDescent="0.25">
      <c r="B61" s="179"/>
      <c r="C61" s="179"/>
      <c r="D61" s="186"/>
      <c r="E61" s="179"/>
      <c r="F61" s="179"/>
      <c r="G61" s="179"/>
      <c r="H61" s="188"/>
      <c r="I61" s="91" t="s">
        <v>168</v>
      </c>
      <c r="J61" s="106"/>
      <c r="K61" s="91"/>
      <c r="L61" s="106"/>
      <c r="M61" s="91"/>
      <c r="N61" s="106"/>
      <c r="O61" s="91"/>
      <c r="P61" s="106"/>
      <c r="Q61" s="91"/>
      <c r="R61" s="106"/>
      <c r="S61" s="91"/>
      <c r="T61" s="106"/>
      <c r="U61" s="91"/>
      <c r="V61" s="106"/>
      <c r="W61" s="91"/>
      <c r="X61" s="106"/>
      <c r="Y61" s="91"/>
      <c r="Z61" s="106"/>
      <c r="AA61" s="91"/>
      <c r="AB61" s="106"/>
      <c r="AC61" s="91"/>
      <c r="AD61" s="106"/>
      <c r="AE61" s="91"/>
      <c r="AF61" s="106"/>
      <c r="AG61" s="91"/>
      <c r="AH61" s="106"/>
      <c r="AI61" s="91"/>
      <c r="AJ61" s="106"/>
      <c r="AK61" s="91"/>
      <c r="AL61" s="179"/>
      <c r="AM61" s="111">
        <v>46281</v>
      </c>
      <c r="AN61" s="190"/>
      <c r="AO61" s="179"/>
      <c r="AP61" s="208"/>
      <c r="AR61" s="16">
        <f t="shared" si="0"/>
        <v>0</v>
      </c>
    </row>
    <row r="62" spans="2:47" x14ac:dyDescent="0.25">
      <c r="B62" s="199">
        <v>34</v>
      </c>
      <c r="C62" s="199" t="s">
        <v>44</v>
      </c>
      <c r="D62" s="209" t="s">
        <v>71</v>
      </c>
      <c r="E62" s="199" t="s">
        <v>215</v>
      </c>
      <c r="F62" s="199" t="str">
        <f>_xlfn.XLOOKUP($B62,'Procurement Strategy'!$B$12:$B$1253,'Procurement Strategy'!$P$12:$P$1253,"-",0)</f>
        <v>Yes</v>
      </c>
      <c r="G62" s="199" t="s">
        <v>176</v>
      </c>
      <c r="H62" s="198">
        <v>46022</v>
      </c>
      <c r="I62" s="129" t="s">
        <v>166</v>
      </c>
      <c r="J62" s="116">
        <f>IFERROR(IF(OR(L62="",K62=""),"",L62-K62),"")</f>
        <v>46029</v>
      </c>
      <c r="K62" s="130">
        <f>INDEX('Work Package Master List'!$C$12:$Y$1000, MATCH($E62, 'Work Package Master List'!$B$12:$B$1000, 0), MATCH(J$11, 'Work Package Master List'!$C$13:$Y$13, 0))</f>
        <v>2</v>
      </c>
      <c r="L62" s="116">
        <f>IFERROR(IF(OR(N62="",M62=""),"",N62-M62),"")</f>
        <v>46031</v>
      </c>
      <c r="M62" s="130">
        <f>INDEX('Work Package Master List'!$C$12:$Y$1000, MATCH($E62, 'Work Package Master List'!$B$12:$B$1000, 0), MATCH(L$11, 'Work Package Master List'!$C$13:$Y$13, 0))</f>
        <v>1</v>
      </c>
      <c r="N62" s="116">
        <f>IFERROR(IF(OR(P62="",O62=""),"",P62-O62),"")</f>
        <v>46032</v>
      </c>
      <c r="O62" s="130">
        <f>INDEX('Work Package Master List'!$C$12:$Y$1000, MATCH($E62, 'Work Package Master List'!$B$12:$B$1000, 0), MATCH(N$11, 'Work Package Master List'!$C$13:$Y$13, 0))</f>
        <v>0</v>
      </c>
      <c r="P62" s="116">
        <f>IFERROR(IF(OR(R62="",Q62=""),"",R62-Q62),"")</f>
        <v>46032</v>
      </c>
      <c r="Q62" s="130">
        <f>INDEX('Work Package Master List'!$C$12:$Y$1000, MATCH($E62, 'Work Package Master List'!$B$12:$B$1000, 0), MATCH(P$11, 'Work Package Master List'!$C$13:$Y$13, 0))</f>
        <v>5</v>
      </c>
      <c r="R62" s="116">
        <f>IFERROR(IF(OR(T62="",S62=""),"",T62-S62),"")</f>
        <v>46037</v>
      </c>
      <c r="S62" s="130">
        <f>INDEX('Work Package Master List'!$C$12:$Y$1000, MATCH($E62, 'Work Package Master List'!$B$12:$B$1000, 0), MATCH(R$11, 'Work Package Master List'!$C$13:$Y$13, 0))</f>
        <v>5</v>
      </c>
      <c r="T62" s="116">
        <f>IFERROR(IF(OR(V62="",U62=""),"",V62-U62),"")</f>
        <v>46042</v>
      </c>
      <c r="U62" s="130">
        <f>INDEX('Work Package Master List'!$C$12:$Y$1000, MATCH($E62, 'Work Package Master List'!$B$12:$B$1000, 0), MATCH(T$11, 'Work Package Master List'!$C$13:$Y$13, 0))</f>
        <v>1</v>
      </c>
      <c r="V62" s="116">
        <f>IFERROR(IF(OR(X62="",W62=""),"",X62-W62),"")</f>
        <v>46043</v>
      </c>
      <c r="W62" s="130">
        <f>INDEX('Work Package Master List'!$C$12:$Y$1000, MATCH($E62, 'Work Package Master List'!$B$12:$B$1000, 0), MATCH(V$11, 'Work Package Master List'!$C$13:$Y$13, 0))</f>
        <v>3</v>
      </c>
      <c r="X62" s="116">
        <f>IFERROR(IF(OR(Z62="",Y62=""),"",Z62-Y62),"")</f>
        <v>46046</v>
      </c>
      <c r="Y62" s="130">
        <f>INDEX('Work Package Master List'!$C$12:$Y$1000, MATCH($E62, 'Work Package Master List'!$B$12:$B$1000, 0), MATCH(X$11, 'Work Package Master List'!$C$13:$Y$13, 0))</f>
        <v>2</v>
      </c>
      <c r="Z62" s="116">
        <f>IFERROR(IF(OR(AB62="",AA62=""),"",AB62-AA62),"")</f>
        <v>46048</v>
      </c>
      <c r="AA62" s="130">
        <f>INDEX('Work Package Master List'!$C$12:$Y$1000, MATCH($E62, 'Work Package Master List'!$B$12:$B$1000, 0), MATCH(Z$11, 'Work Package Master List'!$C$13:$Y$13, 0))</f>
        <v>7</v>
      </c>
      <c r="AB62" s="116">
        <f>IFERROR(IF(OR(AD62="",AC62=""),"",AD62-AC62),"")</f>
        <v>46055</v>
      </c>
      <c r="AC62" s="130">
        <f>INDEX('Work Package Master List'!$C$12:$Y$1000, MATCH($E62, 'Work Package Master List'!$B$12:$B$1000, 0), MATCH(AB$11, 'Work Package Master List'!$C$13:$Y$13, 0))</f>
        <v>3</v>
      </c>
      <c r="AD62" s="116">
        <f>IFERROR(IF(OR(AF62="",AE62=""),"",AF62-AE62),"")</f>
        <v>46058</v>
      </c>
      <c r="AE62" s="130">
        <f>INDEX('Work Package Master List'!$C$12:$Y$1000, MATCH($E62, 'Work Package Master List'!$B$12:$B$1000, 0), MATCH(AD$11, 'Work Package Master List'!$C$13:$Y$13, 0))</f>
        <v>1</v>
      </c>
      <c r="AF62" s="116">
        <f>IFERROR(IF(OR(AH62="",AG62=""),"",AH62-AG62),"")</f>
        <v>46059</v>
      </c>
      <c r="AG62" s="130">
        <f>INDEX('Work Package Master List'!$C$12:$Y$1000, MATCH($E62, 'Work Package Master List'!$B$12:$B$1000, 0), MATCH(AF$11, 'Work Package Master List'!$C$13:$Y$13, 0))</f>
        <v>2</v>
      </c>
      <c r="AH62" s="116">
        <f>IFERROR(IF(OR(AJ62="",AI62=""),"",AJ62-AI62),"")</f>
        <v>46061</v>
      </c>
      <c r="AI62" s="130">
        <f>INDEX('Work Package Master List'!$C$12:$Y$1000, MATCH($E62, 'Work Package Master List'!$B$12:$B$1000, 0), MATCH(AH$11, 'Work Package Master List'!$C$13:$Y$13, 0))</f>
        <v>2</v>
      </c>
      <c r="AJ62" s="116">
        <f>IFERROR(IF(OR(AM62="",AK62=""),"",AM62-AK62),"")</f>
        <v>46063</v>
      </c>
      <c r="AK62" s="130">
        <f>INDEX('Work Package Master List'!$C$12:$Y$1000, MATCH($E62, 'Work Package Master List'!$B$12:$B$1000, 0), MATCH(AJ$11, 'Work Package Master List'!$C$13:$Y$13, 0))</f>
        <v>5</v>
      </c>
      <c r="AL62" s="199">
        <v>15384</v>
      </c>
      <c r="AM62" s="116">
        <v>46068</v>
      </c>
      <c r="AN62" s="200">
        <f t="shared" ref="AN62" si="21">IF(MAX($H62,$AM63,$AJ63,$AH63,$AF63,$AD63,$AB63,$Z63,$X63,$V63,$T63,$R63,$P63,$N63,$L63,$J63) = 0,"",MAX($H62,$AM63,$AJ63,$AH63,$AF63,$AD63,$AB63,$Z63,$X63,$V63,$T63,$R63,$P63,$N63,$L63,$J63))</f>
        <v>46143</v>
      </c>
      <c r="AO62" s="199" t="str">
        <f>_xlfn.IFNA(INDEX($J$7:$AM$7,_xlfn.XMATCH(MAX($AM63,$AJ63,$AH63,$AF63,$AD63,$AB63,$Z63,$X63,$V63,$T63,$R63,$P63,$N63,$L63,$J63),$J63:$AM63,0,-1)),"Awaiting DTP")</f>
        <v>Awarded</v>
      </c>
      <c r="AP62" s="214" t="s">
        <v>216</v>
      </c>
      <c r="AR62" s="16">
        <f t="shared" si="0"/>
        <v>39</v>
      </c>
      <c r="AU62" s="16" t="s">
        <v>216</v>
      </c>
    </row>
    <row r="63" spans="2:47" x14ac:dyDescent="0.25">
      <c r="B63" s="180"/>
      <c r="C63" s="180"/>
      <c r="D63" s="187"/>
      <c r="E63" s="180"/>
      <c r="F63" s="180"/>
      <c r="G63" s="180"/>
      <c r="H63" s="189"/>
      <c r="I63" s="105" t="s">
        <v>168</v>
      </c>
      <c r="J63" s="111">
        <v>46028</v>
      </c>
      <c r="K63" s="105"/>
      <c r="L63" s="111">
        <v>46030</v>
      </c>
      <c r="M63" s="105"/>
      <c r="N63" s="111">
        <v>46030</v>
      </c>
      <c r="O63" s="105"/>
      <c r="P63" s="111">
        <v>46030</v>
      </c>
      <c r="Q63" s="105"/>
      <c r="R63" s="111">
        <v>46032</v>
      </c>
      <c r="S63" s="105"/>
      <c r="T63" s="111">
        <v>45668</v>
      </c>
      <c r="U63" s="105"/>
      <c r="V63" s="111">
        <v>46034</v>
      </c>
      <c r="W63" s="105"/>
      <c r="X63" s="111">
        <v>46040</v>
      </c>
      <c r="Y63" s="105"/>
      <c r="Z63" s="111">
        <v>46050</v>
      </c>
      <c r="AA63" s="105"/>
      <c r="AB63" s="111"/>
      <c r="AC63" s="105"/>
      <c r="AD63" s="111"/>
      <c r="AE63" s="105"/>
      <c r="AF63" s="111"/>
      <c r="AG63" s="105"/>
      <c r="AH63" s="111"/>
      <c r="AI63" s="105"/>
      <c r="AJ63" s="111"/>
      <c r="AK63" s="105"/>
      <c r="AL63" s="180"/>
      <c r="AM63" s="111">
        <v>46143</v>
      </c>
      <c r="AN63" s="191"/>
      <c r="AO63" s="180"/>
      <c r="AP63" s="204"/>
      <c r="AR63" s="16">
        <f t="shared" si="0"/>
        <v>0</v>
      </c>
    </row>
    <row r="64" spans="2:47" x14ac:dyDescent="0.25">
      <c r="B64" s="179">
        <v>35</v>
      </c>
      <c r="C64" s="179" t="s">
        <v>44</v>
      </c>
      <c r="D64" s="186" t="s">
        <v>72</v>
      </c>
      <c r="E64" s="179" t="s">
        <v>215</v>
      </c>
      <c r="F64" s="179" t="str">
        <f>_xlfn.XLOOKUP($B64,'Procurement Strategy'!$B$12:$B$1248,'Procurement Strategy'!$P$12:$P$1248,"-",0)</f>
        <v>Yes</v>
      </c>
      <c r="G64" s="179" t="s">
        <v>176</v>
      </c>
      <c r="H64" s="188">
        <v>46022</v>
      </c>
      <c r="I64" s="126" t="s">
        <v>166</v>
      </c>
      <c r="J64" s="103">
        <f>IFERROR(IF(OR(L64="",K64=""),"",L64-K64),"")</f>
        <v>46029</v>
      </c>
      <c r="K64" s="127">
        <f>INDEX('Work Package Master List'!$C$12:$Y$1000, MATCH($E64, 'Work Package Master List'!$B$12:$B$1000, 0), MATCH(J$11, 'Work Package Master List'!$C$13:$Y$13, 0))</f>
        <v>2</v>
      </c>
      <c r="L64" s="103">
        <f>IFERROR(IF(OR(N64="",M64=""),"",N64-M64),"")</f>
        <v>46031</v>
      </c>
      <c r="M64" s="127">
        <f>INDEX('Work Package Master List'!$C$12:$Y$1000, MATCH($E64, 'Work Package Master List'!$B$12:$B$1000, 0), MATCH(L$11, 'Work Package Master List'!$C$13:$Y$13, 0))</f>
        <v>1</v>
      </c>
      <c r="N64" s="103">
        <f>IFERROR(IF(OR(P64="",O64=""),"",P64-O64),"")</f>
        <v>46032</v>
      </c>
      <c r="O64" s="127">
        <f>INDEX('Work Package Master List'!$C$12:$Y$1000, MATCH($E64, 'Work Package Master List'!$B$12:$B$1000, 0), MATCH(N$11, 'Work Package Master List'!$C$13:$Y$13, 0))</f>
        <v>0</v>
      </c>
      <c r="P64" s="103">
        <f>IFERROR(IF(OR(R64="",Q64=""),"",R64-Q64),"")</f>
        <v>46032</v>
      </c>
      <c r="Q64" s="127">
        <f>INDEX('Work Package Master List'!$C$12:$Y$1000, MATCH($E64, 'Work Package Master List'!$B$12:$B$1000, 0), MATCH(P$11, 'Work Package Master List'!$C$13:$Y$13, 0))</f>
        <v>5</v>
      </c>
      <c r="R64" s="103">
        <f>IFERROR(IF(OR(T64="",S64=""),"",T64-S64),"")</f>
        <v>46037</v>
      </c>
      <c r="S64" s="127">
        <f>INDEX('Work Package Master List'!$C$12:$Y$1000, MATCH($E64, 'Work Package Master List'!$B$12:$B$1000, 0), MATCH(R$11, 'Work Package Master List'!$C$13:$Y$13, 0))</f>
        <v>5</v>
      </c>
      <c r="T64" s="103">
        <f>IFERROR(IF(OR(V64="",U64=""),"",V64-U64),"")</f>
        <v>46042</v>
      </c>
      <c r="U64" s="127">
        <f>INDEX('Work Package Master List'!$C$12:$Y$1000, MATCH($E64, 'Work Package Master List'!$B$12:$B$1000, 0), MATCH(T$11, 'Work Package Master List'!$C$13:$Y$13, 0))</f>
        <v>1</v>
      </c>
      <c r="V64" s="103">
        <f>IFERROR(IF(OR(X64="",W64=""),"",X64-W64),"")</f>
        <v>46043</v>
      </c>
      <c r="W64" s="127">
        <f>INDEX('Work Package Master List'!$C$12:$Y$1000, MATCH($E64, 'Work Package Master List'!$B$12:$B$1000, 0), MATCH(V$11, 'Work Package Master List'!$C$13:$Y$13, 0))</f>
        <v>3</v>
      </c>
      <c r="X64" s="103">
        <f>IFERROR(IF(OR(Z64="",Y64=""),"",Z64-Y64),"")</f>
        <v>46046</v>
      </c>
      <c r="Y64" s="127">
        <f>INDEX('Work Package Master List'!$C$12:$Y$1000, MATCH($E64, 'Work Package Master List'!$B$12:$B$1000, 0), MATCH(X$11, 'Work Package Master List'!$C$13:$Y$13, 0))</f>
        <v>2</v>
      </c>
      <c r="Z64" s="103">
        <f>IFERROR(IF(OR(AB64="",AA64=""),"",AB64-AA64),"")</f>
        <v>46048</v>
      </c>
      <c r="AA64" s="127">
        <f>INDEX('Work Package Master List'!$C$12:$Y$1000, MATCH($E64, 'Work Package Master List'!$B$12:$B$1000, 0), MATCH(Z$11, 'Work Package Master List'!$C$13:$Y$13, 0))</f>
        <v>7</v>
      </c>
      <c r="AB64" s="103">
        <f>IFERROR(IF(OR(AD64="",AC64=""),"",AD64-AC64),"")</f>
        <v>46055</v>
      </c>
      <c r="AC64" s="127">
        <f>INDEX('Work Package Master List'!$C$12:$Y$1000, MATCH($E64, 'Work Package Master List'!$B$12:$B$1000, 0), MATCH(AB$11, 'Work Package Master List'!$C$13:$Y$13, 0))</f>
        <v>3</v>
      </c>
      <c r="AD64" s="103">
        <f>IFERROR(IF(OR(AF64="",AE64=""),"",AF64-AE64),"")</f>
        <v>46058</v>
      </c>
      <c r="AE64" s="127">
        <f>INDEX('Work Package Master List'!$C$12:$Y$1000, MATCH($E64, 'Work Package Master List'!$B$12:$B$1000, 0), MATCH(AD$11, 'Work Package Master List'!$C$13:$Y$13, 0))</f>
        <v>1</v>
      </c>
      <c r="AF64" s="103">
        <f>IFERROR(IF(OR(AH64="",AG64=""),"",AH64-AG64),"")</f>
        <v>46059</v>
      </c>
      <c r="AG64" s="127">
        <f>INDEX('Work Package Master List'!$C$12:$Y$1000, MATCH($E64, 'Work Package Master List'!$B$12:$B$1000, 0), MATCH(AF$11, 'Work Package Master List'!$C$13:$Y$13, 0))</f>
        <v>2</v>
      </c>
      <c r="AH64" s="103">
        <f>IFERROR(IF(OR(AJ64="",AI64=""),"",AJ64-AI64),"")</f>
        <v>46061</v>
      </c>
      <c r="AI64" s="127">
        <f>INDEX('Work Package Master List'!$C$12:$Y$1000, MATCH($E64, 'Work Package Master List'!$B$12:$B$1000, 0), MATCH(AH$11, 'Work Package Master List'!$C$13:$Y$13, 0))</f>
        <v>2</v>
      </c>
      <c r="AJ64" s="103">
        <f>IFERROR(IF(OR(AM64="",AK64=""),"",AM64-AK64),"")</f>
        <v>46063</v>
      </c>
      <c r="AK64" s="127">
        <f>INDEX('Work Package Master List'!$C$12:$Y$1000, MATCH($E64, 'Work Package Master List'!$B$12:$B$1000, 0), MATCH(AJ$11, 'Work Package Master List'!$C$13:$Y$13, 0))</f>
        <v>5</v>
      </c>
      <c r="AL64" s="179">
        <v>15873</v>
      </c>
      <c r="AM64" s="103">
        <v>46068</v>
      </c>
      <c r="AN64" s="190">
        <f t="shared" ref="AN64" si="22">IF(MAX($H64,$AM65,$AJ65,$AH65,$AF65,$AD65,$AB65,$Z65,$X65,$V65,$T65,$R65,$P65,$N65,$L65,$J65) = 0,"",MAX($H64,$AM65,$AJ65,$AH65,$AF65,$AD65,$AB65,$Z65,$X65,$V65,$T65,$R65,$P65,$N65,$L65,$J65))</f>
        <v>46162</v>
      </c>
      <c r="AO64" s="179" t="str">
        <f>_xlfn.IFNA(INDEX($J$7:$AM$7,_xlfn.XMATCH(MAX($AM65,$AJ65,$AH65,$AF65,$AD65,$AB65,$Z65,$X65,$V65,$T65,$R65,$P65,$N65,$L65,$J65),$J65:$AM65,0,-1)),"Awaiting DTP")</f>
        <v>Awarded</v>
      </c>
      <c r="AP64" s="203" t="s">
        <v>217</v>
      </c>
      <c r="AR64" s="16">
        <f t="shared" si="0"/>
        <v>39</v>
      </c>
      <c r="AU64" s="16" t="s">
        <v>217</v>
      </c>
    </row>
    <row r="65" spans="2:47" x14ac:dyDescent="0.25">
      <c r="B65" s="180"/>
      <c r="C65" s="180"/>
      <c r="D65" s="187"/>
      <c r="E65" s="180"/>
      <c r="F65" s="180"/>
      <c r="G65" s="180"/>
      <c r="H65" s="189"/>
      <c r="I65" s="105" t="s">
        <v>168</v>
      </c>
      <c r="J65" s="111">
        <v>46028</v>
      </c>
      <c r="K65" s="105"/>
      <c r="L65" s="111">
        <v>46030</v>
      </c>
      <c r="M65" s="105"/>
      <c r="N65" s="111">
        <v>46030</v>
      </c>
      <c r="O65" s="105"/>
      <c r="P65" s="111">
        <v>46030</v>
      </c>
      <c r="Q65" s="105"/>
      <c r="R65" s="111">
        <v>46032</v>
      </c>
      <c r="S65" s="105"/>
      <c r="T65" s="111">
        <v>45668</v>
      </c>
      <c r="U65" s="105"/>
      <c r="V65" s="111">
        <v>46034</v>
      </c>
      <c r="W65" s="105"/>
      <c r="X65" s="111">
        <v>46040</v>
      </c>
      <c r="Y65" s="105"/>
      <c r="Z65" s="111">
        <v>46050</v>
      </c>
      <c r="AA65" s="105"/>
      <c r="AB65" s="111"/>
      <c r="AC65" s="105"/>
      <c r="AD65" s="111"/>
      <c r="AE65" s="105"/>
      <c r="AF65" s="111"/>
      <c r="AG65" s="105"/>
      <c r="AH65" s="111"/>
      <c r="AI65" s="105"/>
      <c r="AJ65" s="111"/>
      <c r="AK65" s="105"/>
      <c r="AL65" s="180"/>
      <c r="AM65" s="111">
        <v>46162</v>
      </c>
      <c r="AN65" s="191"/>
      <c r="AO65" s="180"/>
      <c r="AP65" s="204"/>
      <c r="AR65" s="16">
        <f t="shared" si="0"/>
        <v>0</v>
      </c>
    </row>
    <row r="66" spans="2:47" ht="15" customHeight="1" x14ac:dyDescent="0.25">
      <c r="B66" s="180">
        <v>36</v>
      </c>
      <c r="C66" s="180" t="s">
        <v>44</v>
      </c>
      <c r="D66" s="193" t="s">
        <v>218</v>
      </c>
      <c r="E66" s="180" t="s">
        <v>219</v>
      </c>
      <c r="F66" s="180" t="str">
        <f>_xlfn.XLOOKUP($B66,'Procurement Strategy'!$B$12:$B$1244,'Procurement Strategy'!$P$12:$P$1244,"-",0)</f>
        <v/>
      </c>
      <c r="G66" s="180" t="s">
        <v>176</v>
      </c>
      <c r="H66" s="189">
        <v>46022</v>
      </c>
      <c r="I66" s="125" t="s">
        <v>166</v>
      </c>
      <c r="J66" s="115">
        <f>IFERROR(IF(OR(L66="",K66=""),"",L66-K66),"")</f>
        <v>46029</v>
      </c>
      <c r="K66" s="128">
        <f>INDEX('Work Package Master List'!$C$12:$Y$1000, MATCH($E66, 'Work Package Master List'!$B$12:$B$1000, 0), MATCH(J$11, 'Work Package Master List'!$C$13:$Y$13, 0))</f>
        <v>2</v>
      </c>
      <c r="L66" s="115">
        <f>IFERROR(IF(OR(N66="",M66=""),"",N66-M66),"")</f>
        <v>46031</v>
      </c>
      <c r="M66" s="128">
        <f>INDEX('Work Package Master List'!$C$12:$Y$1000, MATCH($E66, 'Work Package Master List'!$B$12:$B$1000, 0), MATCH(L$11, 'Work Package Master List'!$C$13:$Y$13, 0))</f>
        <v>1</v>
      </c>
      <c r="N66" s="115">
        <f>IFERROR(IF(OR(P66="",O66=""),"",P66-O66),"")</f>
        <v>46032</v>
      </c>
      <c r="O66" s="128">
        <f>INDEX('Work Package Master List'!$C$12:$Y$1000, MATCH($E66, 'Work Package Master List'!$B$12:$B$1000, 0), MATCH(N$11, 'Work Package Master List'!$C$13:$Y$13, 0))</f>
        <v>0</v>
      </c>
      <c r="P66" s="115">
        <f>IFERROR(IF(OR(R66="",Q66=""),"",R66-Q66),"")</f>
        <v>46032</v>
      </c>
      <c r="Q66" s="128">
        <f>INDEX('Work Package Master List'!$C$12:$Y$1000, MATCH($E66, 'Work Package Master List'!$B$12:$B$1000, 0), MATCH(P$11, 'Work Package Master List'!$C$13:$Y$13, 0))</f>
        <v>5</v>
      </c>
      <c r="R66" s="115">
        <f>IFERROR(IF(OR(T66="",S66=""),"",T66-S66),"")</f>
        <v>46037</v>
      </c>
      <c r="S66" s="128">
        <f>INDEX('Work Package Master List'!$C$12:$Y$1000, MATCH($E66, 'Work Package Master List'!$B$12:$B$1000, 0), MATCH(R$11, 'Work Package Master List'!$C$13:$Y$13, 0))</f>
        <v>5</v>
      </c>
      <c r="T66" s="115">
        <f>IFERROR(IF(OR(V66="",U66=""),"",V66-U66),"")</f>
        <v>46042</v>
      </c>
      <c r="U66" s="128">
        <f>INDEX('Work Package Master List'!$C$12:$Y$1000, MATCH($E66, 'Work Package Master List'!$B$12:$B$1000, 0), MATCH(T$11, 'Work Package Master List'!$C$13:$Y$13, 0))</f>
        <v>1</v>
      </c>
      <c r="V66" s="115">
        <f>IFERROR(IF(OR(X66="",W66=""),"",X66-W66),"")</f>
        <v>46043</v>
      </c>
      <c r="W66" s="128">
        <f>INDEX('Work Package Master List'!$C$12:$Y$1000, MATCH($E66, 'Work Package Master List'!$B$12:$B$1000, 0), MATCH(V$11, 'Work Package Master List'!$C$13:$Y$13, 0))</f>
        <v>3</v>
      </c>
      <c r="X66" s="115">
        <f>IFERROR(IF(OR(Z66="",Y66=""),"",Z66-Y66),"")</f>
        <v>46046</v>
      </c>
      <c r="Y66" s="128">
        <f>INDEX('Work Package Master List'!$C$12:$Y$1000, MATCH($E66, 'Work Package Master List'!$B$12:$B$1000, 0), MATCH(X$11, 'Work Package Master List'!$C$13:$Y$13, 0))</f>
        <v>2</v>
      </c>
      <c r="Z66" s="115">
        <f>IFERROR(IF(OR(AB66="",AA66=""),"",AB66-AA66),"")</f>
        <v>46048</v>
      </c>
      <c r="AA66" s="128">
        <f>INDEX('Work Package Master List'!$C$12:$Y$1000, MATCH($E66, 'Work Package Master List'!$B$12:$B$1000, 0), MATCH(Z$11, 'Work Package Master List'!$C$13:$Y$13, 0))</f>
        <v>7</v>
      </c>
      <c r="AB66" s="115">
        <f>IFERROR(IF(OR(AD66="",AC66=""),"",AD66-AC66),"")</f>
        <v>46055</v>
      </c>
      <c r="AC66" s="128">
        <f>INDEX('Work Package Master List'!$C$12:$Y$1000, MATCH($E66, 'Work Package Master List'!$B$12:$B$1000, 0), MATCH(AB$11, 'Work Package Master List'!$C$13:$Y$13, 0))</f>
        <v>3</v>
      </c>
      <c r="AD66" s="115">
        <f>IFERROR(IF(OR(AF66="",AE66=""),"",AF66-AE66),"")</f>
        <v>46058</v>
      </c>
      <c r="AE66" s="128">
        <f>INDEX('Work Package Master List'!$C$12:$Y$1000, MATCH($E66, 'Work Package Master List'!$B$12:$B$1000, 0), MATCH(AD$11, 'Work Package Master List'!$C$13:$Y$13, 0))</f>
        <v>1</v>
      </c>
      <c r="AF66" s="115">
        <f>IFERROR(IF(OR(AH66="",AG66=""),"",AH66-AG66),"")</f>
        <v>46059</v>
      </c>
      <c r="AG66" s="128">
        <f>INDEX('Work Package Master List'!$C$12:$Y$1000, MATCH($E66, 'Work Package Master List'!$B$12:$B$1000, 0), MATCH(AF$11, 'Work Package Master List'!$C$13:$Y$13, 0))</f>
        <v>2</v>
      </c>
      <c r="AH66" s="115">
        <f>IFERROR(IF(OR(AJ66="",AI66=""),"",AJ66-AI66),"")</f>
        <v>46061</v>
      </c>
      <c r="AI66" s="128">
        <f>INDEX('Work Package Master List'!$C$12:$Y$1000, MATCH($E66, 'Work Package Master List'!$B$12:$B$1000, 0), MATCH(AH$11, 'Work Package Master List'!$C$13:$Y$13, 0))</f>
        <v>2</v>
      </c>
      <c r="AJ66" s="115">
        <f>IFERROR(IF(OR(AM66="",AK66=""),"",AM66-AK66),"")</f>
        <v>46063</v>
      </c>
      <c r="AK66" s="128">
        <f>INDEX('Work Package Master List'!$C$12:$Y$1000, MATCH($E66, 'Work Package Master List'!$B$12:$B$1000, 0), MATCH(AJ$11, 'Work Package Master List'!$C$13:$Y$13, 0))</f>
        <v>5</v>
      </c>
      <c r="AL66" s="180"/>
      <c r="AM66" s="115">
        <v>46068</v>
      </c>
      <c r="AN66" s="191">
        <f t="shared" ref="AN66" si="23">IF(MAX($H66,$AM67,$AJ67,$AH67,$AF67,$AD67,$AB67,$Z67,$X67,$V67,$T67,$R67,$P67,$N67,$L67,$J67) = 0,"",MAX($H66,$AM67,$AJ67,$AH67,$AF67,$AD67,$AB67,$Z67,$X67,$V67,$T67,$R67,$P67,$N67,$L67,$J67))</f>
        <v>46262</v>
      </c>
      <c r="AO66" s="180" t="str">
        <f>_xlfn.IFNA(INDEX($J$7:$AM$7,_xlfn.XMATCH(MAX($AM67,$AJ67,$AH67,$AF67,$AD67,$AB67,$Z67,$X67,$V67,$T67,$R67,$P67,$N67,$L67,$J67),$J67:$AM67,0,-1)),"Awaiting DTP")</f>
        <v>Final Negotiations</v>
      </c>
      <c r="AP66" s="204" t="s">
        <v>1314</v>
      </c>
      <c r="AR66" s="16">
        <f t="shared" si="0"/>
        <v>39</v>
      </c>
      <c r="AU66" s="16" t="s">
        <v>1314</v>
      </c>
    </row>
    <row r="67" spans="2:47" ht="15" customHeight="1" x14ac:dyDescent="0.25">
      <c r="B67" s="179"/>
      <c r="C67" s="179"/>
      <c r="D67" s="192"/>
      <c r="E67" s="179"/>
      <c r="F67" s="179"/>
      <c r="G67" s="179"/>
      <c r="H67" s="188"/>
      <c r="I67" s="91" t="s">
        <v>168</v>
      </c>
      <c r="J67" s="106">
        <v>46030</v>
      </c>
      <c r="K67" s="91"/>
      <c r="L67" s="106">
        <v>46030</v>
      </c>
      <c r="M67" s="91"/>
      <c r="N67" s="106">
        <v>46030</v>
      </c>
      <c r="O67" s="91"/>
      <c r="P67" s="106">
        <v>46030</v>
      </c>
      <c r="Q67" s="91"/>
      <c r="R67" s="106">
        <v>46032</v>
      </c>
      <c r="S67" s="91"/>
      <c r="T67" s="106">
        <v>45668</v>
      </c>
      <c r="U67" s="91"/>
      <c r="V67" s="106">
        <v>46052</v>
      </c>
      <c r="W67" s="91"/>
      <c r="X67" s="106">
        <v>46058</v>
      </c>
      <c r="Y67" s="91"/>
      <c r="Z67" s="106"/>
      <c r="AA67" s="91"/>
      <c r="AB67" s="106"/>
      <c r="AC67" s="91"/>
      <c r="AD67" s="106"/>
      <c r="AE67" s="91"/>
      <c r="AF67" s="106">
        <v>46262</v>
      </c>
      <c r="AG67" s="91"/>
      <c r="AH67" s="106"/>
      <c r="AI67" s="91"/>
      <c r="AJ67" s="106"/>
      <c r="AK67" s="91"/>
      <c r="AL67" s="179"/>
      <c r="AM67" s="106"/>
      <c r="AN67" s="190"/>
      <c r="AO67" s="179"/>
      <c r="AP67" s="203"/>
      <c r="AR67" s="16">
        <f t="shared" si="0"/>
        <v>0</v>
      </c>
    </row>
    <row r="68" spans="2:47" x14ac:dyDescent="0.25">
      <c r="B68" s="199">
        <v>38</v>
      </c>
      <c r="C68" s="199" t="s">
        <v>44</v>
      </c>
      <c r="D68" s="209" t="s">
        <v>74</v>
      </c>
      <c r="E68" s="199" t="s">
        <v>220</v>
      </c>
      <c r="F68" s="199" t="str">
        <f>_xlfn.XLOOKUP($B68,'Procurement Strategy'!$B$12:$B$1237,'Procurement Strategy'!$P$12:$P$1237,"-",0)</f>
        <v/>
      </c>
      <c r="G68" s="199" t="s">
        <v>176</v>
      </c>
      <c r="H68" s="198">
        <v>46022</v>
      </c>
      <c r="I68" s="129" t="s">
        <v>166</v>
      </c>
      <c r="J68" s="116">
        <f>IFERROR(IF(OR(L68="",K68=""),"",L68-K68),"")</f>
        <v>46029</v>
      </c>
      <c r="K68" s="130">
        <f>INDEX('Work Package Master List'!$C$12:$Y$1000, MATCH($E68, 'Work Package Master List'!$B$12:$B$1000, 0), MATCH(J$11, 'Work Package Master List'!$C$13:$Y$13, 0))</f>
        <v>2</v>
      </c>
      <c r="L68" s="116">
        <f>IFERROR(IF(OR(N68="",M68=""),"",N68-M68),"")</f>
        <v>46031</v>
      </c>
      <c r="M68" s="130">
        <f>INDEX('Work Package Master List'!$C$12:$Y$1000, MATCH($E68, 'Work Package Master List'!$B$12:$B$1000, 0), MATCH(L$11, 'Work Package Master List'!$C$13:$Y$13, 0))</f>
        <v>1</v>
      </c>
      <c r="N68" s="116">
        <f>IFERROR(IF(OR(P68="",O68=""),"",P68-O68),"")</f>
        <v>46032</v>
      </c>
      <c r="O68" s="130">
        <f>INDEX('Work Package Master List'!$C$12:$Y$1000, MATCH($E68, 'Work Package Master List'!$B$12:$B$1000, 0), MATCH(N$11, 'Work Package Master List'!$C$13:$Y$13, 0))</f>
        <v>0</v>
      </c>
      <c r="P68" s="116">
        <f>IFERROR(IF(OR(R68="",Q68=""),"",R68-Q68),"")</f>
        <v>46032</v>
      </c>
      <c r="Q68" s="130">
        <f>INDEX('Work Package Master List'!$C$12:$Y$1000, MATCH($E68, 'Work Package Master List'!$B$12:$B$1000, 0), MATCH(P$11, 'Work Package Master List'!$C$13:$Y$13, 0))</f>
        <v>5</v>
      </c>
      <c r="R68" s="116">
        <f>IFERROR(IF(OR(T68="",S68=""),"",T68-S68),"")</f>
        <v>46037</v>
      </c>
      <c r="S68" s="130">
        <f>INDEX('Work Package Master List'!$C$12:$Y$1000, MATCH($E68, 'Work Package Master List'!$B$12:$B$1000, 0), MATCH(R$11, 'Work Package Master List'!$C$13:$Y$13, 0))</f>
        <v>5</v>
      </c>
      <c r="T68" s="116">
        <f>IFERROR(IF(OR(V68="",U68=""),"",V68-U68),"")</f>
        <v>46042</v>
      </c>
      <c r="U68" s="130">
        <f>INDEX('Work Package Master List'!$C$12:$Y$1000, MATCH($E68, 'Work Package Master List'!$B$12:$B$1000, 0), MATCH(T$11, 'Work Package Master List'!$C$13:$Y$13, 0))</f>
        <v>1</v>
      </c>
      <c r="V68" s="116">
        <f>IFERROR(IF(OR(X68="",W68=""),"",X68-W68),"")</f>
        <v>46043</v>
      </c>
      <c r="W68" s="130">
        <f>INDEX('Work Package Master List'!$C$12:$Y$1000, MATCH($E68, 'Work Package Master List'!$B$12:$B$1000, 0), MATCH(V$11, 'Work Package Master List'!$C$13:$Y$13, 0))</f>
        <v>3</v>
      </c>
      <c r="X68" s="116">
        <f>IFERROR(IF(OR(Z68="",Y68=""),"",Z68-Y68),"")</f>
        <v>46046</v>
      </c>
      <c r="Y68" s="130">
        <f>INDEX('Work Package Master List'!$C$12:$Y$1000, MATCH($E68, 'Work Package Master List'!$B$12:$B$1000, 0), MATCH(X$11, 'Work Package Master List'!$C$13:$Y$13, 0))</f>
        <v>2</v>
      </c>
      <c r="Z68" s="116">
        <f>IFERROR(IF(OR(AB68="",AA68=""),"",AB68-AA68),"")</f>
        <v>46048</v>
      </c>
      <c r="AA68" s="130">
        <f>INDEX('Work Package Master List'!$C$12:$Y$1000, MATCH($E68, 'Work Package Master List'!$B$12:$B$1000, 0), MATCH(Z$11, 'Work Package Master List'!$C$13:$Y$13, 0))</f>
        <v>7</v>
      </c>
      <c r="AB68" s="116">
        <f>IFERROR(IF(OR(AD68="",AC68=""),"",AD68-AC68),"")</f>
        <v>46055</v>
      </c>
      <c r="AC68" s="130">
        <f>INDEX('Work Package Master List'!$C$12:$Y$1000, MATCH($E68, 'Work Package Master List'!$B$12:$B$1000, 0), MATCH(AB$11, 'Work Package Master List'!$C$13:$Y$13, 0))</f>
        <v>3</v>
      </c>
      <c r="AD68" s="116">
        <f>IFERROR(IF(OR(AF68="",AE68=""),"",AF68-AE68),"")</f>
        <v>46058</v>
      </c>
      <c r="AE68" s="130">
        <f>INDEX('Work Package Master List'!$C$12:$Y$1000, MATCH($E68, 'Work Package Master List'!$B$12:$B$1000, 0), MATCH(AD$11, 'Work Package Master List'!$C$13:$Y$13, 0))</f>
        <v>1</v>
      </c>
      <c r="AF68" s="116">
        <f>IFERROR(IF(OR(AH68="",AG68=""),"",AH68-AG68),"")</f>
        <v>46059</v>
      </c>
      <c r="AG68" s="130">
        <f>INDEX('Work Package Master List'!$C$12:$Y$1000, MATCH($E68, 'Work Package Master List'!$B$12:$B$1000, 0), MATCH(AF$11, 'Work Package Master List'!$C$13:$Y$13, 0))</f>
        <v>2</v>
      </c>
      <c r="AH68" s="116">
        <f>IFERROR(IF(OR(AJ68="",AI68=""),"",AJ68-AI68),"")</f>
        <v>46061</v>
      </c>
      <c r="AI68" s="130">
        <f>INDEX('Work Package Master List'!$C$12:$Y$1000, MATCH($E68, 'Work Package Master List'!$B$12:$B$1000, 0), MATCH(AH$11, 'Work Package Master List'!$C$13:$Y$13, 0))</f>
        <v>2</v>
      </c>
      <c r="AJ68" s="116">
        <f>IFERROR(IF(OR(AM68="",AK68=""),"",AM68-AK68),"")</f>
        <v>46063</v>
      </c>
      <c r="AK68" s="130">
        <f>INDEX('Work Package Master List'!$C$12:$Y$1000, MATCH($E68, 'Work Package Master List'!$B$12:$B$1000, 0), MATCH(AJ$11, 'Work Package Master List'!$C$13:$Y$13, 0))</f>
        <v>5</v>
      </c>
      <c r="AL68" s="199"/>
      <c r="AM68" s="116">
        <v>46068</v>
      </c>
      <c r="AN68" s="200">
        <f t="shared" ref="AN68" si="24">IF(MAX($H68,$AM69,$AJ69,$AH69,$AF69,$AD69,$AB69,$Z69,$X69,$V69,$T69,$R69,$P69,$N69,$L69,$J69) = 0,"",MAX($H68,$AM69,$AJ69,$AH69,$AF69,$AD69,$AB69,$Z69,$X69,$V69,$T69,$R69,$P69,$N69,$L69,$J69))</f>
        <v>46240</v>
      </c>
      <c r="AO68" s="199" t="str">
        <f>_xlfn.IFNA(INDEX($J$7:$AM$7,_xlfn.XMATCH(MAX($AM69,$AJ69,$AH69,$AF69,$AD69,$AB69,$Z69,$X69,$V69,$T69,$R69,$P69,$N69,$L69,$J69),$J69:$AM69,0,-1)),"Awaiting DTP")</f>
        <v>PTC Stage</v>
      </c>
      <c r="AP68" s="204" t="s">
        <v>1314</v>
      </c>
      <c r="AR68" s="16">
        <f t="shared" ref="AR68:AR112" si="25">SUM(K68,M68,O68,Q68,S68,U68,W68,Y68,AA68,AC68,AE68,AG68,AI68,AK68)</f>
        <v>39</v>
      </c>
      <c r="AU68" s="16" t="s">
        <v>1314</v>
      </c>
    </row>
    <row r="69" spans="2:47" x14ac:dyDescent="0.25">
      <c r="B69" s="180"/>
      <c r="C69" s="180"/>
      <c r="D69" s="187"/>
      <c r="E69" s="180"/>
      <c r="F69" s="180"/>
      <c r="G69" s="180"/>
      <c r="H69" s="189"/>
      <c r="I69" s="105" t="s">
        <v>168</v>
      </c>
      <c r="J69" s="111">
        <v>46048</v>
      </c>
      <c r="K69" s="105"/>
      <c r="L69" s="111">
        <v>46049</v>
      </c>
      <c r="M69" s="105"/>
      <c r="N69" s="111">
        <v>46049</v>
      </c>
      <c r="O69" s="105"/>
      <c r="P69" s="111">
        <v>46049</v>
      </c>
      <c r="Q69" s="105"/>
      <c r="R69" s="111">
        <v>46073</v>
      </c>
      <c r="S69" s="105"/>
      <c r="T69" s="111"/>
      <c r="U69" s="105"/>
      <c r="V69" s="111">
        <v>46078</v>
      </c>
      <c r="W69" s="105"/>
      <c r="X69" s="111">
        <v>46101</v>
      </c>
      <c r="Y69" s="105"/>
      <c r="Z69" s="111">
        <v>46239</v>
      </c>
      <c r="AA69" s="105"/>
      <c r="AB69" s="111">
        <v>46240</v>
      </c>
      <c r="AC69" s="105"/>
      <c r="AD69" s="111">
        <v>46239</v>
      </c>
      <c r="AE69" s="105"/>
      <c r="AF69" s="111">
        <v>46239</v>
      </c>
      <c r="AG69" s="105"/>
      <c r="AH69" s="111"/>
      <c r="AI69" s="105"/>
      <c r="AJ69" s="111"/>
      <c r="AK69" s="105"/>
      <c r="AL69" s="180"/>
      <c r="AM69" s="111"/>
      <c r="AN69" s="191"/>
      <c r="AO69" s="180"/>
      <c r="AP69" s="203"/>
      <c r="AR69" s="16">
        <f t="shared" si="25"/>
        <v>0</v>
      </c>
    </row>
    <row r="70" spans="2:47" x14ac:dyDescent="0.25">
      <c r="B70" s="179">
        <v>39</v>
      </c>
      <c r="C70" s="179" t="s">
        <v>44</v>
      </c>
      <c r="D70" s="186" t="s">
        <v>75</v>
      </c>
      <c r="E70" s="179" t="s">
        <v>220</v>
      </c>
      <c r="F70" s="179" t="str">
        <f>_xlfn.XLOOKUP($B70,'Procurement Strategy'!$B$12:$B$1234,'Procurement Strategy'!$P$12:$P$1234,"-",0)</f>
        <v/>
      </c>
      <c r="G70" s="179" t="s">
        <v>176</v>
      </c>
      <c r="H70" s="188">
        <v>46022</v>
      </c>
      <c r="I70" s="126" t="s">
        <v>166</v>
      </c>
      <c r="J70" s="103">
        <f>IFERROR(IF(OR(L70="",K70=""),"",L70-K70),"")</f>
        <v>46029</v>
      </c>
      <c r="K70" s="127">
        <f>INDEX('Work Package Master List'!$C$12:$Y$1000, MATCH($E70, 'Work Package Master List'!$B$12:$B$1000, 0), MATCH(J$11, 'Work Package Master List'!$C$13:$Y$13, 0))</f>
        <v>2</v>
      </c>
      <c r="L70" s="103">
        <f>IFERROR(IF(OR(N70="",M70=""),"",N70-M70),"")</f>
        <v>46031</v>
      </c>
      <c r="M70" s="127">
        <f>INDEX('Work Package Master List'!$C$12:$Y$1000, MATCH($E70, 'Work Package Master List'!$B$12:$B$1000, 0), MATCH(L$11, 'Work Package Master List'!$C$13:$Y$13, 0))</f>
        <v>1</v>
      </c>
      <c r="N70" s="103">
        <f>IFERROR(IF(OR(P70="",O70=""),"",P70-O70),"")</f>
        <v>46032</v>
      </c>
      <c r="O70" s="127">
        <f>INDEX('Work Package Master List'!$C$12:$Y$1000, MATCH($E70, 'Work Package Master List'!$B$12:$B$1000, 0), MATCH(N$11, 'Work Package Master List'!$C$13:$Y$13, 0))</f>
        <v>0</v>
      </c>
      <c r="P70" s="103">
        <f>IFERROR(IF(OR(R70="",Q70=""),"",R70-Q70),"")</f>
        <v>46032</v>
      </c>
      <c r="Q70" s="127">
        <f>INDEX('Work Package Master List'!$C$12:$Y$1000, MATCH($E70, 'Work Package Master List'!$B$12:$B$1000, 0), MATCH(P$11, 'Work Package Master List'!$C$13:$Y$13, 0))</f>
        <v>5</v>
      </c>
      <c r="R70" s="103">
        <f>IFERROR(IF(OR(T70="",S70=""),"",T70-S70),"")</f>
        <v>46037</v>
      </c>
      <c r="S70" s="127">
        <f>INDEX('Work Package Master List'!$C$12:$Y$1000, MATCH($E70, 'Work Package Master List'!$B$12:$B$1000, 0), MATCH(R$11, 'Work Package Master List'!$C$13:$Y$13, 0))</f>
        <v>5</v>
      </c>
      <c r="T70" s="103">
        <f>IFERROR(IF(OR(V70="",U70=""),"",V70-U70),"")</f>
        <v>46042</v>
      </c>
      <c r="U70" s="127">
        <f>INDEX('Work Package Master List'!$C$12:$Y$1000, MATCH($E70, 'Work Package Master List'!$B$12:$B$1000, 0), MATCH(T$11, 'Work Package Master List'!$C$13:$Y$13, 0))</f>
        <v>1</v>
      </c>
      <c r="V70" s="103">
        <f>IFERROR(IF(OR(X70="",W70=""),"",X70-W70),"")</f>
        <v>46043</v>
      </c>
      <c r="W70" s="127">
        <f>INDEX('Work Package Master List'!$C$12:$Y$1000, MATCH($E70, 'Work Package Master List'!$B$12:$B$1000, 0), MATCH(V$11, 'Work Package Master List'!$C$13:$Y$13, 0))</f>
        <v>3</v>
      </c>
      <c r="X70" s="103">
        <f>IFERROR(IF(OR(Z70="",Y70=""),"",Z70-Y70),"")</f>
        <v>46046</v>
      </c>
      <c r="Y70" s="127">
        <f>INDEX('Work Package Master List'!$C$12:$Y$1000, MATCH($E70, 'Work Package Master List'!$B$12:$B$1000, 0), MATCH(X$11, 'Work Package Master List'!$C$13:$Y$13, 0))</f>
        <v>2</v>
      </c>
      <c r="Z70" s="103">
        <f>IFERROR(IF(OR(AB70="",AA70=""),"",AB70-AA70),"")</f>
        <v>46048</v>
      </c>
      <c r="AA70" s="127">
        <f>INDEX('Work Package Master List'!$C$12:$Y$1000, MATCH($E70, 'Work Package Master List'!$B$12:$B$1000, 0), MATCH(Z$11, 'Work Package Master List'!$C$13:$Y$13, 0))</f>
        <v>7</v>
      </c>
      <c r="AB70" s="103">
        <f>IFERROR(IF(OR(AD70="",AC70=""),"",AD70-AC70),"")</f>
        <v>46055</v>
      </c>
      <c r="AC70" s="127">
        <f>INDEX('Work Package Master List'!$C$12:$Y$1000, MATCH($E70, 'Work Package Master List'!$B$12:$B$1000, 0), MATCH(AB$11, 'Work Package Master List'!$C$13:$Y$13, 0))</f>
        <v>3</v>
      </c>
      <c r="AD70" s="103">
        <f>IFERROR(IF(OR(AF70="",AE70=""),"",AF70-AE70),"")</f>
        <v>46058</v>
      </c>
      <c r="AE70" s="127">
        <f>INDEX('Work Package Master List'!$C$12:$Y$1000, MATCH($E70, 'Work Package Master List'!$B$12:$B$1000, 0), MATCH(AD$11, 'Work Package Master List'!$C$13:$Y$13, 0))</f>
        <v>1</v>
      </c>
      <c r="AF70" s="103">
        <f>IFERROR(IF(OR(AH70="",AG70=""),"",AH70-AG70),"")</f>
        <v>46059</v>
      </c>
      <c r="AG70" s="127">
        <f>INDEX('Work Package Master List'!$C$12:$Y$1000, MATCH($E70, 'Work Package Master List'!$B$12:$B$1000, 0), MATCH(AF$11, 'Work Package Master List'!$C$13:$Y$13, 0))</f>
        <v>2</v>
      </c>
      <c r="AH70" s="103">
        <f>IFERROR(IF(OR(AJ70="",AI70=""),"",AJ70-AI70),"")</f>
        <v>46061</v>
      </c>
      <c r="AI70" s="127">
        <f>INDEX('Work Package Master List'!$C$12:$Y$1000, MATCH($E70, 'Work Package Master List'!$B$12:$B$1000, 0), MATCH(AH$11, 'Work Package Master List'!$C$13:$Y$13, 0))</f>
        <v>2</v>
      </c>
      <c r="AJ70" s="103">
        <f>IFERROR(IF(OR(AM70="",AK70=""),"",AM70-AK70),"")</f>
        <v>46063</v>
      </c>
      <c r="AK70" s="127">
        <f>INDEX('Work Package Master List'!$C$12:$Y$1000, MATCH($E70, 'Work Package Master List'!$B$12:$B$1000, 0), MATCH(AJ$11, 'Work Package Master List'!$C$13:$Y$13, 0))</f>
        <v>5</v>
      </c>
      <c r="AL70" s="179"/>
      <c r="AM70" s="103">
        <v>46068</v>
      </c>
      <c r="AN70" s="190">
        <f t="shared" ref="AN70" si="26">IF(MAX($H70,$AM71,$AJ71,$AH71,$AF71,$AD71,$AB71,$Z71,$X71,$V71,$T71,$R71,$P71,$N71,$L71,$J71) = 0,"",MAX($H70,$AM71,$AJ71,$AH71,$AF71,$AD71,$AB71,$Z71,$X71,$V71,$T71,$R71,$P71,$N71,$L71,$J71))</f>
        <v>46244</v>
      </c>
      <c r="AO70" s="179" t="str">
        <f>_xlfn.IFNA(INDEX($J$7:$AM$7,_xlfn.XMATCH(MAX($AM71,$AJ71,$AH71,$AF71,$AD71,$AB71,$Z71,$X71,$V71,$T71,$R71,$P71,$N71,$L71,$J71),$J71:$AM71,0,-1)),"Awaiting DTP")</f>
        <v>PTC Stage</v>
      </c>
      <c r="AP70" s="218" t="s">
        <v>1342</v>
      </c>
      <c r="AR70" s="16">
        <f t="shared" si="25"/>
        <v>39</v>
      </c>
      <c r="AU70" s="16" t="s">
        <v>1330</v>
      </c>
    </row>
    <row r="71" spans="2:47" x14ac:dyDescent="0.25">
      <c r="B71" s="180"/>
      <c r="C71" s="180"/>
      <c r="D71" s="187"/>
      <c r="E71" s="180"/>
      <c r="F71" s="180"/>
      <c r="G71" s="180"/>
      <c r="H71" s="189"/>
      <c r="I71" s="105" t="s">
        <v>168</v>
      </c>
      <c r="J71" s="111">
        <v>46048</v>
      </c>
      <c r="K71" s="105"/>
      <c r="L71" s="111">
        <v>46049</v>
      </c>
      <c r="M71" s="105"/>
      <c r="N71" s="111">
        <v>46049</v>
      </c>
      <c r="O71" s="105"/>
      <c r="P71" s="111">
        <v>46049</v>
      </c>
      <c r="Q71" s="105"/>
      <c r="R71" s="111">
        <v>46073</v>
      </c>
      <c r="S71" s="105"/>
      <c r="T71" s="111"/>
      <c r="U71" s="105"/>
      <c r="V71" s="111">
        <v>46078</v>
      </c>
      <c r="W71" s="105"/>
      <c r="X71" s="111">
        <v>46101</v>
      </c>
      <c r="Y71" s="105"/>
      <c r="Z71" s="111">
        <v>46244</v>
      </c>
      <c r="AA71" s="105"/>
      <c r="AB71" s="111"/>
      <c r="AC71" s="105"/>
      <c r="AD71" s="111"/>
      <c r="AE71" s="105"/>
      <c r="AF71" s="111"/>
      <c r="AG71" s="105"/>
      <c r="AH71" s="111"/>
      <c r="AI71" s="105"/>
      <c r="AJ71" s="111"/>
      <c r="AK71" s="105"/>
      <c r="AL71" s="180"/>
      <c r="AM71" s="111"/>
      <c r="AN71" s="191"/>
      <c r="AO71" s="180"/>
      <c r="AP71" s="206"/>
      <c r="AR71" s="16">
        <f t="shared" si="25"/>
        <v>0</v>
      </c>
    </row>
    <row r="72" spans="2:47" x14ac:dyDescent="0.25">
      <c r="B72" s="179">
        <v>40</v>
      </c>
      <c r="C72" s="179" t="s">
        <v>44</v>
      </c>
      <c r="D72" s="186" t="s">
        <v>221</v>
      </c>
      <c r="E72" s="179" t="s">
        <v>214</v>
      </c>
      <c r="F72" s="179" t="str">
        <f>_xlfn.XLOOKUP($B72,'Procurement Strategy'!$B$12:$B$1233,'Procurement Strategy'!$P$12:$P$1233,"-",0)</f>
        <v/>
      </c>
      <c r="G72" s="179" t="s">
        <v>176</v>
      </c>
      <c r="H72" s="188">
        <v>46022</v>
      </c>
      <c r="I72" s="126" t="s">
        <v>166</v>
      </c>
      <c r="J72" s="103">
        <f>IFERROR(IF(OR(L72="",K72=""),"",L72-K72),"")</f>
        <v>45998</v>
      </c>
      <c r="K72" s="127">
        <f>INDEX('Work Package Master List'!$C$12:$Y$1000, MATCH($E72, 'Work Package Master List'!$B$12:$B$1000, 0), MATCH(J$11, 'Work Package Master List'!$C$13:$Y$13, 0))</f>
        <v>2</v>
      </c>
      <c r="L72" s="103">
        <f>IFERROR(IF(OR(N72="",M72=""),"",N72-M72),"")</f>
        <v>46000</v>
      </c>
      <c r="M72" s="127">
        <f>INDEX('Work Package Master List'!$C$12:$Y$1000, MATCH($E72, 'Work Package Master List'!$B$12:$B$1000, 0), MATCH(L$11, 'Work Package Master List'!$C$13:$Y$13, 0))</f>
        <v>1</v>
      </c>
      <c r="N72" s="103">
        <f>IFERROR(IF(OR(P72="",O72=""),"",P72-O72),"")</f>
        <v>46001</v>
      </c>
      <c r="O72" s="127">
        <f>INDEX('Work Package Master List'!$C$12:$Y$1000, MATCH($E72, 'Work Package Master List'!$B$12:$B$1000, 0), MATCH(N$11, 'Work Package Master List'!$C$13:$Y$13, 0))</f>
        <v>0</v>
      </c>
      <c r="P72" s="103">
        <f>IFERROR(IF(OR(R72="",Q72=""),"",R72-Q72),"")</f>
        <v>46001</v>
      </c>
      <c r="Q72" s="127">
        <f>INDEX('Work Package Master List'!$C$12:$Y$1000, MATCH($E72, 'Work Package Master List'!$B$12:$B$1000, 0), MATCH(P$11, 'Work Package Master List'!$C$13:$Y$13, 0))</f>
        <v>5</v>
      </c>
      <c r="R72" s="103">
        <f>IFERROR(IF(OR(T72="",S72=""),"",T72-S72),"")</f>
        <v>46006</v>
      </c>
      <c r="S72" s="127">
        <f>INDEX('Work Package Master List'!$C$12:$Y$1000, MATCH($E72, 'Work Package Master List'!$B$12:$B$1000, 0), MATCH(R$11, 'Work Package Master List'!$C$13:$Y$13, 0))</f>
        <v>5</v>
      </c>
      <c r="T72" s="103">
        <f>IFERROR(IF(OR(V72="",U72=""),"",V72-U72),"")</f>
        <v>46011</v>
      </c>
      <c r="U72" s="127">
        <f>INDEX('Work Package Master List'!$C$12:$Y$1000, MATCH($E72, 'Work Package Master List'!$B$12:$B$1000, 0), MATCH(T$11, 'Work Package Master List'!$C$13:$Y$13, 0))</f>
        <v>1</v>
      </c>
      <c r="V72" s="103">
        <f>IFERROR(IF(OR(X72="",W72=""),"",X72-W72),"")</f>
        <v>46012</v>
      </c>
      <c r="W72" s="127">
        <f>INDEX('Work Package Master List'!$C$12:$Y$1000, MATCH($E72, 'Work Package Master List'!$B$12:$B$1000, 0), MATCH(V$11, 'Work Package Master List'!$C$13:$Y$13, 0))</f>
        <v>3</v>
      </c>
      <c r="X72" s="103">
        <f>IFERROR(IF(OR(Z72="",Y72=""),"",Z72-Y72),"")</f>
        <v>46015</v>
      </c>
      <c r="Y72" s="127">
        <f>INDEX('Work Package Master List'!$C$12:$Y$1000, MATCH($E72, 'Work Package Master List'!$B$12:$B$1000, 0), MATCH(X$11, 'Work Package Master List'!$C$13:$Y$13, 0))</f>
        <v>2</v>
      </c>
      <c r="Z72" s="103">
        <f>IFERROR(IF(OR(AB72="",AA72=""),"",AB72-AA72),"")</f>
        <v>46017</v>
      </c>
      <c r="AA72" s="127">
        <f>INDEX('Work Package Master List'!$C$12:$Y$1000, MATCH($E72, 'Work Package Master List'!$B$12:$B$1000, 0), MATCH(Z$11, 'Work Package Master List'!$C$13:$Y$13, 0))</f>
        <v>7</v>
      </c>
      <c r="AB72" s="103">
        <f>IFERROR(IF(OR(AD72="",AC72=""),"",AD72-AC72),"")</f>
        <v>46024</v>
      </c>
      <c r="AC72" s="127">
        <f>INDEX('Work Package Master List'!$C$12:$Y$1000, MATCH($E72, 'Work Package Master List'!$B$12:$B$1000, 0), MATCH(AB$11, 'Work Package Master List'!$C$13:$Y$13, 0))</f>
        <v>3</v>
      </c>
      <c r="AD72" s="103">
        <f>IFERROR(IF(OR(AF72="",AE72=""),"",AF72-AE72),"")</f>
        <v>46027</v>
      </c>
      <c r="AE72" s="127">
        <f>INDEX('Work Package Master List'!$C$12:$Y$1000, MATCH($E72, 'Work Package Master List'!$B$12:$B$1000, 0), MATCH(AD$11, 'Work Package Master List'!$C$13:$Y$13, 0))</f>
        <v>1</v>
      </c>
      <c r="AF72" s="103">
        <f>IFERROR(IF(OR(AH72="",AG72=""),"",AH72-AG72),"")</f>
        <v>46028</v>
      </c>
      <c r="AG72" s="127">
        <f>INDEX('Work Package Master List'!$C$12:$Y$1000, MATCH($E72, 'Work Package Master List'!$B$12:$B$1000, 0), MATCH(AF$11, 'Work Package Master List'!$C$13:$Y$13, 0))</f>
        <v>2</v>
      </c>
      <c r="AH72" s="103">
        <f>IFERROR(IF(OR(AJ72="",AI72=""),"",AJ72-AI72),"")</f>
        <v>46030</v>
      </c>
      <c r="AI72" s="127">
        <f>INDEX('Work Package Master List'!$C$12:$Y$1000, MATCH($E72, 'Work Package Master List'!$B$12:$B$1000, 0), MATCH(AH$11, 'Work Package Master List'!$C$13:$Y$13, 0))</f>
        <v>2</v>
      </c>
      <c r="AJ72" s="103">
        <f>IFERROR(IF(OR(AM72="",AK72=""),"",AM72-AK72),"")</f>
        <v>46032</v>
      </c>
      <c r="AK72" s="127">
        <f>INDEX('Work Package Master List'!$C$12:$Y$1000, MATCH($E72, 'Work Package Master List'!$B$12:$B$1000, 0), MATCH(AJ$11, 'Work Package Master List'!$C$13:$Y$13, 0))</f>
        <v>5</v>
      </c>
      <c r="AL72" s="179">
        <v>17975</v>
      </c>
      <c r="AM72" s="103">
        <v>46037</v>
      </c>
      <c r="AN72" s="190">
        <f t="shared" ref="AN72" si="27">IF(MAX($H72,$AM73,$AJ73,$AH73,$AF73,$AD73,$AB73,$Z73,$X73,$V73,$T73,$R73,$P73,$N73,$L73,$J73) = 0,"",MAX($H72,$AM73,$AJ73,$AH73,$AF73,$AD73,$AB73,$Z73,$X73,$V73,$T73,$R73,$P73,$N73,$L73,$J73))</f>
        <v>46288</v>
      </c>
      <c r="AO72" s="179" t="str">
        <f>_xlfn.IFNA(INDEX($J$7:$AM$7,_xlfn.XMATCH(MAX($AM73,$AJ73,$AH73,$AF73,$AD73,$AB73,$Z73,$X73,$V73,$T73,$R73,$P73,$N73,$L73,$J73),$J73:$AM73,0,-1)),"Awaiting DTP")</f>
        <v>OBT Ongoing</v>
      </c>
      <c r="AP72" s="203" t="s">
        <v>159</v>
      </c>
      <c r="AR72" s="16">
        <f t="shared" si="25"/>
        <v>39</v>
      </c>
      <c r="AU72" s="16" t="s">
        <v>159</v>
      </c>
    </row>
    <row r="73" spans="2:47" x14ac:dyDescent="0.25">
      <c r="B73" s="180"/>
      <c r="C73" s="180"/>
      <c r="D73" s="187"/>
      <c r="E73" s="180"/>
      <c r="F73" s="180"/>
      <c r="G73" s="180"/>
      <c r="H73" s="189"/>
      <c r="I73" s="105" t="s">
        <v>168</v>
      </c>
      <c r="J73" s="111">
        <v>46024</v>
      </c>
      <c r="K73" s="105"/>
      <c r="L73" s="111">
        <v>46027</v>
      </c>
      <c r="M73" s="105"/>
      <c r="N73" s="111">
        <v>46027</v>
      </c>
      <c r="O73" s="105"/>
      <c r="P73" s="111">
        <v>46027</v>
      </c>
      <c r="Q73" s="105"/>
      <c r="R73" s="111">
        <v>46032</v>
      </c>
      <c r="S73" s="105"/>
      <c r="T73" s="111">
        <v>45668</v>
      </c>
      <c r="U73" s="105"/>
      <c r="V73" s="111">
        <v>46044</v>
      </c>
      <c r="W73" s="105"/>
      <c r="X73" s="111">
        <v>46046</v>
      </c>
      <c r="Y73" s="105"/>
      <c r="Z73" s="111">
        <v>46238</v>
      </c>
      <c r="AA73" s="105"/>
      <c r="AB73" s="111">
        <v>46251</v>
      </c>
      <c r="AC73" s="105"/>
      <c r="AD73" s="111"/>
      <c r="AE73" s="105"/>
      <c r="AF73" s="111"/>
      <c r="AG73" s="105"/>
      <c r="AH73" s="111">
        <v>46267</v>
      </c>
      <c r="AI73" s="105"/>
      <c r="AJ73" s="111">
        <v>46288</v>
      </c>
      <c r="AK73" s="105"/>
      <c r="AL73" s="180"/>
      <c r="AM73" s="111"/>
      <c r="AN73" s="191"/>
      <c r="AO73" s="180"/>
      <c r="AP73" s="204"/>
      <c r="AR73" s="16">
        <f t="shared" si="25"/>
        <v>0</v>
      </c>
    </row>
    <row r="74" spans="2:47" x14ac:dyDescent="0.25">
      <c r="B74" s="179">
        <v>41</v>
      </c>
      <c r="C74" s="179" t="s">
        <v>44</v>
      </c>
      <c r="D74" s="186" t="s">
        <v>77</v>
      </c>
      <c r="E74" s="179" t="s">
        <v>222</v>
      </c>
      <c r="F74" s="179" t="str">
        <f>_xlfn.XLOOKUP($B74,'Procurement Strategy'!$B$12:$B$1224,'Procurement Strategy'!$P$12:$P$1224,"-",0)</f>
        <v/>
      </c>
      <c r="G74" s="179" t="s">
        <v>176</v>
      </c>
      <c r="H74" s="188">
        <v>46022</v>
      </c>
      <c r="I74" s="126" t="s">
        <v>166</v>
      </c>
      <c r="J74" s="103">
        <f>IFERROR(IF(OR(L74="",K74=""),"",L74-K74),"")</f>
        <v>46013</v>
      </c>
      <c r="K74" s="127">
        <f>INDEX('Work Package Master List'!$C$12:$Y$1000, MATCH($E74, 'Work Package Master List'!$B$12:$B$1000, 0), MATCH(J$11, 'Work Package Master List'!$C$13:$Y$13, 0))</f>
        <v>2</v>
      </c>
      <c r="L74" s="103">
        <f>IFERROR(IF(OR(N74="",M74=""),"",N74-M74),"")</f>
        <v>46015</v>
      </c>
      <c r="M74" s="127">
        <f>INDEX('Work Package Master List'!$C$12:$Y$1000, MATCH($E74, 'Work Package Master List'!$B$12:$B$1000, 0), MATCH(L$11, 'Work Package Master List'!$C$13:$Y$13, 0))</f>
        <v>1</v>
      </c>
      <c r="N74" s="103">
        <f>IFERROR(IF(OR(P74="",O74=""),"",P74-O74),"")</f>
        <v>46016</v>
      </c>
      <c r="O74" s="127">
        <f>INDEX('Work Package Master List'!$C$12:$Y$1000, MATCH($E74, 'Work Package Master List'!$B$12:$B$1000, 0), MATCH(N$11, 'Work Package Master List'!$C$13:$Y$13, 0))</f>
        <v>0</v>
      </c>
      <c r="P74" s="103">
        <f>IFERROR(IF(OR(R74="",Q74=""),"",R74-Q74),"")</f>
        <v>46016</v>
      </c>
      <c r="Q74" s="127">
        <f>INDEX('Work Package Master List'!$C$12:$Y$1000, MATCH($E74, 'Work Package Master List'!$B$12:$B$1000, 0), MATCH(P$11, 'Work Package Master List'!$C$13:$Y$13, 0))</f>
        <v>5</v>
      </c>
      <c r="R74" s="103">
        <f>IFERROR(IF(OR(T74="",S74=""),"",T74-S74),"")</f>
        <v>46021</v>
      </c>
      <c r="S74" s="127">
        <f>INDEX('Work Package Master List'!$C$12:$Y$1000, MATCH($E74, 'Work Package Master List'!$B$12:$B$1000, 0), MATCH(R$11, 'Work Package Master List'!$C$13:$Y$13, 0))</f>
        <v>5</v>
      </c>
      <c r="T74" s="103">
        <f>IFERROR(IF(OR(V74="",U74=""),"",V74-U74),"")</f>
        <v>46026</v>
      </c>
      <c r="U74" s="127">
        <f>INDEX('Work Package Master List'!$C$12:$Y$1000, MATCH($E74, 'Work Package Master List'!$B$12:$B$1000, 0), MATCH(T$11, 'Work Package Master List'!$C$13:$Y$13, 0))</f>
        <v>1</v>
      </c>
      <c r="V74" s="103">
        <f>IFERROR(IF(OR(X74="",W74=""),"",X74-W74),"")</f>
        <v>46027</v>
      </c>
      <c r="W74" s="127">
        <f>INDEX('Work Package Master List'!$C$12:$Y$1000, MATCH($E74, 'Work Package Master List'!$B$12:$B$1000, 0), MATCH(V$11, 'Work Package Master List'!$C$13:$Y$13, 0))</f>
        <v>3</v>
      </c>
      <c r="X74" s="103">
        <f>IFERROR(IF(OR(Z74="",Y74=""),"",Z74-Y74),"")</f>
        <v>46030</v>
      </c>
      <c r="Y74" s="127">
        <f>INDEX('Work Package Master List'!$C$12:$Y$1000, MATCH($E74, 'Work Package Master List'!$B$12:$B$1000, 0), MATCH(X$11, 'Work Package Master List'!$C$13:$Y$13, 0))</f>
        <v>2</v>
      </c>
      <c r="Z74" s="103">
        <f>IFERROR(IF(OR(AB74="",AA74=""),"",AB74-AA74),"")</f>
        <v>46032</v>
      </c>
      <c r="AA74" s="127">
        <f>INDEX('Work Package Master List'!$C$12:$Y$1000, MATCH($E74, 'Work Package Master List'!$B$12:$B$1000, 0), MATCH(Z$11, 'Work Package Master List'!$C$13:$Y$13, 0))</f>
        <v>7</v>
      </c>
      <c r="AB74" s="103">
        <f>IFERROR(IF(OR(AD74="",AC74=""),"",AD74-AC74),"")</f>
        <v>46039</v>
      </c>
      <c r="AC74" s="127">
        <f>INDEX('Work Package Master List'!$C$12:$Y$1000, MATCH($E74, 'Work Package Master List'!$B$12:$B$1000, 0), MATCH(AB$11, 'Work Package Master List'!$C$13:$Y$13, 0))</f>
        <v>3</v>
      </c>
      <c r="AD74" s="103">
        <f>IFERROR(IF(OR(AF74="",AE74=""),"",AF74-AE74),"")</f>
        <v>46042</v>
      </c>
      <c r="AE74" s="127">
        <f>INDEX('Work Package Master List'!$C$12:$Y$1000, MATCH($E74, 'Work Package Master List'!$B$12:$B$1000, 0), MATCH(AD$11, 'Work Package Master List'!$C$13:$Y$13, 0))</f>
        <v>1</v>
      </c>
      <c r="AF74" s="103">
        <f>IFERROR(IF(OR(AH74="",AG74=""),"",AH74-AG74),"")</f>
        <v>46043</v>
      </c>
      <c r="AG74" s="127">
        <f>INDEX('Work Package Master List'!$C$12:$Y$1000, MATCH($E74, 'Work Package Master List'!$B$12:$B$1000, 0), MATCH(AF$11, 'Work Package Master List'!$C$13:$Y$13, 0))</f>
        <v>2</v>
      </c>
      <c r="AH74" s="103">
        <f>IFERROR(IF(OR(AJ74="",AI74=""),"",AJ74-AI74),"")</f>
        <v>46045</v>
      </c>
      <c r="AI74" s="127">
        <f>INDEX('Work Package Master List'!$C$12:$Y$1000, MATCH($E74, 'Work Package Master List'!$B$12:$B$1000, 0), MATCH(AH$11, 'Work Package Master List'!$C$13:$Y$13, 0))</f>
        <v>2</v>
      </c>
      <c r="AJ74" s="103">
        <f>IFERROR(IF(OR(AM74="",AK74=""),"",AM74-AK74),"")</f>
        <v>46047</v>
      </c>
      <c r="AK74" s="127">
        <f>INDEX('Work Package Master List'!$C$12:$Y$1000, MATCH($E74, 'Work Package Master List'!$B$12:$B$1000, 0), MATCH(AJ$11, 'Work Package Master List'!$C$13:$Y$13, 0))</f>
        <v>5</v>
      </c>
      <c r="AL74" s="179">
        <v>16762</v>
      </c>
      <c r="AM74" s="103">
        <v>46052</v>
      </c>
      <c r="AN74" s="190">
        <f t="shared" ref="AN74" si="28">IF(MAX($H74,$AM75,$AJ75,$AH75,$AF75,$AD75,$AB75,$Z75,$X75,$V75,$T75,$R75,$P75,$N75,$L75,$J75) = 0,"",MAX($H74,$AM75,$AJ75,$AH75,$AF75,$AD75,$AB75,$Z75,$X75,$V75,$T75,$R75,$P75,$N75,$L75,$J75))</f>
        <v>46232</v>
      </c>
      <c r="AO74" s="179" t="str">
        <f>_xlfn.IFNA(INDEX($J$7:$AM$7,_xlfn.XMATCH(MAX($AM75,$AJ75,$AH75,$AF75,$AD75,$AB75,$Z75,$X75,$V75,$T75,$R75,$P75,$N75,$L75,$J75),$J75:$AM75,0,-1)),"Awaiting DTP")</f>
        <v>Awarded</v>
      </c>
      <c r="AP74" s="203" t="s">
        <v>1343</v>
      </c>
      <c r="AR74" s="16">
        <f t="shared" si="25"/>
        <v>39</v>
      </c>
      <c r="AU74" s="16" t="s">
        <v>1317</v>
      </c>
    </row>
    <row r="75" spans="2:47" x14ac:dyDescent="0.25">
      <c r="B75" s="180"/>
      <c r="C75" s="180"/>
      <c r="D75" s="187"/>
      <c r="E75" s="180"/>
      <c r="F75" s="180"/>
      <c r="G75" s="180"/>
      <c r="H75" s="189"/>
      <c r="I75" s="105" t="s">
        <v>168</v>
      </c>
      <c r="J75" s="111">
        <v>46030</v>
      </c>
      <c r="K75" s="105"/>
      <c r="L75" s="111">
        <v>46034</v>
      </c>
      <c r="M75" s="105"/>
      <c r="N75" s="111">
        <v>46036</v>
      </c>
      <c r="O75" s="105"/>
      <c r="P75" s="111">
        <v>46036</v>
      </c>
      <c r="Q75" s="105"/>
      <c r="R75" s="111"/>
      <c r="S75" s="105"/>
      <c r="T75" s="111"/>
      <c r="U75" s="105"/>
      <c r="V75" s="111">
        <v>46073</v>
      </c>
      <c r="W75" s="105"/>
      <c r="X75" s="111">
        <v>46106</v>
      </c>
      <c r="Y75" s="105"/>
      <c r="Z75" s="111"/>
      <c r="AA75" s="105"/>
      <c r="AB75" s="111">
        <v>46162</v>
      </c>
      <c r="AC75" s="105"/>
      <c r="AD75" s="111">
        <v>46178</v>
      </c>
      <c r="AE75" s="105"/>
      <c r="AF75" s="111">
        <v>46181</v>
      </c>
      <c r="AG75" s="105"/>
      <c r="AH75" s="111">
        <v>46182</v>
      </c>
      <c r="AI75" s="105"/>
      <c r="AJ75" s="111">
        <v>46217</v>
      </c>
      <c r="AK75" s="105"/>
      <c r="AL75" s="180"/>
      <c r="AM75" s="111">
        <v>46232</v>
      </c>
      <c r="AN75" s="191"/>
      <c r="AO75" s="180"/>
      <c r="AP75" s="204"/>
      <c r="AR75" s="16">
        <f t="shared" si="25"/>
        <v>0</v>
      </c>
    </row>
    <row r="76" spans="2:47" x14ac:dyDescent="0.25">
      <c r="B76" s="179">
        <v>42</v>
      </c>
      <c r="C76" s="179" t="s">
        <v>44</v>
      </c>
      <c r="D76" s="186" t="s">
        <v>78</v>
      </c>
      <c r="E76" s="179" t="s">
        <v>222</v>
      </c>
      <c r="F76" s="179" t="str">
        <f>_xlfn.XLOOKUP($B76,'Procurement Strategy'!$B$12:$B$1215,'Procurement Strategy'!$P$12:$P$1215,"-",0)</f>
        <v/>
      </c>
      <c r="G76" s="179" t="s">
        <v>176</v>
      </c>
      <c r="H76" s="188">
        <v>46022</v>
      </c>
      <c r="I76" s="126" t="s">
        <v>166</v>
      </c>
      <c r="J76" s="103">
        <f>IFERROR(IF(OR(L76="",K76=""),"",L76-K76),"")</f>
        <v>46013</v>
      </c>
      <c r="K76" s="127">
        <f>INDEX('Work Package Master List'!$C$12:$Y$1000, MATCH($E76, 'Work Package Master List'!$B$12:$B$1000, 0), MATCH(J$11, 'Work Package Master List'!$C$13:$Y$13, 0))</f>
        <v>2</v>
      </c>
      <c r="L76" s="103">
        <f>IFERROR(IF(OR(N76="",M76=""),"",N76-M76),"")</f>
        <v>46015</v>
      </c>
      <c r="M76" s="127">
        <f>INDEX('Work Package Master List'!$C$12:$Y$1000, MATCH($E76, 'Work Package Master List'!$B$12:$B$1000, 0), MATCH(L$11, 'Work Package Master List'!$C$13:$Y$13, 0))</f>
        <v>1</v>
      </c>
      <c r="N76" s="103">
        <f>IFERROR(IF(OR(P76="",O76=""),"",P76-O76),"")</f>
        <v>46016</v>
      </c>
      <c r="O76" s="127">
        <f>INDEX('Work Package Master List'!$C$12:$Y$1000, MATCH($E76, 'Work Package Master List'!$B$12:$B$1000, 0), MATCH(N$11, 'Work Package Master List'!$C$13:$Y$13, 0))</f>
        <v>0</v>
      </c>
      <c r="P76" s="103">
        <f>IFERROR(IF(OR(R76="",Q76=""),"",R76-Q76),"")</f>
        <v>46016</v>
      </c>
      <c r="Q76" s="127">
        <f>INDEX('Work Package Master List'!$C$12:$Y$1000, MATCH($E76, 'Work Package Master List'!$B$12:$B$1000, 0), MATCH(P$11, 'Work Package Master List'!$C$13:$Y$13, 0))</f>
        <v>5</v>
      </c>
      <c r="R76" s="103">
        <f>IFERROR(IF(OR(T76="",S76=""),"",T76-S76),"")</f>
        <v>46021</v>
      </c>
      <c r="S76" s="127">
        <f>INDEX('Work Package Master List'!$C$12:$Y$1000, MATCH($E76, 'Work Package Master List'!$B$12:$B$1000, 0), MATCH(R$11, 'Work Package Master List'!$C$13:$Y$13, 0))</f>
        <v>5</v>
      </c>
      <c r="T76" s="103">
        <f>IFERROR(IF(OR(V76="",U76=""),"",V76-U76),"")</f>
        <v>46026</v>
      </c>
      <c r="U76" s="127">
        <f>INDEX('Work Package Master List'!$C$12:$Y$1000, MATCH($E76, 'Work Package Master List'!$B$12:$B$1000, 0), MATCH(T$11, 'Work Package Master List'!$C$13:$Y$13, 0))</f>
        <v>1</v>
      </c>
      <c r="V76" s="103">
        <f>IFERROR(IF(OR(X76="",W76=""),"",X76-W76),"")</f>
        <v>46027</v>
      </c>
      <c r="W76" s="127">
        <f>INDEX('Work Package Master List'!$C$12:$Y$1000, MATCH($E76, 'Work Package Master List'!$B$12:$B$1000, 0), MATCH(V$11, 'Work Package Master List'!$C$13:$Y$13, 0))</f>
        <v>3</v>
      </c>
      <c r="X76" s="103">
        <f>IFERROR(IF(OR(Z76="",Y76=""),"",Z76-Y76),"")</f>
        <v>46030</v>
      </c>
      <c r="Y76" s="127">
        <f>INDEX('Work Package Master List'!$C$12:$Y$1000, MATCH($E76, 'Work Package Master List'!$B$12:$B$1000, 0), MATCH(X$11, 'Work Package Master List'!$C$13:$Y$13, 0))</f>
        <v>2</v>
      </c>
      <c r="Z76" s="103">
        <f>IFERROR(IF(OR(AB76="",AA76=""),"",AB76-AA76),"")</f>
        <v>46032</v>
      </c>
      <c r="AA76" s="127">
        <f>INDEX('Work Package Master List'!$C$12:$Y$1000, MATCH($E76, 'Work Package Master List'!$B$12:$B$1000, 0), MATCH(Z$11, 'Work Package Master List'!$C$13:$Y$13, 0))</f>
        <v>7</v>
      </c>
      <c r="AB76" s="103">
        <f>IFERROR(IF(OR(AD76="",AC76=""),"",AD76-AC76),"")</f>
        <v>46039</v>
      </c>
      <c r="AC76" s="127">
        <f>INDEX('Work Package Master List'!$C$12:$Y$1000, MATCH($E76, 'Work Package Master List'!$B$12:$B$1000, 0), MATCH(AB$11, 'Work Package Master List'!$C$13:$Y$13, 0))</f>
        <v>3</v>
      </c>
      <c r="AD76" s="103">
        <f>IFERROR(IF(OR(AF76="",AE76=""),"",AF76-AE76),"")</f>
        <v>46042</v>
      </c>
      <c r="AE76" s="127">
        <f>INDEX('Work Package Master List'!$C$12:$Y$1000, MATCH($E76, 'Work Package Master List'!$B$12:$B$1000, 0), MATCH(AD$11, 'Work Package Master List'!$C$13:$Y$13, 0))</f>
        <v>1</v>
      </c>
      <c r="AF76" s="103">
        <f>IFERROR(IF(OR(AH76="",AG76=""),"",AH76-AG76),"")</f>
        <v>46043</v>
      </c>
      <c r="AG76" s="127">
        <f>INDEX('Work Package Master List'!$C$12:$Y$1000, MATCH($E76, 'Work Package Master List'!$B$12:$B$1000, 0), MATCH(AF$11, 'Work Package Master List'!$C$13:$Y$13, 0))</f>
        <v>2</v>
      </c>
      <c r="AH76" s="103">
        <f>IFERROR(IF(OR(AJ76="",AI76=""),"",AJ76-AI76),"")</f>
        <v>46045</v>
      </c>
      <c r="AI76" s="127">
        <f>INDEX('Work Package Master List'!$C$12:$Y$1000, MATCH($E76, 'Work Package Master List'!$B$12:$B$1000, 0), MATCH(AH$11, 'Work Package Master List'!$C$13:$Y$13, 0))</f>
        <v>2</v>
      </c>
      <c r="AJ76" s="103">
        <f>IFERROR(IF(OR(AM76="",AK76=""),"",AM76-AK76),"")</f>
        <v>46047</v>
      </c>
      <c r="AK76" s="127">
        <f>INDEX('Work Package Master List'!$C$12:$Y$1000, MATCH($E76, 'Work Package Master List'!$B$12:$B$1000, 0), MATCH(AJ$11, 'Work Package Master List'!$C$13:$Y$13, 0))</f>
        <v>5</v>
      </c>
      <c r="AL76" s="179"/>
      <c r="AM76" s="103">
        <v>46052</v>
      </c>
      <c r="AN76" s="190">
        <f t="shared" ref="AN76" si="29">IF(MAX($H76,$AM77,$AJ77,$AH77,$AF77,$AD77,$AB77,$Z77,$X77,$V77,$T77,$R77,$P77,$N77,$L77,$J77) = 0,"",MAX($H76,$AM77,$AJ77,$AH77,$AF77,$AD77,$AB77,$Z77,$X77,$V77,$T77,$R77,$P77,$N77,$L77,$J77))</f>
        <v>46237</v>
      </c>
      <c r="AO76" s="179" t="str">
        <f>_xlfn.IFNA(INDEX($J$7:$AM$7,_xlfn.XMATCH(MAX($AM77,$AJ77,$AH77,$AF77,$AD77,$AB77,$Z77,$X77,$V77,$T77,$R77,$P77,$N77,$L77,$J77),$J77:$AM77,0,-1)),"Awaiting DTP")</f>
        <v>Final Negotiations</v>
      </c>
      <c r="AP76" s="216" t="s">
        <v>1331</v>
      </c>
      <c r="AR76" s="16">
        <f t="shared" si="25"/>
        <v>39</v>
      </c>
      <c r="AU76" s="16" t="s">
        <v>1339</v>
      </c>
    </row>
    <row r="77" spans="2:47" ht="16.899999999999999" customHeight="1" x14ac:dyDescent="0.25">
      <c r="B77" s="180"/>
      <c r="C77" s="180"/>
      <c r="D77" s="187"/>
      <c r="E77" s="180"/>
      <c r="F77" s="180"/>
      <c r="G77" s="180"/>
      <c r="H77" s="189"/>
      <c r="I77" s="105" t="s">
        <v>168</v>
      </c>
      <c r="J77" s="111">
        <v>46030</v>
      </c>
      <c r="K77" s="105"/>
      <c r="L77" s="111">
        <v>46034</v>
      </c>
      <c r="M77" s="105"/>
      <c r="N77" s="111">
        <v>46036</v>
      </c>
      <c r="O77" s="105"/>
      <c r="P77" s="111">
        <v>46036</v>
      </c>
      <c r="Q77" s="105"/>
      <c r="R77" s="111"/>
      <c r="S77" s="105"/>
      <c r="T77" s="111"/>
      <c r="U77" s="105"/>
      <c r="V77" s="111">
        <v>46073</v>
      </c>
      <c r="W77" s="105"/>
      <c r="X77" s="111">
        <v>46106</v>
      </c>
      <c r="Y77" s="105"/>
      <c r="Z77" s="111">
        <v>46127</v>
      </c>
      <c r="AA77" s="105"/>
      <c r="AB77" s="111">
        <v>46162</v>
      </c>
      <c r="AC77" s="105"/>
      <c r="AD77" s="111">
        <v>46178</v>
      </c>
      <c r="AE77" s="105"/>
      <c r="AF77" s="111">
        <v>46181</v>
      </c>
      <c r="AG77" s="105"/>
      <c r="AH77" s="111">
        <v>46237</v>
      </c>
      <c r="AI77" s="105"/>
      <c r="AJ77" s="111"/>
      <c r="AK77" s="105"/>
      <c r="AL77" s="180"/>
      <c r="AM77" s="111"/>
      <c r="AN77" s="191"/>
      <c r="AO77" s="180"/>
      <c r="AP77" s="217"/>
      <c r="AR77" s="16">
        <f t="shared" si="25"/>
        <v>0</v>
      </c>
    </row>
    <row r="78" spans="2:47" ht="15" customHeight="1" x14ac:dyDescent="0.25">
      <c r="B78" s="180">
        <v>43</v>
      </c>
      <c r="C78" s="180" t="s">
        <v>44</v>
      </c>
      <c r="D78" s="187" t="s">
        <v>79</v>
      </c>
      <c r="E78" s="180" t="s">
        <v>223</v>
      </c>
      <c r="F78" s="180" t="str">
        <f>_xlfn.XLOOKUP($B78,'Procurement Strategy'!$B$12:$B$1205,'Procurement Strategy'!$P$12:$P$1205,"-",0)</f>
        <v/>
      </c>
      <c r="G78" s="180" t="s">
        <v>210</v>
      </c>
      <c r="H78" s="189">
        <v>46022</v>
      </c>
      <c r="I78" s="125" t="s">
        <v>166</v>
      </c>
      <c r="J78" s="115">
        <f>IFERROR(IF(OR(L78="",K78=""),"",L78-K78),"")</f>
        <v>46015</v>
      </c>
      <c r="K78" s="128">
        <f>INDEX('Work Package Master List'!$C$12:$Y$1000, MATCH($E78, 'Work Package Master List'!$B$12:$B$1000, 0), MATCH(J$11, 'Work Package Master List'!$C$13:$Y$13, 0))</f>
        <v>2</v>
      </c>
      <c r="L78" s="115">
        <f>IFERROR(IF(OR(N78="",M78=""),"",N78-M78),"")</f>
        <v>46017</v>
      </c>
      <c r="M78" s="128">
        <f>INDEX('Work Package Master List'!$C$12:$Y$1000, MATCH($E78, 'Work Package Master List'!$B$12:$B$1000, 0), MATCH(L$11, 'Work Package Master List'!$C$13:$Y$13, 0))</f>
        <v>1</v>
      </c>
      <c r="N78" s="115">
        <f>IFERROR(IF(OR(P78="",O78=""),"",P78-O78),"")</f>
        <v>46018</v>
      </c>
      <c r="O78" s="128">
        <f>INDEX('Work Package Master List'!$C$12:$Y$1000, MATCH($E78, 'Work Package Master List'!$B$12:$B$1000, 0), MATCH(N$11, 'Work Package Master List'!$C$13:$Y$13, 0))</f>
        <v>0</v>
      </c>
      <c r="P78" s="115">
        <f>IFERROR(IF(OR(R78="",Q78=""),"",R78-Q78),"")</f>
        <v>46018</v>
      </c>
      <c r="Q78" s="128">
        <f>INDEX('Work Package Master List'!$C$12:$Y$1000, MATCH($E78, 'Work Package Master List'!$B$12:$B$1000, 0), MATCH(P$11, 'Work Package Master List'!$C$13:$Y$13, 0))</f>
        <v>7</v>
      </c>
      <c r="R78" s="115">
        <f>IFERROR(IF(OR(T78="",S78=""),"",T78-S78),"")</f>
        <v>46025</v>
      </c>
      <c r="S78" s="128">
        <f>INDEX('Work Package Master List'!$C$12:$Y$1000, MATCH($E78, 'Work Package Master List'!$B$12:$B$1000, 0), MATCH(R$11, 'Work Package Master List'!$C$13:$Y$13, 0))</f>
        <v>5</v>
      </c>
      <c r="T78" s="115">
        <f>IFERROR(IF(OR(V78="",U78=""),"",V78-U78),"")</f>
        <v>46030</v>
      </c>
      <c r="U78" s="128">
        <f>INDEX('Work Package Master List'!$C$12:$Y$1000, MATCH($E78, 'Work Package Master List'!$B$12:$B$1000, 0), MATCH(T$11, 'Work Package Master List'!$C$13:$Y$13, 0))</f>
        <v>1</v>
      </c>
      <c r="V78" s="115">
        <f>IFERROR(IF(OR(X78="",W78=""),"",X78-W78),"")</f>
        <v>46031</v>
      </c>
      <c r="W78" s="128">
        <f>INDEX('Work Package Master List'!$C$12:$Y$1000, MATCH($E78, 'Work Package Master List'!$B$12:$B$1000, 0), MATCH(V$11, 'Work Package Master List'!$C$13:$Y$13, 0))</f>
        <v>3</v>
      </c>
      <c r="X78" s="115">
        <f>IFERROR(IF(OR(Z78="",Y78=""),"",Z78-Y78),"")</f>
        <v>46034</v>
      </c>
      <c r="Y78" s="128">
        <f>INDEX('Work Package Master List'!$C$12:$Y$1000, MATCH($E78, 'Work Package Master List'!$B$12:$B$1000, 0), MATCH(X$11, 'Work Package Master List'!$C$13:$Y$13, 0))</f>
        <v>2</v>
      </c>
      <c r="Z78" s="115">
        <f>IFERROR(IF(OR(AB78="",AA78=""),"",AB78-AA78),"")</f>
        <v>46036</v>
      </c>
      <c r="AA78" s="128">
        <f>INDEX('Work Package Master List'!$C$12:$Y$1000, MATCH($E78, 'Work Package Master List'!$B$12:$B$1000, 0), MATCH(Z$11, 'Work Package Master List'!$C$13:$Y$13, 0))</f>
        <v>3</v>
      </c>
      <c r="AB78" s="115">
        <f>IFERROR(IF(OR(AD78="",AC78=""),"",AD78-AC78),"")</f>
        <v>46039</v>
      </c>
      <c r="AC78" s="128">
        <f>INDEX('Work Package Master List'!$C$12:$Y$1000, MATCH($E78, 'Work Package Master List'!$B$12:$B$1000, 0), MATCH(AB$11, 'Work Package Master List'!$C$13:$Y$13, 0))</f>
        <v>3</v>
      </c>
      <c r="AD78" s="115">
        <f>IFERROR(IF(OR(AF78="",AE78=""),"",AF78-AE78),"")</f>
        <v>46042</v>
      </c>
      <c r="AE78" s="128">
        <f>INDEX('Work Package Master List'!$C$12:$Y$1000, MATCH($E78, 'Work Package Master List'!$B$12:$B$1000, 0), MATCH(AD$11, 'Work Package Master List'!$C$13:$Y$13, 0))</f>
        <v>1</v>
      </c>
      <c r="AF78" s="115">
        <f>IFERROR(IF(OR(AH78="",AG78=""),"",AH78-AG78),"")</f>
        <v>46043</v>
      </c>
      <c r="AG78" s="128">
        <f>INDEX('Work Package Master List'!$C$12:$Y$1000, MATCH($E78, 'Work Package Master List'!$B$12:$B$1000, 0), MATCH(AF$11, 'Work Package Master List'!$C$13:$Y$13, 0))</f>
        <v>2</v>
      </c>
      <c r="AH78" s="115">
        <f>IFERROR(IF(OR(AJ78="",AI78=""),"",AJ78-AI78),"")</f>
        <v>46045</v>
      </c>
      <c r="AI78" s="128">
        <f>INDEX('Work Package Master List'!$C$12:$Y$1000, MATCH($E78, 'Work Package Master List'!$B$12:$B$1000, 0), MATCH(AH$11, 'Work Package Master List'!$C$13:$Y$13, 0))</f>
        <v>2</v>
      </c>
      <c r="AJ78" s="115">
        <f>IFERROR(IF(OR(AM78="",AK78=""),"",AM78-AK78),"")</f>
        <v>46047</v>
      </c>
      <c r="AK78" s="128">
        <f>INDEX('Work Package Master List'!$C$12:$Y$1000, MATCH($E78, 'Work Package Master List'!$B$12:$B$1000, 0), MATCH(AJ$11, 'Work Package Master List'!$C$13:$Y$13, 0))</f>
        <v>5</v>
      </c>
      <c r="AL78" s="180"/>
      <c r="AM78" s="115">
        <v>46052</v>
      </c>
      <c r="AN78" s="191">
        <f t="shared" ref="AN78" si="30">IF(MAX($H78,$AM79,$AJ79,$AH79,$AF79,$AD79,$AB79,$Z79,$X79,$V79,$T79,$R79,$P79,$N79,$L79,$J79) = 0,"",MAX($H78,$AM79,$AJ79,$AH79,$AF79,$AD79,$AB79,$Z79,$X79,$V79,$T79,$R79,$P79,$N79,$L79,$J79))</f>
        <v>46289</v>
      </c>
      <c r="AO78" s="180" t="str">
        <f>_xlfn.IFNA(INDEX($J$7:$AM$7,_xlfn.XMATCH(MAX($AM79,$AJ79,$AH79,$AF79,$AD79,$AB79,$Z79,$X79,$V79,$T79,$R79,$P79,$N79,$L79,$J79),$J79:$AM79,0,-1)),"Awaiting DTP")</f>
        <v>Final Negotiations</v>
      </c>
      <c r="AP78" s="205" t="s">
        <v>1332</v>
      </c>
      <c r="AR78" s="16">
        <f t="shared" si="25"/>
        <v>37</v>
      </c>
      <c r="AU78" s="16" t="s">
        <v>1332</v>
      </c>
    </row>
    <row r="79" spans="2:47" ht="15" customHeight="1" x14ac:dyDescent="0.25">
      <c r="B79" s="179"/>
      <c r="C79" s="179"/>
      <c r="D79" s="186"/>
      <c r="E79" s="179"/>
      <c r="F79" s="179"/>
      <c r="G79" s="179"/>
      <c r="H79" s="188"/>
      <c r="I79" s="91" t="s">
        <v>168</v>
      </c>
      <c r="J79" s="106">
        <v>46132</v>
      </c>
      <c r="K79" s="91"/>
      <c r="L79" s="106">
        <v>46134</v>
      </c>
      <c r="M79" s="91"/>
      <c r="N79" s="106">
        <v>46134</v>
      </c>
      <c r="O79" s="91"/>
      <c r="P79" s="106">
        <v>46134</v>
      </c>
      <c r="Q79" s="91"/>
      <c r="R79" s="106"/>
      <c r="S79" s="91"/>
      <c r="T79" s="106"/>
      <c r="U79" s="91"/>
      <c r="V79" s="176">
        <v>46231</v>
      </c>
      <c r="W79" s="175"/>
      <c r="X79" s="176">
        <v>46231</v>
      </c>
      <c r="Y79" s="175"/>
      <c r="Z79" s="176">
        <v>46162</v>
      </c>
      <c r="AA79" s="175"/>
      <c r="AB79" s="176">
        <v>46286</v>
      </c>
      <c r="AC79" s="175"/>
      <c r="AD79" s="176">
        <v>46286</v>
      </c>
      <c r="AE79" s="175"/>
      <c r="AF79" s="176">
        <v>46286</v>
      </c>
      <c r="AG79" s="175"/>
      <c r="AH79" s="176">
        <v>46289</v>
      </c>
      <c r="AI79" s="91"/>
      <c r="AJ79" s="106"/>
      <c r="AK79" s="91"/>
      <c r="AL79" s="179"/>
      <c r="AM79" s="106"/>
      <c r="AN79" s="190"/>
      <c r="AO79" s="179"/>
      <c r="AP79" s="206"/>
      <c r="AR79" s="16">
        <f t="shared" si="25"/>
        <v>0</v>
      </c>
    </row>
    <row r="80" spans="2:47" x14ac:dyDescent="0.25">
      <c r="B80" s="210">
        <v>45</v>
      </c>
      <c r="C80" s="210" t="s">
        <v>44</v>
      </c>
      <c r="D80" s="213" t="s">
        <v>80</v>
      </c>
      <c r="E80" s="210" t="s">
        <v>225</v>
      </c>
      <c r="F80" s="210" t="str">
        <f>_xlfn.XLOOKUP($B80,'Procurement Strategy'!$B$12:$B$1178,'Procurement Strategy'!$P$12:$P$1178,"-",0)</f>
        <v/>
      </c>
      <c r="G80" s="210" t="s">
        <v>210</v>
      </c>
      <c r="H80" s="211">
        <v>46022</v>
      </c>
      <c r="I80" s="131" t="s">
        <v>166</v>
      </c>
      <c r="J80" s="120">
        <f>IFERROR(IF(OR(L80="",K80=""),"",L80-K80),"")</f>
        <v>46057</v>
      </c>
      <c r="K80" s="132">
        <f>INDEX('Work Package Master List'!$C$12:$Y$1000, MATCH($E80, 'Work Package Master List'!$B$12:$B$1000, 0), MATCH(J$11, 'Work Package Master List'!$C$13:$Y$13, 0))</f>
        <v>2</v>
      </c>
      <c r="L80" s="120">
        <f>IFERROR(IF(OR(N80="",M80=""),"",N80-M80),"")</f>
        <v>46059</v>
      </c>
      <c r="M80" s="132">
        <f>INDEX('Work Package Master List'!$C$12:$Y$1000, MATCH($E80, 'Work Package Master List'!$B$12:$B$1000, 0), MATCH(L$11, 'Work Package Master List'!$C$13:$Y$13, 0))</f>
        <v>1</v>
      </c>
      <c r="N80" s="120">
        <f>IFERROR(IF(OR(P80="",O80=""),"",P80-O80),"")</f>
        <v>46060</v>
      </c>
      <c r="O80" s="132">
        <f>INDEX('Work Package Master List'!$C$12:$Y$1000, MATCH($E80, 'Work Package Master List'!$B$12:$B$1000, 0), MATCH(N$11, 'Work Package Master List'!$C$13:$Y$13, 0))</f>
        <v>0</v>
      </c>
      <c r="P80" s="120">
        <f>IFERROR(IF(OR(R80="",Q80=""),"",R80-Q80),"")</f>
        <v>46060</v>
      </c>
      <c r="Q80" s="132">
        <f>INDEX('Work Package Master List'!$C$12:$Y$1000, MATCH($E80, 'Work Package Master List'!$B$12:$B$1000, 0), MATCH(P$11, 'Work Package Master List'!$C$13:$Y$13, 0))</f>
        <v>5</v>
      </c>
      <c r="R80" s="120">
        <f>IFERROR(IF(OR(T80="",S80=""),"",T80-S80),"")</f>
        <v>46065</v>
      </c>
      <c r="S80" s="132">
        <f>INDEX('Work Package Master List'!$C$12:$Y$1000, MATCH($E80, 'Work Package Master List'!$B$12:$B$1000, 0), MATCH(R$11, 'Work Package Master List'!$C$13:$Y$13, 0))</f>
        <v>5</v>
      </c>
      <c r="T80" s="120">
        <f>IFERROR(IF(OR(V80="",U80=""),"",V80-U80),"")</f>
        <v>46070</v>
      </c>
      <c r="U80" s="132">
        <f>INDEX('Work Package Master List'!$C$12:$Y$1000, MATCH($E80, 'Work Package Master List'!$B$12:$B$1000, 0), MATCH(T$11, 'Work Package Master List'!$C$13:$Y$13, 0))</f>
        <v>1</v>
      </c>
      <c r="V80" s="120">
        <f>IFERROR(IF(OR(X80="",W80=""),"",X80-W80),"")</f>
        <v>46071</v>
      </c>
      <c r="W80" s="132">
        <f>INDEX('Work Package Master List'!$C$12:$Y$1000, MATCH($E80, 'Work Package Master List'!$B$12:$B$1000, 0), MATCH(V$11, 'Work Package Master List'!$C$13:$Y$13, 0))</f>
        <v>3</v>
      </c>
      <c r="X80" s="120">
        <f>IFERROR(IF(OR(Z80="",Y80=""),"",Z80-Y80),"")</f>
        <v>46074</v>
      </c>
      <c r="Y80" s="132">
        <f>INDEX('Work Package Master List'!$C$12:$Y$1000, MATCH($E80, 'Work Package Master List'!$B$12:$B$1000, 0), MATCH(X$11, 'Work Package Master List'!$C$13:$Y$13, 0))</f>
        <v>2</v>
      </c>
      <c r="Z80" s="120">
        <f>IFERROR(IF(OR(AB80="",AA80=""),"",AB80-AA80),"")</f>
        <v>46076</v>
      </c>
      <c r="AA80" s="132">
        <f>INDEX('Work Package Master List'!$C$12:$Y$1000, MATCH($E80, 'Work Package Master List'!$B$12:$B$1000, 0), MATCH(Z$11, 'Work Package Master List'!$C$13:$Y$13, 0))</f>
        <v>7</v>
      </c>
      <c r="AB80" s="120">
        <f>IFERROR(IF(OR(AD80="",AC80=""),"",AD80-AC80),"")</f>
        <v>46083</v>
      </c>
      <c r="AC80" s="132">
        <f>INDEX('Work Package Master List'!$C$12:$Y$1000, MATCH($E80, 'Work Package Master List'!$B$12:$B$1000, 0), MATCH(AB$11, 'Work Package Master List'!$C$13:$Y$13, 0))</f>
        <v>3</v>
      </c>
      <c r="AD80" s="120">
        <f>IFERROR(IF(OR(AF80="",AE80=""),"",AF80-AE80),"")</f>
        <v>46086</v>
      </c>
      <c r="AE80" s="132">
        <f>INDEX('Work Package Master List'!$C$12:$Y$1000, MATCH($E80, 'Work Package Master List'!$B$12:$B$1000, 0), MATCH(AD$11, 'Work Package Master List'!$C$13:$Y$13, 0))</f>
        <v>1</v>
      </c>
      <c r="AF80" s="120">
        <f>IFERROR(IF(OR(AH80="",AG80=""),"",AH80-AG80),"")</f>
        <v>46087</v>
      </c>
      <c r="AG80" s="132">
        <f>INDEX('Work Package Master List'!$C$12:$Y$1000, MATCH($E80, 'Work Package Master List'!$B$12:$B$1000, 0), MATCH(AF$11, 'Work Package Master List'!$C$13:$Y$13, 0))</f>
        <v>2</v>
      </c>
      <c r="AH80" s="120">
        <f>IFERROR(IF(OR(AJ80="",AI80=""),"",AJ80-AI80),"")</f>
        <v>46089</v>
      </c>
      <c r="AI80" s="132">
        <f>INDEX('Work Package Master List'!$C$12:$Y$1000, MATCH($E80, 'Work Package Master List'!$B$12:$B$1000, 0), MATCH(AH$11, 'Work Package Master List'!$C$13:$Y$13, 0))</f>
        <v>2</v>
      </c>
      <c r="AJ80" s="120">
        <f>IFERROR(IF(OR(AM80="",AK80=""),"",AM80-AK80),"")</f>
        <v>46091</v>
      </c>
      <c r="AK80" s="132">
        <f>INDEX('Work Package Master List'!$C$12:$Y$1000, MATCH($E80, 'Work Package Master List'!$B$12:$B$1000, 0), MATCH(AJ$11, 'Work Package Master List'!$C$13:$Y$13, 0))</f>
        <v>5</v>
      </c>
      <c r="AL80" s="210"/>
      <c r="AM80" s="120">
        <v>46096</v>
      </c>
      <c r="AN80" s="212">
        <f t="shared" ref="AN80" si="31">IF(MAX($H80,$AM81,$AJ81,$AH81,$AF81,$AD81,$AB81,$Z81,$X81,$V81,$T81,$R81,$P81,$N81,$L81,$J81) = 0,"",MAX($H80,$AM81,$AJ81,$AH81,$AF81,$AD81,$AB81,$Z81,$X81,$V81,$T81,$R81,$P81,$N81,$L81,$J81))</f>
        <v>46285</v>
      </c>
      <c r="AO80" s="210" t="str">
        <f>_xlfn.IFNA(INDEX($J$7:$AM$7,_xlfn.XMATCH(MAX($AM81,$AJ81,$AH81,$AF81,$AD81,$AB81,$Z81,$X81,$V81,$T81,$R81,$P81,$N81,$L81,$J81),$J81:$AM81,0,-1)),"Awaiting DTP")</f>
        <v>PTC Stage</v>
      </c>
      <c r="AP80" s="205" t="s">
        <v>1333</v>
      </c>
      <c r="AR80" s="16">
        <f t="shared" si="25"/>
        <v>39</v>
      </c>
      <c r="AU80" s="16" t="s">
        <v>1333</v>
      </c>
    </row>
    <row r="81" spans="2:47" x14ac:dyDescent="0.25">
      <c r="B81" s="179"/>
      <c r="C81" s="179"/>
      <c r="D81" s="186"/>
      <c r="E81" s="179"/>
      <c r="F81" s="179"/>
      <c r="G81" s="179"/>
      <c r="H81" s="188"/>
      <c r="I81" s="91" t="s">
        <v>168</v>
      </c>
      <c r="J81" s="106">
        <v>46280</v>
      </c>
      <c r="K81" s="91"/>
      <c r="L81" s="106"/>
      <c r="M81" s="91"/>
      <c r="N81" s="106"/>
      <c r="O81" s="91"/>
      <c r="P81" s="106"/>
      <c r="Q81" s="91"/>
      <c r="R81" s="106"/>
      <c r="S81" s="91"/>
      <c r="T81" s="106"/>
      <c r="U81" s="91"/>
      <c r="V81" s="106">
        <v>46281</v>
      </c>
      <c r="W81" s="91"/>
      <c r="X81" s="106">
        <v>46284</v>
      </c>
      <c r="Y81" s="91"/>
      <c r="Z81" s="106">
        <v>46285</v>
      </c>
      <c r="AA81" s="91"/>
      <c r="AB81" s="106"/>
      <c r="AC81" s="91"/>
      <c r="AD81" s="106"/>
      <c r="AE81" s="91"/>
      <c r="AF81" s="106"/>
      <c r="AG81" s="91"/>
      <c r="AH81" s="106"/>
      <c r="AI81" s="91"/>
      <c r="AJ81" s="106"/>
      <c r="AK81" s="91"/>
      <c r="AL81" s="179"/>
      <c r="AM81" s="106"/>
      <c r="AN81" s="190"/>
      <c r="AO81" s="179"/>
      <c r="AP81" s="206"/>
      <c r="AR81" s="16">
        <f t="shared" si="25"/>
        <v>0</v>
      </c>
    </row>
    <row r="82" spans="2:47" x14ac:dyDescent="0.25">
      <c r="B82" s="210">
        <v>48</v>
      </c>
      <c r="C82" s="210" t="s">
        <v>44</v>
      </c>
      <c r="D82" s="213" t="s">
        <v>81</v>
      </c>
      <c r="E82" s="210" t="s">
        <v>226</v>
      </c>
      <c r="F82" s="210" t="str">
        <f>_xlfn.XLOOKUP($B82,'Procurement Strategy'!$B$12:$B$1139,'Procurement Strategy'!$P$12:$P$1139,"-",0)</f>
        <v/>
      </c>
      <c r="G82" s="210" t="s">
        <v>210</v>
      </c>
      <c r="H82" s="211">
        <v>46022</v>
      </c>
      <c r="I82" s="131" t="s">
        <v>166</v>
      </c>
      <c r="J82" s="120">
        <f>IFERROR(IF(OR(L82="",K82=""),"",L82-K82),"")</f>
        <v>46057</v>
      </c>
      <c r="K82" s="132">
        <f>INDEX('Work Package Master List'!$C$12:$Y$1000, MATCH($E82, 'Work Package Master List'!$B$12:$B$1000, 0), MATCH(J$11, 'Work Package Master List'!$C$13:$Y$13, 0))</f>
        <v>2</v>
      </c>
      <c r="L82" s="120">
        <f>IFERROR(IF(OR(N82="",M82=""),"",N82-M82),"")</f>
        <v>46059</v>
      </c>
      <c r="M82" s="132">
        <f>INDEX('Work Package Master List'!$C$12:$Y$1000, MATCH($E82, 'Work Package Master List'!$B$12:$B$1000, 0), MATCH(L$11, 'Work Package Master List'!$C$13:$Y$13, 0))</f>
        <v>1</v>
      </c>
      <c r="N82" s="120">
        <f>IFERROR(IF(OR(P82="",O82=""),"",P82-O82),"")</f>
        <v>46060</v>
      </c>
      <c r="O82" s="132">
        <f>INDEX('Work Package Master List'!$C$12:$Y$1000, MATCH($E82, 'Work Package Master List'!$B$12:$B$1000, 0), MATCH(N$11, 'Work Package Master List'!$C$13:$Y$13, 0))</f>
        <v>0</v>
      </c>
      <c r="P82" s="120">
        <f>IFERROR(IF(OR(R82="",Q82=""),"",R82-Q82),"")</f>
        <v>46060</v>
      </c>
      <c r="Q82" s="132">
        <f>INDEX('Work Package Master List'!$C$12:$Y$1000, MATCH($E82, 'Work Package Master List'!$B$12:$B$1000, 0), MATCH(P$11, 'Work Package Master List'!$C$13:$Y$13, 0))</f>
        <v>5</v>
      </c>
      <c r="R82" s="120">
        <f>IFERROR(IF(OR(T82="",S82=""),"",T82-S82),"")</f>
        <v>46065</v>
      </c>
      <c r="S82" s="132">
        <f>INDEX('Work Package Master List'!$C$12:$Y$1000, MATCH($E82, 'Work Package Master List'!$B$12:$B$1000, 0), MATCH(R$11, 'Work Package Master List'!$C$13:$Y$13, 0))</f>
        <v>5</v>
      </c>
      <c r="T82" s="120">
        <f>IFERROR(IF(OR(V82="",U82=""),"",V82-U82),"")</f>
        <v>46070</v>
      </c>
      <c r="U82" s="132">
        <f>INDEX('Work Package Master List'!$C$12:$Y$1000, MATCH($E82, 'Work Package Master List'!$B$12:$B$1000, 0), MATCH(T$11, 'Work Package Master List'!$C$13:$Y$13, 0))</f>
        <v>1</v>
      </c>
      <c r="V82" s="120">
        <f>IFERROR(IF(OR(X82="",W82=""),"",X82-W82),"")</f>
        <v>46071</v>
      </c>
      <c r="W82" s="132">
        <f>INDEX('Work Package Master List'!$C$12:$Y$1000, MATCH($E82, 'Work Package Master List'!$B$12:$B$1000, 0), MATCH(V$11, 'Work Package Master List'!$C$13:$Y$13, 0))</f>
        <v>3</v>
      </c>
      <c r="X82" s="120">
        <f>IFERROR(IF(OR(Z82="",Y82=""),"",Z82-Y82),"")</f>
        <v>46074</v>
      </c>
      <c r="Y82" s="132">
        <f>INDEX('Work Package Master List'!$C$12:$Y$1000, MATCH($E82, 'Work Package Master List'!$B$12:$B$1000, 0), MATCH(X$11, 'Work Package Master List'!$C$13:$Y$13, 0))</f>
        <v>2</v>
      </c>
      <c r="Z82" s="120">
        <f>IFERROR(IF(OR(AB82="",AA82=""),"",AB82-AA82),"")</f>
        <v>46076</v>
      </c>
      <c r="AA82" s="132">
        <f>INDEX('Work Package Master List'!$C$12:$Y$1000, MATCH($E82, 'Work Package Master List'!$B$12:$B$1000, 0), MATCH(Z$11, 'Work Package Master List'!$C$13:$Y$13, 0))</f>
        <v>7</v>
      </c>
      <c r="AB82" s="120">
        <f>IFERROR(IF(OR(AD82="",AC82=""),"",AD82-AC82),"")</f>
        <v>46083</v>
      </c>
      <c r="AC82" s="132">
        <f>INDEX('Work Package Master List'!$C$12:$Y$1000, MATCH($E82, 'Work Package Master List'!$B$12:$B$1000, 0), MATCH(AB$11, 'Work Package Master List'!$C$13:$Y$13, 0))</f>
        <v>3</v>
      </c>
      <c r="AD82" s="120">
        <f>IFERROR(IF(OR(AF82="",AE82=""),"",AF82-AE82),"")</f>
        <v>46086</v>
      </c>
      <c r="AE82" s="132">
        <f>INDEX('Work Package Master List'!$C$12:$Y$1000, MATCH($E82, 'Work Package Master List'!$B$12:$B$1000, 0), MATCH(AD$11, 'Work Package Master List'!$C$13:$Y$13, 0))</f>
        <v>1</v>
      </c>
      <c r="AF82" s="120">
        <f>IFERROR(IF(OR(AH82="",AG82=""),"",AH82-AG82),"")</f>
        <v>46087</v>
      </c>
      <c r="AG82" s="132">
        <f>INDEX('Work Package Master List'!$C$12:$Y$1000, MATCH($E82, 'Work Package Master List'!$B$12:$B$1000, 0), MATCH(AF$11, 'Work Package Master List'!$C$13:$Y$13, 0))</f>
        <v>2</v>
      </c>
      <c r="AH82" s="120">
        <f>IFERROR(IF(OR(AJ82="",AI82=""),"",AJ82-AI82),"")</f>
        <v>46089</v>
      </c>
      <c r="AI82" s="132">
        <f>INDEX('Work Package Master List'!$C$12:$Y$1000, MATCH($E82, 'Work Package Master List'!$B$12:$B$1000, 0), MATCH(AH$11, 'Work Package Master List'!$C$13:$Y$13, 0))</f>
        <v>2</v>
      </c>
      <c r="AJ82" s="120">
        <f>IFERROR(IF(OR(AM82="",AK82=""),"",AM82-AK82),"")</f>
        <v>46091</v>
      </c>
      <c r="AK82" s="132">
        <f>INDEX('Work Package Master List'!$C$12:$Y$1000, MATCH($E82, 'Work Package Master List'!$B$12:$B$1000, 0), MATCH(AJ$11, 'Work Package Master List'!$C$13:$Y$13, 0))</f>
        <v>5</v>
      </c>
      <c r="AL82" s="210"/>
      <c r="AM82" s="120">
        <v>46096</v>
      </c>
      <c r="AN82" s="212">
        <f t="shared" ref="AN82" si="32">IF(MAX($H82,$AM83,$AJ83,$AH83,$AF83,$AD83,$AB83,$Z83,$X83,$V83,$T83,$R83,$P83,$N83,$L83,$J83) = 0,"",MAX($H82,$AM83,$AJ83,$AH83,$AF83,$AD83,$AB83,$Z83,$X83,$V83,$T83,$R83,$P83,$N83,$L83,$J83))</f>
        <v>46285</v>
      </c>
      <c r="AO82" s="210" t="str">
        <f>_xlfn.IFNA(INDEX($J$7:$AM$7,_xlfn.XMATCH(MAX($AM83,$AJ83,$AH83,$AF83,$AD83,$AB83,$Z83,$X83,$V83,$T83,$R83,$P83,$N83,$L83,$J83),$J83:$AM83,0,-1)),"Awaiting DTP")</f>
        <v>PTC Stage</v>
      </c>
      <c r="AP82" s="205" t="s">
        <v>1333</v>
      </c>
      <c r="AR82" s="16">
        <f t="shared" si="25"/>
        <v>39</v>
      </c>
      <c r="AU82" s="16" t="s">
        <v>1333</v>
      </c>
    </row>
    <row r="83" spans="2:47" x14ac:dyDescent="0.25">
      <c r="B83" s="179"/>
      <c r="C83" s="179"/>
      <c r="D83" s="186"/>
      <c r="E83" s="179"/>
      <c r="F83" s="179"/>
      <c r="G83" s="179"/>
      <c r="H83" s="188"/>
      <c r="I83" s="91" t="s">
        <v>168</v>
      </c>
      <c r="J83" s="106"/>
      <c r="K83" s="91"/>
      <c r="L83" s="106"/>
      <c r="M83" s="91"/>
      <c r="N83" s="106"/>
      <c r="O83" s="91"/>
      <c r="P83" s="106"/>
      <c r="Q83" s="91"/>
      <c r="R83" s="106"/>
      <c r="S83" s="91"/>
      <c r="T83" s="106"/>
      <c r="U83" s="91"/>
      <c r="V83" s="106">
        <v>46281</v>
      </c>
      <c r="W83" s="91"/>
      <c r="X83" s="106">
        <v>46284</v>
      </c>
      <c r="Y83" s="91"/>
      <c r="Z83" s="106">
        <v>46285</v>
      </c>
      <c r="AA83" s="91"/>
      <c r="AB83" s="106"/>
      <c r="AC83" s="91"/>
      <c r="AD83" s="106"/>
      <c r="AE83" s="91"/>
      <c r="AF83" s="106"/>
      <c r="AG83" s="91"/>
      <c r="AH83" s="106"/>
      <c r="AI83" s="91"/>
      <c r="AJ83" s="106"/>
      <c r="AK83" s="91"/>
      <c r="AL83" s="179"/>
      <c r="AM83" s="106"/>
      <c r="AN83" s="190"/>
      <c r="AO83" s="179"/>
      <c r="AP83" s="206"/>
      <c r="AR83" s="16">
        <f t="shared" si="25"/>
        <v>0</v>
      </c>
    </row>
    <row r="84" spans="2:47" x14ac:dyDescent="0.25">
      <c r="B84" s="199">
        <v>52</v>
      </c>
      <c r="C84" s="199" t="s">
        <v>44</v>
      </c>
      <c r="D84" s="209" t="s">
        <v>82</v>
      </c>
      <c r="E84" s="199" t="s">
        <v>227</v>
      </c>
      <c r="F84" s="199" t="str">
        <f>_xlfn.XLOOKUP($B84,'Procurement Strategy'!$B$12:$B$1114,'Procurement Strategy'!$P$12:$P$1114,"-",0)</f>
        <v/>
      </c>
      <c r="G84" s="210" t="s">
        <v>176</v>
      </c>
      <c r="H84" s="198">
        <v>46022</v>
      </c>
      <c r="I84" s="129" t="s">
        <v>166</v>
      </c>
      <c r="J84" s="116">
        <f>IFERROR(IF(OR(L84="",K84=""),"",L84-K84),"")</f>
        <v>46037</v>
      </c>
      <c r="K84" s="130">
        <f>INDEX('Work Package Master List'!$C$12:$Y$1000, MATCH($E84, 'Work Package Master List'!$B$12:$B$1000, 0), MATCH(J$11, 'Work Package Master List'!$C$13:$Y$13, 0))</f>
        <v>2</v>
      </c>
      <c r="L84" s="116">
        <f>IFERROR(IF(OR(N84="",M84=""),"",N84-M84),"")</f>
        <v>46039</v>
      </c>
      <c r="M84" s="130">
        <f>INDEX('Work Package Master List'!$C$12:$Y$1000, MATCH($E84, 'Work Package Master List'!$B$12:$B$1000, 0), MATCH(L$11, 'Work Package Master List'!$C$13:$Y$13, 0))</f>
        <v>1</v>
      </c>
      <c r="N84" s="116">
        <f>IFERROR(IF(OR(P84="",O84=""),"",P84-O84),"")</f>
        <v>46040</v>
      </c>
      <c r="O84" s="130">
        <f>INDEX('Work Package Master List'!$C$12:$Y$1000, MATCH($E84, 'Work Package Master List'!$B$12:$B$1000, 0), MATCH(N$11, 'Work Package Master List'!$C$13:$Y$13, 0))</f>
        <v>0</v>
      </c>
      <c r="P84" s="116">
        <f>IFERROR(IF(OR(R84="",Q84=""),"",R84-Q84),"")</f>
        <v>46040</v>
      </c>
      <c r="Q84" s="130">
        <f>INDEX('Work Package Master List'!$C$12:$Y$1000, MATCH($E84, 'Work Package Master List'!$B$12:$B$1000, 0), MATCH(P$11, 'Work Package Master List'!$C$13:$Y$13, 0))</f>
        <v>10</v>
      </c>
      <c r="R84" s="116">
        <f>IFERROR(IF(OR(T84="",S84=""),"",T84-S84),"")</f>
        <v>46050</v>
      </c>
      <c r="S84" s="130">
        <f>INDEX('Work Package Master List'!$C$12:$Y$1000, MATCH($E84, 'Work Package Master List'!$B$12:$B$1000, 0), MATCH(R$11, 'Work Package Master List'!$C$13:$Y$13, 0))</f>
        <v>5</v>
      </c>
      <c r="T84" s="116">
        <f>IFERROR(IF(OR(V84="",U84=""),"",V84-U84),"")</f>
        <v>46055</v>
      </c>
      <c r="U84" s="130">
        <f>INDEX('Work Package Master List'!$C$12:$Y$1000, MATCH($E84, 'Work Package Master List'!$B$12:$B$1000, 0), MATCH(T$11, 'Work Package Master List'!$C$13:$Y$13, 0))</f>
        <v>1</v>
      </c>
      <c r="V84" s="116">
        <f>IFERROR(IF(OR(X84="",W84=""),"",X84-W84),"")</f>
        <v>46056</v>
      </c>
      <c r="W84" s="130">
        <f>INDEX('Work Package Master List'!$C$12:$Y$1000, MATCH($E84, 'Work Package Master List'!$B$12:$B$1000, 0), MATCH(V$11, 'Work Package Master List'!$C$13:$Y$13, 0))</f>
        <v>3</v>
      </c>
      <c r="X84" s="116">
        <f>IFERROR(IF(OR(Z84="",Y84=""),"",Z84-Y84),"")</f>
        <v>46059</v>
      </c>
      <c r="Y84" s="130">
        <f>INDEX('Work Package Master List'!$C$12:$Y$1000, MATCH($E84, 'Work Package Master List'!$B$12:$B$1000, 0), MATCH(X$11, 'Work Package Master List'!$C$13:$Y$13, 0))</f>
        <v>2</v>
      </c>
      <c r="Z84" s="116">
        <f>IFERROR(IF(OR(AB84="",AA84=""),"",AB84-AA84),"")</f>
        <v>46061</v>
      </c>
      <c r="AA84" s="130">
        <f>INDEX('Work Package Master List'!$C$12:$Y$1000, MATCH($E84, 'Work Package Master List'!$B$12:$B$1000, 0), MATCH(Z$11, 'Work Package Master List'!$C$13:$Y$13, 0))</f>
        <v>7</v>
      </c>
      <c r="AB84" s="116">
        <f>IFERROR(IF(OR(AD84="",AC84=""),"",AD84-AC84),"")</f>
        <v>46068</v>
      </c>
      <c r="AC84" s="130">
        <f>INDEX('Work Package Master List'!$C$12:$Y$1000, MATCH($E84, 'Work Package Master List'!$B$12:$B$1000, 0), MATCH(AB$11, 'Work Package Master List'!$C$13:$Y$13, 0))</f>
        <v>3</v>
      </c>
      <c r="AD84" s="116">
        <f>IFERROR(IF(OR(AF84="",AE84=""),"",AF84-AE84),"")</f>
        <v>46071</v>
      </c>
      <c r="AE84" s="130">
        <f>INDEX('Work Package Master List'!$C$12:$Y$1000, MATCH($E84, 'Work Package Master List'!$B$12:$B$1000, 0), MATCH(AD$11, 'Work Package Master List'!$C$13:$Y$13, 0))</f>
        <v>1</v>
      </c>
      <c r="AF84" s="116">
        <f>IFERROR(IF(OR(AH84="",AG84=""),"",AH84-AG84),"")</f>
        <v>46072</v>
      </c>
      <c r="AG84" s="130">
        <f>INDEX('Work Package Master List'!$C$12:$Y$1000, MATCH($E84, 'Work Package Master List'!$B$12:$B$1000, 0), MATCH(AF$11, 'Work Package Master List'!$C$13:$Y$13, 0))</f>
        <v>2</v>
      </c>
      <c r="AH84" s="116">
        <f>IFERROR(IF(OR(AJ84="",AI84=""),"",AJ84-AI84),"")</f>
        <v>46074</v>
      </c>
      <c r="AI84" s="130">
        <f>INDEX('Work Package Master List'!$C$12:$Y$1000, MATCH($E84, 'Work Package Master List'!$B$12:$B$1000, 0), MATCH(AH$11, 'Work Package Master List'!$C$13:$Y$13, 0))</f>
        <v>2</v>
      </c>
      <c r="AJ84" s="116">
        <f>IFERROR(IF(OR(AM84="",AK84=""),"",AM84-AK84),"")</f>
        <v>46076</v>
      </c>
      <c r="AK84" s="130">
        <f>INDEX('Work Package Master List'!$C$12:$Y$1000, MATCH($E84, 'Work Package Master List'!$B$12:$B$1000, 0), MATCH(AJ$11, 'Work Package Master List'!$C$13:$Y$13, 0))</f>
        <v>5</v>
      </c>
      <c r="AL84" s="199">
        <v>17225</v>
      </c>
      <c r="AM84" s="116">
        <v>46081</v>
      </c>
      <c r="AN84" s="200">
        <f t="shared" ref="AN84" si="33">IF(MAX($H84,$AM85,$AJ85,$AH85,$AF85,$AD85,$AB85,$Z85,$X85,$V85,$T85,$R85,$P85,$N85,$L85,$J85) = 0,"",MAX($H84,$AM85,$AJ85,$AH85,$AF85,$AD85,$AB85,$Z85,$X85,$V85,$T85,$R85,$P85,$N85,$L85,$J85))</f>
        <v>46294</v>
      </c>
      <c r="AO84" s="199" t="str">
        <f>_xlfn.IFNA(INDEX($J$7:$AM$7,_xlfn.XMATCH(MAX($AM85,$AJ85,$AH85,$AF85,$AD85,$AB85,$Z85,$X85,$V85,$T85,$R85,$P85,$N85,$L85,$J85),$J85:$AM85,0,-1)),"Awaiting DTP")</f>
        <v>Awarded</v>
      </c>
      <c r="AP84" s="203" t="s">
        <v>1344</v>
      </c>
      <c r="AR84" s="16">
        <f t="shared" si="25"/>
        <v>44</v>
      </c>
      <c r="AU84" s="16" t="s">
        <v>1329</v>
      </c>
    </row>
    <row r="85" spans="2:47" x14ac:dyDescent="0.25">
      <c r="B85" s="180"/>
      <c r="C85" s="180"/>
      <c r="D85" s="187"/>
      <c r="E85" s="180"/>
      <c r="F85" s="180"/>
      <c r="G85" s="179"/>
      <c r="H85" s="189"/>
      <c r="I85" s="105" t="s">
        <v>168</v>
      </c>
      <c r="J85" s="111">
        <v>46043</v>
      </c>
      <c r="K85" s="105"/>
      <c r="L85" s="111">
        <v>46043</v>
      </c>
      <c r="M85" s="105"/>
      <c r="N85" s="111">
        <v>46043</v>
      </c>
      <c r="O85" s="105"/>
      <c r="P85" s="111">
        <v>46043</v>
      </c>
      <c r="Q85" s="105"/>
      <c r="R85" s="106"/>
      <c r="S85" s="91"/>
      <c r="T85" s="106"/>
      <c r="U85" s="105"/>
      <c r="V85" s="111">
        <v>46045</v>
      </c>
      <c r="W85" s="105"/>
      <c r="X85" s="111">
        <v>46132</v>
      </c>
      <c r="Y85" s="105"/>
      <c r="Z85" s="111">
        <v>46152</v>
      </c>
      <c r="AA85" s="105"/>
      <c r="AB85" s="111">
        <v>46157</v>
      </c>
      <c r="AC85" s="105"/>
      <c r="AD85" s="111">
        <v>46193</v>
      </c>
      <c r="AE85" s="105"/>
      <c r="AF85" s="111">
        <v>46240</v>
      </c>
      <c r="AG85" s="105"/>
      <c r="AH85" s="111">
        <v>46213</v>
      </c>
      <c r="AI85" s="105"/>
      <c r="AJ85" s="111">
        <v>46244</v>
      </c>
      <c r="AK85" s="105"/>
      <c r="AL85" s="180"/>
      <c r="AM85" s="111">
        <v>46294</v>
      </c>
      <c r="AN85" s="191"/>
      <c r="AO85" s="180"/>
      <c r="AP85" s="203"/>
      <c r="AR85" s="16">
        <f t="shared" si="25"/>
        <v>0</v>
      </c>
    </row>
    <row r="86" spans="2:47" x14ac:dyDescent="0.25">
      <c r="B86" s="180">
        <v>53</v>
      </c>
      <c r="C86" s="180" t="s">
        <v>44</v>
      </c>
      <c r="D86" s="187" t="s">
        <v>83</v>
      </c>
      <c r="E86" s="180" t="s">
        <v>227</v>
      </c>
      <c r="F86" s="180" t="str">
        <f>_xlfn.XLOOKUP($B86,'Procurement Strategy'!$B$12:$B$1104,'Procurement Strategy'!$P$12:$P$1104,"-",0)</f>
        <v/>
      </c>
      <c r="G86" s="210" t="s">
        <v>176</v>
      </c>
      <c r="H86" s="189">
        <v>46022</v>
      </c>
      <c r="I86" s="125" t="s">
        <v>166</v>
      </c>
      <c r="J86" s="115">
        <f>IFERROR(IF(OR(L86="",K86=""),"",L86-K86),"")</f>
        <v>46037</v>
      </c>
      <c r="K86" s="128">
        <f>INDEX('Work Package Master List'!$C$12:$Y$1000, MATCH($E86, 'Work Package Master List'!$B$12:$B$1000, 0), MATCH(J$11, 'Work Package Master List'!$C$13:$Y$13, 0))</f>
        <v>2</v>
      </c>
      <c r="L86" s="115">
        <f>IFERROR(IF(OR(N86="",M86=""),"",N86-M86),"")</f>
        <v>46039</v>
      </c>
      <c r="M86" s="128">
        <f>INDEX('Work Package Master List'!$C$12:$Y$1000, MATCH($E86, 'Work Package Master List'!$B$12:$B$1000, 0), MATCH(L$11, 'Work Package Master List'!$C$13:$Y$13, 0))</f>
        <v>1</v>
      </c>
      <c r="N86" s="115">
        <f>IFERROR(IF(OR(P86="",O86=""),"",P86-O86),"")</f>
        <v>46040</v>
      </c>
      <c r="O86" s="128">
        <f>INDEX('Work Package Master List'!$C$12:$Y$1000, MATCH($E86, 'Work Package Master List'!$B$12:$B$1000, 0), MATCH(N$11, 'Work Package Master List'!$C$13:$Y$13, 0))</f>
        <v>0</v>
      </c>
      <c r="P86" s="115">
        <f>IFERROR(IF(OR(R86="",Q86=""),"",R86-Q86),"")</f>
        <v>46040</v>
      </c>
      <c r="Q86" s="128">
        <f>INDEX('Work Package Master List'!$C$12:$Y$1000, MATCH($E86, 'Work Package Master List'!$B$12:$B$1000, 0), MATCH(P$11, 'Work Package Master List'!$C$13:$Y$13, 0))</f>
        <v>10</v>
      </c>
      <c r="R86" s="115">
        <f>IFERROR(IF(OR(T86="",S86=""),"",T86-S86),"")</f>
        <v>46050</v>
      </c>
      <c r="S86" s="128">
        <f>INDEX('Work Package Master List'!$C$12:$Y$1000, MATCH($E86, 'Work Package Master List'!$B$12:$B$1000, 0), MATCH(R$11, 'Work Package Master List'!$C$13:$Y$13, 0))</f>
        <v>5</v>
      </c>
      <c r="T86" s="115">
        <f>IFERROR(IF(OR(V86="",U86=""),"",V86-U86),"")</f>
        <v>46055</v>
      </c>
      <c r="U86" s="128">
        <f>INDEX('Work Package Master List'!$C$12:$Y$1000, MATCH($E86, 'Work Package Master List'!$B$12:$B$1000, 0), MATCH(T$11, 'Work Package Master List'!$C$13:$Y$13, 0))</f>
        <v>1</v>
      </c>
      <c r="V86" s="115">
        <f>IFERROR(IF(OR(X86="",W86=""),"",X86-W86),"")</f>
        <v>46056</v>
      </c>
      <c r="W86" s="128">
        <f>INDEX('Work Package Master List'!$C$12:$Y$1000, MATCH($E86, 'Work Package Master List'!$B$12:$B$1000, 0), MATCH(V$11, 'Work Package Master List'!$C$13:$Y$13, 0))</f>
        <v>3</v>
      </c>
      <c r="X86" s="115">
        <f>IFERROR(IF(OR(Z86="",Y86=""),"",Z86-Y86),"")</f>
        <v>46059</v>
      </c>
      <c r="Y86" s="128">
        <f>INDEX('Work Package Master List'!$C$12:$Y$1000, MATCH($E86, 'Work Package Master List'!$B$12:$B$1000, 0), MATCH(X$11, 'Work Package Master List'!$C$13:$Y$13, 0))</f>
        <v>2</v>
      </c>
      <c r="Z86" s="115">
        <f>IFERROR(IF(OR(AB86="",AA86=""),"",AB86-AA86),"")</f>
        <v>46061</v>
      </c>
      <c r="AA86" s="128">
        <f>INDEX('Work Package Master List'!$C$12:$Y$1000, MATCH($E86, 'Work Package Master List'!$B$12:$B$1000, 0), MATCH(Z$11, 'Work Package Master List'!$C$13:$Y$13, 0))</f>
        <v>7</v>
      </c>
      <c r="AB86" s="115">
        <f>IFERROR(IF(OR(AD86="",AC86=""),"",AD86-AC86),"")</f>
        <v>46068</v>
      </c>
      <c r="AC86" s="128">
        <f>INDEX('Work Package Master List'!$C$12:$Y$1000, MATCH($E86, 'Work Package Master List'!$B$12:$B$1000, 0), MATCH(AB$11, 'Work Package Master List'!$C$13:$Y$13, 0))</f>
        <v>3</v>
      </c>
      <c r="AD86" s="115">
        <f>IFERROR(IF(OR(AF86="",AE86=""),"",AF86-AE86),"")</f>
        <v>46071</v>
      </c>
      <c r="AE86" s="128">
        <f>INDEX('Work Package Master List'!$C$12:$Y$1000, MATCH($E86, 'Work Package Master List'!$B$12:$B$1000, 0), MATCH(AD$11, 'Work Package Master List'!$C$13:$Y$13, 0))</f>
        <v>1</v>
      </c>
      <c r="AF86" s="115">
        <f>IFERROR(IF(OR(AH86="",AG86=""),"",AH86-AG86),"")</f>
        <v>46072</v>
      </c>
      <c r="AG86" s="128">
        <f>INDEX('Work Package Master List'!$C$12:$Y$1000, MATCH($E86, 'Work Package Master List'!$B$12:$B$1000, 0), MATCH(AF$11, 'Work Package Master List'!$C$13:$Y$13, 0))</f>
        <v>2</v>
      </c>
      <c r="AH86" s="115">
        <f>IFERROR(IF(OR(AJ86="",AI86=""),"",AJ86-AI86),"")</f>
        <v>46074</v>
      </c>
      <c r="AI86" s="128">
        <f>INDEX('Work Package Master List'!$C$12:$Y$1000, MATCH($E86, 'Work Package Master List'!$B$12:$B$1000, 0), MATCH(AH$11, 'Work Package Master List'!$C$13:$Y$13, 0))</f>
        <v>2</v>
      </c>
      <c r="AJ86" s="115">
        <f>IFERROR(IF(OR(AM86="",AK86=""),"",AM86-AK86),"")</f>
        <v>46076</v>
      </c>
      <c r="AK86" s="128">
        <f>INDEX('Work Package Master List'!$C$12:$Y$1000, MATCH($E86, 'Work Package Master List'!$B$12:$B$1000, 0), MATCH(AJ$11, 'Work Package Master List'!$C$13:$Y$13, 0))</f>
        <v>5</v>
      </c>
      <c r="AL86" s="180" t="s">
        <v>228</v>
      </c>
      <c r="AM86" s="115">
        <v>46081</v>
      </c>
      <c r="AN86" s="191">
        <f t="shared" ref="AN86" si="34">IF(MAX($H86,$AM87,$AJ87,$AH87,$AF87,$AD87,$AB87,$Z87,$X87,$V87,$T87,$R87,$P87,$N87,$L87,$J87) = 0,"",MAX($H86,$AM87,$AJ87,$AH87,$AF87,$AD87,$AB87,$Z87,$X87,$V87,$T87,$R87,$P87,$N87,$L87,$J87))</f>
        <v>46259</v>
      </c>
      <c r="AO86" s="180" t="str">
        <f>_xlfn.IFNA(INDEX($J$7:$AM$7,_xlfn.XMATCH(MAX($AM87,$AJ87,$AH87,$AF87,$AD87,$AB87,$Z87,$X87,$V87,$T87,$R87,$P87,$N87,$L87,$J87),$J87:$AM87,0,-1)),"Awaiting DTP")</f>
        <v>Awarded</v>
      </c>
      <c r="AP86" s="204" t="s">
        <v>1345</v>
      </c>
      <c r="AR86" s="16">
        <f t="shared" si="25"/>
        <v>44</v>
      </c>
      <c r="AU86" s="16" t="s">
        <v>1318</v>
      </c>
    </row>
    <row r="87" spans="2:47" x14ac:dyDescent="0.25">
      <c r="B87" s="179"/>
      <c r="C87" s="179"/>
      <c r="D87" s="186"/>
      <c r="E87" s="179"/>
      <c r="F87" s="179"/>
      <c r="G87" s="179"/>
      <c r="H87" s="188"/>
      <c r="I87" s="91" t="s">
        <v>168</v>
      </c>
      <c r="J87" s="106">
        <v>46043</v>
      </c>
      <c r="K87" s="91"/>
      <c r="L87" s="106">
        <v>46043</v>
      </c>
      <c r="M87" s="91"/>
      <c r="N87" s="106">
        <v>46043</v>
      </c>
      <c r="O87" s="91"/>
      <c r="P87" s="106">
        <v>46043</v>
      </c>
      <c r="Q87" s="91"/>
      <c r="R87" s="106"/>
      <c r="S87" s="91"/>
      <c r="T87" s="106"/>
      <c r="U87" s="91"/>
      <c r="V87" s="106">
        <v>46045</v>
      </c>
      <c r="W87" s="91"/>
      <c r="X87" s="106">
        <v>46132</v>
      </c>
      <c r="Y87" s="91"/>
      <c r="Z87" s="106">
        <v>46152</v>
      </c>
      <c r="AA87" s="91"/>
      <c r="AB87" s="106">
        <v>46157</v>
      </c>
      <c r="AC87" s="91"/>
      <c r="AD87" s="106">
        <v>46193</v>
      </c>
      <c r="AE87" s="91"/>
      <c r="AF87" s="106">
        <v>46240</v>
      </c>
      <c r="AG87" s="91"/>
      <c r="AH87" s="106">
        <v>46213</v>
      </c>
      <c r="AI87" s="91"/>
      <c r="AJ87" s="106">
        <v>46244</v>
      </c>
      <c r="AK87" s="91"/>
      <c r="AL87" s="179"/>
      <c r="AM87" s="111">
        <v>46259</v>
      </c>
      <c r="AN87" s="190"/>
      <c r="AO87" s="179"/>
      <c r="AP87" s="215"/>
      <c r="AR87" s="16">
        <f t="shared" si="25"/>
        <v>0</v>
      </c>
    </row>
    <row r="88" spans="2:47" x14ac:dyDescent="0.25">
      <c r="B88" s="199">
        <v>56</v>
      </c>
      <c r="C88" s="199" t="s">
        <v>44</v>
      </c>
      <c r="D88" s="209" t="s">
        <v>84</v>
      </c>
      <c r="E88" s="199" t="s">
        <v>229</v>
      </c>
      <c r="F88" s="199" t="str">
        <f>_xlfn.XLOOKUP($B88,'Procurement Strategy'!$B$12:$B$1071,'Procurement Strategy'!$P$12:$P$1071,"-",0)</f>
        <v>Yes</v>
      </c>
      <c r="G88" s="210" t="s">
        <v>176</v>
      </c>
      <c r="H88" s="198">
        <v>46022</v>
      </c>
      <c r="I88" s="129" t="s">
        <v>166</v>
      </c>
      <c r="J88" s="116">
        <f>IFERROR(IF(OR(L88="",K88=""),"",L88-K88),"")</f>
        <v>46041</v>
      </c>
      <c r="K88" s="130">
        <f>INDEX('Work Package Master List'!$C$12:$Y$1000, MATCH($E88, 'Work Package Master List'!$B$12:$B$1000, 0), MATCH(J$11, 'Work Package Master List'!$C$13:$Y$13, 0))</f>
        <v>2</v>
      </c>
      <c r="L88" s="116">
        <f>IFERROR(IF(OR(N88="",M88=""),"",N88-M88),"")</f>
        <v>46043</v>
      </c>
      <c r="M88" s="130">
        <f>INDEX('Work Package Master List'!$C$12:$Y$1000, MATCH($E88, 'Work Package Master List'!$B$12:$B$1000, 0), MATCH(L$11, 'Work Package Master List'!$C$13:$Y$13, 0))</f>
        <v>1</v>
      </c>
      <c r="N88" s="116">
        <f>IFERROR(IF(OR(P88="",O88=""),"",P88-O88),"")</f>
        <v>46044</v>
      </c>
      <c r="O88" s="130">
        <f>INDEX('Work Package Master List'!$C$12:$Y$1000, MATCH($E88, 'Work Package Master List'!$B$12:$B$1000, 0), MATCH(N$11, 'Work Package Master List'!$C$13:$Y$13, 0))</f>
        <v>0</v>
      </c>
      <c r="P88" s="116">
        <f>IFERROR(IF(OR(R88="",Q88=""),"",R88-Q88),"")</f>
        <v>46044</v>
      </c>
      <c r="Q88" s="130">
        <f>INDEX('Work Package Master List'!$C$12:$Y$1000, MATCH($E88, 'Work Package Master List'!$B$12:$B$1000, 0), MATCH(P$11, 'Work Package Master List'!$C$13:$Y$13, 0))</f>
        <v>10</v>
      </c>
      <c r="R88" s="116">
        <f>IFERROR(IF(OR(T88="",S88=""),"",T88-S88),"")</f>
        <v>46054</v>
      </c>
      <c r="S88" s="130">
        <f>INDEX('Work Package Master List'!$C$12:$Y$1000, MATCH($E88, 'Work Package Master List'!$B$12:$B$1000, 0), MATCH(R$11, 'Work Package Master List'!$C$13:$Y$13, 0))</f>
        <v>5</v>
      </c>
      <c r="T88" s="116">
        <f>IFERROR(IF(OR(V88="",U88=""),"",V88-U88),"")</f>
        <v>46059</v>
      </c>
      <c r="U88" s="130">
        <f>INDEX('Work Package Master List'!$C$12:$Y$1000, MATCH($E88, 'Work Package Master List'!$B$12:$B$1000, 0), MATCH(T$11, 'Work Package Master List'!$C$13:$Y$13, 0))</f>
        <v>1</v>
      </c>
      <c r="V88" s="116">
        <f>IFERROR(IF(OR(X88="",W88=""),"",X88-W88),"")</f>
        <v>46060</v>
      </c>
      <c r="W88" s="130">
        <f>INDEX('Work Package Master List'!$C$12:$Y$1000, MATCH($E88, 'Work Package Master List'!$B$12:$B$1000, 0), MATCH(V$11, 'Work Package Master List'!$C$13:$Y$13, 0))</f>
        <v>3</v>
      </c>
      <c r="X88" s="116">
        <f>IFERROR(IF(OR(Z88="",Y88=""),"",Z88-Y88),"")</f>
        <v>46063</v>
      </c>
      <c r="Y88" s="130">
        <f>INDEX('Work Package Master List'!$C$12:$Y$1000, MATCH($E88, 'Work Package Master List'!$B$12:$B$1000, 0), MATCH(X$11, 'Work Package Master List'!$C$13:$Y$13, 0))</f>
        <v>2</v>
      </c>
      <c r="Z88" s="116">
        <f>IFERROR(IF(OR(AB88="",AA88=""),"",AB88-AA88),"")</f>
        <v>46065</v>
      </c>
      <c r="AA88" s="130">
        <f>INDEX('Work Package Master List'!$C$12:$Y$1000, MATCH($E88, 'Work Package Master List'!$B$12:$B$1000, 0), MATCH(Z$11, 'Work Package Master List'!$C$13:$Y$13, 0))</f>
        <v>3</v>
      </c>
      <c r="AB88" s="116">
        <f>IFERROR(IF(OR(AD88="",AC88=""),"",AD88-AC88),"")</f>
        <v>46068</v>
      </c>
      <c r="AC88" s="130">
        <f>INDEX('Work Package Master List'!$C$12:$Y$1000, MATCH($E88, 'Work Package Master List'!$B$12:$B$1000, 0), MATCH(AB$11, 'Work Package Master List'!$C$13:$Y$13, 0))</f>
        <v>3</v>
      </c>
      <c r="AD88" s="116">
        <f>IFERROR(IF(OR(AF88="",AE88=""),"",AF88-AE88),"")</f>
        <v>46071</v>
      </c>
      <c r="AE88" s="130">
        <f>INDEX('Work Package Master List'!$C$12:$Y$1000, MATCH($E88, 'Work Package Master List'!$B$12:$B$1000, 0), MATCH(AD$11, 'Work Package Master List'!$C$13:$Y$13, 0))</f>
        <v>1</v>
      </c>
      <c r="AF88" s="116">
        <f>IFERROR(IF(OR(AH88="",AG88=""),"",AH88-AG88),"")</f>
        <v>46072</v>
      </c>
      <c r="AG88" s="130">
        <f>INDEX('Work Package Master List'!$C$12:$Y$1000, MATCH($E88, 'Work Package Master List'!$B$12:$B$1000, 0), MATCH(AF$11, 'Work Package Master List'!$C$13:$Y$13, 0))</f>
        <v>2</v>
      </c>
      <c r="AH88" s="116">
        <f>IFERROR(IF(OR(AJ88="",AI88=""),"",AJ88-AI88),"")</f>
        <v>46074</v>
      </c>
      <c r="AI88" s="130">
        <f>INDEX('Work Package Master List'!$C$12:$Y$1000, MATCH($E88, 'Work Package Master List'!$B$12:$B$1000, 0), MATCH(AH$11, 'Work Package Master List'!$C$13:$Y$13, 0))</f>
        <v>2</v>
      </c>
      <c r="AJ88" s="116">
        <f>IFERROR(IF(OR(AM88="",AK88=""),"",AM88-AK88),"")</f>
        <v>46076</v>
      </c>
      <c r="AK88" s="130">
        <f>INDEX('Work Package Master List'!$C$12:$Y$1000, MATCH($E88, 'Work Package Master List'!$B$12:$B$1000, 0), MATCH(AJ$11, 'Work Package Master List'!$C$13:$Y$13, 0))</f>
        <v>5</v>
      </c>
      <c r="AL88" s="199">
        <v>15898</v>
      </c>
      <c r="AM88" s="116">
        <v>46081</v>
      </c>
      <c r="AN88" s="200">
        <f t="shared" ref="AN88:AN92" si="35">IF(MAX($H88,$AM89,$AJ89,$AH89,$AF89,$AD89,$AB89,$Z89,$X89,$V89,$T89,$R89,$P89,$N89,$L89,$J89) = 0,"",MAX($H88,$AM89,$AJ89,$AH89,$AF89,$AD89,$AB89,$Z89,$X89,$V89,$T89,$R89,$P89,$N89,$L89,$J89))</f>
        <v>46210</v>
      </c>
      <c r="AO88" s="199" t="str">
        <f>_xlfn.IFNA(INDEX($J$7:$AM$7,_xlfn.XMATCH(MAX($AM89,$AJ89,$AH89,$AF89,$AD89,$AB89,$Z89,$X89,$V89,$T89,$R89,$P89,$N89,$L89,$J89),$J89:$AM89,0,-1)),"Awaiting DTP")</f>
        <v>Awarded</v>
      </c>
      <c r="AP88" s="214" t="s">
        <v>1346</v>
      </c>
      <c r="AR88" s="16">
        <f t="shared" si="25"/>
        <v>40</v>
      </c>
      <c r="AU88" s="16" t="s">
        <v>1319</v>
      </c>
    </row>
    <row r="89" spans="2:47" x14ac:dyDescent="0.25">
      <c r="B89" s="180"/>
      <c r="C89" s="180"/>
      <c r="D89" s="187"/>
      <c r="E89" s="180"/>
      <c r="F89" s="180"/>
      <c r="G89" s="179"/>
      <c r="H89" s="189"/>
      <c r="I89" s="105" t="s">
        <v>168</v>
      </c>
      <c r="J89" s="111">
        <v>46042</v>
      </c>
      <c r="K89" s="105"/>
      <c r="L89" s="111">
        <v>46042</v>
      </c>
      <c r="M89" s="105"/>
      <c r="N89" s="111">
        <v>46042</v>
      </c>
      <c r="O89" s="105"/>
      <c r="P89" s="111">
        <v>46042</v>
      </c>
      <c r="Q89" s="105"/>
      <c r="R89" s="106"/>
      <c r="S89" s="91"/>
      <c r="T89" s="106"/>
      <c r="U89" s="105"/>
      <c r="V89" s="111">
        <v>46043</v>
      </c>
      <c r="W89" s="105"/>
      <c r="X89" s="111">
        <v>46049</v>
      </c>
      <c r="Y89" s="105"/>
      <c r="Z89" s="111">
        <v>46091</v>
      </c>
      <c r="AA89" s="105"/>
      <c r="AB89" s="111">
        <v>46096</v>
      </c>
      <c r="AC89" s="105"/>
      <c r="AD89" s="111">
        <v>46132</v>
      </c>
      <c r="AE89" s="105"/>
      <c r="AF89" s="111">
        <v>46137</v>
      </c>
      <c r="AG89" s="105"/>
      <c r="AH89" s="111">
        <v>46152</v>
      </c>
      <c r="AI89" s="105"/>
      <c r="AJ89" s="111">
        <v>46162</v>
      </c>
      <c r="AK89" s="105"/>
      <c r="AL89" s="180"/>
      <c r="AM89" s="111">
        <v>46210</v>
      </c>
      <c r="AN89" s="191"/>
      <c r="AO89" s="180"/>
      <c r="AP89" s="203"/>
      <c r="AR89" s="16">
        <f t="shared" si="25"/>
        <v>0</v>
      </c>
    </row>
    <row r="90" spans="2:47" x14ac:dyDescent="0.25">
      <c r="B90" s="179">
        <v>57</v>
      </c>
      <c r="C90" s="179" t="s">
        <v>44</v>
      </c>
      <c r="D90" s="186" t="s">
        <v>85</v>
      </c>
      <c r="E90" s="179" t="s">
        <v>229</v>
      </c>
      <c r="F90" s="179" t="str">
        <f>_xlfn.XLOOKUP($B90,'Procurement Strategy'!$B$12:$B$1058,'Procurement Strategy'!$P$12:$P$1058,"-",0)</f>
        <v/>
      </c>
      <c r="G90" s="210" t="s">
        <v>176</v>
      </c>
      <c r="H90" s="188">
        <v>46022</v>
      </c>
      <c r="I90" s="126" t="s">
        <v>166</v>
      </c>
      <c r="J90" s="103">
        <f>IFERROR(IF(OR(L90="",K90=""),"",L90-K90),"")</f>
        <v>46041</v>
      </c>
      <c r="K90" s="127">
        <f>INDEX('Work Package Master List'!$C$12:$Y$1000, MATCH($E90, 'Work Package Master List'!$B$12:$B$1000, 0), MATCH(J$11, 'Work Package Master List'!$C$13:$Y$13, 0))</f>
        <v>2</v>
      </c>
      <c r="L90" s="103">
        <f>IFERROR(IF(OR(N90="",M90=""),"",N90-M90),"")</f>
        <v>46043</v>
      </c>
      <c r="M90" s="127">
        <f>INDEX('Work Package Master List'!$C$12:$Y$1000, MATCH($E90, 'Work Package Master List'!$B$12:$B$1000, 0), MATCH(L$11, 'Work Package Master List'!$C$13:$Y$13, 0))</f>
        <v>1</v>
      </c>
      <c r="N90" s="103">
        <f>IFERROR(IF(OR(P90="",O90=""),"",P90-O90),"")</f>
        <v>46044</v>
      </c>
      <c r="O90" s="127">
        <f>INDEX('Work Package Master List'!$C$12:$Y$1000, MATCH($E90, 'Work Package Master List'!$B$12:$B$1000, 0), MATCH(N$11, 'Work Package Master List'!$C$13:$Y$13, 0))</f>
        <v>0</v>
      </c>
      <c r="P90" s="103">
        <f>IFERROR(IF(OR(R90="",Q90=""),"",R90-Q90),"")</f>
        <v>46044</v>
      </c>
      <c r="Q90" s="127">
        <f>INDEX('Work Package Master List'!$C$12:$Y$1000, MATCH($E90, 'Work Package Master List'!$B$12:$B$1000, 0), MATCH(P$11, 'Work Package Master List'!$C$13:$Y$13, 0))</f>
        <v>10</v>
      </c>
      <c r="R90" s="103">
        <f>IFERROR(IF(OR(T90="",S90=""),"",T90-S90),"")</f>
        <v>46054</v>
      </c>
      <c r="S90" s="127">
        <f>INDEX('Work Package Master List'!$C$12:$Y$1000, MATCH($E90, 'Work Package Master List'!$B$12:$B$1000, 0), MATCH(R$11, 'Work Package Master List'!$C$13:$Y$13, 0))</f>
        <v>5</v>
      </c>
      <c r="T90" s="103">
        <f>IFERROR(IF(OR(V90="",U90=""),"",V90-U90),"")</f>
        <v>46059</v>
      </c>
      <c r="U90" s="127">
        <f>INDEX('Work Package Master List'!$C$12:$Y$1000, MATCH($E90, 'Work Package Master List'!$B$12:$B$1000, 0), MATCH(T$11, 'Work Package Master List'!$C$13:$Y$13, 0))</f>
        <v>1</v>
      </c>
      <c r="V90" s="103">
        <f>IFERROR(IF(OR(X90="",W90=""),"",X90-W90),"")</f>
        <v>46060</v>
      </c>
      <c r="W90" s="127">
        <f>INDEX('Work Package Master List'!$C$12:$Y$1000, MATCH($E90, 'Work Package Master List'!$B$12:$B$1000, 0), MATCH(V$11, 'Work Package Master List'!$C$13:$Y$13, 0))</f>
        <v>3</v>
      </c>
      <c r="X90" s="103">
        <f>IFERROR(IF(OR(Z90="",Y90=""),"",Z90-Y90),"")</f>
        <v>46063</v>
      </c>
      <c r="Y90" s="127">
        <f>INDEX('Work Package Master List'!$C$12:$Y$1000, MATCH($E90, 'Work Package Master List'!$B$12:$B$1000, 0), MATCH(X$11, 'Work Package Master List'!$C$13:$Y$13, 0))</f>
        <v>2</v>
      </c>
      <c r="Z90" s="103">
        <f>IFERROR(IF(OR(AB90="",AA90=""),"",AB90-AA90),"")</f>
        <v>46065</v>
      </c>
      <c r="AA90" s="127">
        <f>INDEX('Work Package Master List'!$C$12:$Y$1000, MATCH($E90, 'Work Package Master List'!$B$12:$B$1000, 0), MATCH(Z$11, 'Work Package Master List'!$C$13:$Y$13, 0))</f>
        <v>3</v>
      </c>
      <c r="AB90" s="103">
        <f>IFERROR(IF(OR(AD90="",AC90=""),"",AD90-AC90),"")</f>
        <v>46068</v>
      </c>
      <c r="AC90" s="127">
        <f>INDEX('Work Package Master List'!$C$12:$Y$1000, MATCH($E90, 'Work Package Master List'!$B$12:$B$1000, 0), MATCH(AB$11, 'Work Package Master List'!$C$13:$Y$13, 0))</f>
        <v>3</v>
      </c>
      <c r="AD90" s="103">
        <f>IFERROR(IF(OR(AF90="",AE90=""),"",AF90-AE90),"")</f>
        <v>46071</v>
      </c>
      <c r="AE90" s="127">
        <f>INDEX('Work Package Master List'!$C$12:$Y$1000, MATCH($E90, 'Work Package Master List'!$B$12:$B$1000, 0), MATCH(AD$11, 'Work Package Master List'!$C$13:$Y$13, 0))</f>
        <v>1</v>
      </c>
      <c r="AF90" s="103">
        <f>IFERROR(IF(OR(AH90="",AG90=""),"",AH90-AG90),"")</f>
        <v>46072</v>
      </c>
      <c r="AG90" s="127">
        <f>INDEX('Work Package Master List'!$C$12:$Y$1000, MATCH($E90, 'Work Package Master List'!$B$12:$B$1000, 0), MATCH(AF$11, 'Work Package Master List'!$C$13:$Y$13, 0))</f>
        <v>2</v>
      </c>
      <c r="AH90" s="103">
        <f>IFERROR(IF(OR(AJ90="",AI90=""),"",AJ90-AI90),"")</f>
        <v>46074</v>
      </c>
      <c r="AI90" s="127">
        <f>INDEX('Work Package Master List'!$C$12:$Y$1000, MATCH($E90, 'Work Package Master List'!$B$12:$B$1000, 0), MATCH(AH$11, 'Work Package Master List'!$C$13:$Y$13, 0))</f>
        <v>2</v>
      </c>
      <c r="AJ90" s="103">
        <f>IFERROR(IF(OR(AM90="",AK90=""),"",AM90-AK90),"")</f>
        <v>46076</v>
      </c>
      <c r="AK90" s="127">
        <f>INDEX('Work Package Master List'!$C$12:$Y$1000, MATCH($E90, 'Work Package Master List'!$B$12:$B$1000, 0), MATCH(AJ$11, 'Work Package Master List'!$C$13:$Y$13, 0))</f>
        <v>5</v>
      </c>
      <c r="AL90" s="199">
        <v>17682</v>
      </c>
      <c r="AM90" s="103">
        <v>46081</v>
      </c>
      <c r="AN90" s="200">
        <f>IF(MAX($H90,$AM91,$AJ91,$AH91,$AF91,$AD91,$AB91,$Z91,$X91,$V91,$T91,$R91,$P91,$N91,$L91,$J91) = 0,"",MAX($H90,$AM91,$AJ91,$AH91,$AF91,$AD91,$AB91,$Z91,$X91,$V91,$T91,$R91,$P91,$N91,$L91,$J91))</f>
        <v>46287</v>
      </c>
      <c r="AO90" s="199" t="str">
        <f>_xlfn.IFNA(INDEX($J$7:$AM$7,_xlfn.XMATCH(MAX($AM91,$AJ91,$AH91,$AF91,$AD91,$AB91,$Z91,$X91,$V91,$T91,$R91,$P91,$N91,$L91,$J91),$J91:$AM91,0,-1)),"Awaiting DTP")</f>
        <v>Awarded</v>
      </c>
      <c r="AP90" s="214" t="s">
        <v>1347</v>
      </c>
      <c r="AR90" s="16">
        <f t="shared" si="25"/>
        <v>40</v>
      </c>
      <c r="AU90" s="16" t="s">
        <v>1320</v>
      </c>
    </row>
    <row r="91" spans="2:47" x14ac:dyDescent="0.25">
      <c r="B91" s="180"/>
      <c r="C91" s="180"/>
      <c r="D91" s="187"/>
      <c r="E91" s="180"/>
      <c r="F91" s="180"/>
      <c r="G91" s="179"/>
      <c r="H91" s="189"/>
      <c r="I91" s="105" t="s">
        <v>168</v>
      </c>
      <c r="J91" s="111">
        <v>46042</v>
      </c>
      <c r="K91" s="105"/>
      <c r="L91" s="111">
        <v>46042</v>
      </c>
      <c r="M91" s="105"/>
      <c r="N91" s="111">
        <v>46042</v>
      </c>
      <c r="O91" s="105"/>
      <c r="P91" s="111">
        <v>46042</v>
      </c>
      <c r="Q91" s="105"/>
      <c r="R91" s="106"/>
      <c r="S91" s="91"/>
      <c r="T91" s="106"/>
      <c r="U91" s="105"/>
      <c r="V91" s="111">
        <v>46043</v>
      </c>
      <c r="W91" s="105"/>
      <c r="X91" s="111">
        <v>46230</v>
      </c>
      <c r="Y91" s="105"/>
      <c r="Z91" s="111">
        <v>46235</v>
      </c>
      <c r="AA91" s="105"/>
      <c r="AB91" s="111">
        <v>46249</v>
      </c>
      <c r="AC91" s="105"/>
      <c r="AD91" s="111">
        <v>46252</v>
      </c>
      <c r="AE91" s="105"/>
      <c r="AF91" s="111">
        <v>46259</v>
      </c>
      <c r="AG91" s="105"/>
      <c r="AH91" s="111">
        <v>46266</v>
      </c>
      <c r="AI91" s="105"/>
      <c r="AJ91" s="111">
        <v>46273</v>
      </c>
      <c r="AK91" s="105"/>
      <c r="AL91" s="180"/>
      <c r="AM91" s="111">
        <v>46287</v>
      </c>
      <c r="AN91" s="191"/>
      <c r="AO91" s="180"/>
      <c r="AP91" s="204"/>
      <c r="AR91" s="16">
        <f t="shared" si="25"/>
        <v>0</v>
      </c>
    </row>
    <row r="92" spans="2:47" x14ac:dyDescent="0.25">
      <c r="B92" s="180">
        <v>58</v>
      </c>
      <c r="C92" s="180" t="s">
        <v>44</v>
      </c>
      <c r="D92" s="187" t="s">
        <v>86</v>
      </c>
      <c r="E92" s="180" t="s">
        <v>229</v>
      </c>
      <c r="F92" s="180" t="str">
        <f>_xlfn.XLOOKUP($B92,'Procurement Strategy'!$B$12:$B$1045,'Procurement Strategy'!$P$12:$P$1045,"-",0)</f>
        <v/>
      </c>
      <c r="G92" s="210" t="s">
        <v>176</v>
      </c>
      <c r="H92" s="189">
        <v>46022</v>
      </c>
      <c r="I92" s="125" t="s">
        <v>166</v>
      </c>
      <c r="J92" s="115">
        <f>IFERROR(IF(OR(L92="",K92=""),"",L92-K92),"")</f>
        <v>46041</v>
      </c>
      <c r="K92" s="128">
        <f>INDEX('Work Package Master List'!$C$12:$Y$1000, MATCH($E92, 'Work Package Master List'!$B$12:$B$1000, 0), MATCH(J$11, 'Work Package Master List'!$C$13:$Y$13, 0))</f>
        <v>2</v>
      </c>
      <c r="L92" s="115">
        <f>IFERROR(IF(OR(N92="",M92=""),"",N92-M92),"")</f>
        <v>46043</v>
      </c>
      <c r="M92" s="128">
        <f>INDEX('Work Package Master List'!$C$12:$Y$1000, MATCH($E92, 'Work Package Master List'!$B$12:$B$1000, 0), MATCH(L$11, 'Work Package Master List'!$C$13:$Y$13, 0))</f>
        <v>1</v>
      </c>
      <c r="N92" s="115">
        <f>IFERROR(IF(OR(P92="",O92=""),"",P92-O92),"")</f>
        <v>46044</v>
      </c>
      <c r="O92" s="128">
        <f>INDEX('Work Package Master List'!$C$12:$Y$1000, MATCH($E92, 'Work Package Master List'!$B$12:$B$1000, 0), MATCH(N$11, 'Work Package Master List'!$C$13:$Y$13, 0))</f>
        <v>0</v>
      </c>
      <c r="P92" s="115">
        <f>IFERROR(IF(OR(R92="",Q92=""),"",R92-Q92),"")</f>
        <v>46044</v>
      </c>
      <c r="Q92" s="128">
        <f>INDEX('Work Package Master List'!$C$12:$Y$1000, MATCH($E92, 'Work Package Master List'!$B$12:$B$1000, 0), MATCH(P$11, 'Work Package Master List'!$C$13:$Y$13, 0))</f>
        <v>10</v>
      </c>
      <c r="R92" s="115">
        <f>IFERROR(IF(OR(T92="",S92=""),"",T92-S92),"")</f>
        <v>46054</v>
      </c>
      <c r="S92" s="128">
        <f>INDEX('Work Package Master List'!$C$12:$Y$1000, MATCH($E92, 'Work Package Master List'!$B$12:$B$1000, 0), MATCH(R$11, 'Work Package Master List'!$C$13:$Y$13, 0))</f>
        <v>5</v>
      </c>
      <c r="T92" s="115">
        <f>IFERROR(IF(OR(V92="",U92=""),"",V92-U92),"")</f>
        <v>46059</v>
      </c>
      <c r="U92" s="128">
        <f>INDEX('Work Package Master List'!$C$12:$Y$1000, MATCH($E92, 'Work Package Master List'!$B$12:$B$1000, 0), MATCH(T$11, 'Work Package Master List'!$C$13:$Y$13, 0))</f>
        <v>1</v>
      </c>
      <c r="V92" s="115">
        <f>IFERROR(IF(OR(X92="",W92=""),"",X92-W92),"")</f>
        <v>46060</v>
      </c>
      <c r="W92" s="128">
        <f>INDEX('Work Package Master List'!$C$12:$Y$1000, MATCH($E92, 'Work Package Master List'!$B$12:$B$1000, 0), MATCH(V$11, 'Work Package Master List'!$C$13:$Y$13, 0))</f>
        <v>3</v>
      </c>
      <c r="X92" s="115">
        <f>IFERROR(IF(OR(Z92="",Y92=""),"",Z92-Y92),"")</f>
        <v>46063</v>
      </c>
      <c r="Y92" s="128">
        <f>INDEX('Work Package Master List'!$C$12:$Y$1000, MATCH($E92, 'Work Package Master List'!$B$12:$B$1000, 0), MATCH(X$11, 'Work Package Master List'!$C$13:$Y$13, 0))</f>
        <v>2</v>
      </c>
      <c r="Z92" s="115">
        <f>IFERROR(IF(OR(AB92="",AA92=""),"",AB92-AA92),"")</f>
        <v>46065</v>
      </c>
      <c r="AA92" s="128">
        <f>INDEX('Work Package Master List'!$C$12:$Y$1000, MATCH($E92, 'Work Package Master List'!$B$12:$B$1000, 0), MATCH(Z$11, 'Work Package Master List'!$C$13:$Y$13, 0))</f>
        <v>3</v>
      </c>
      <c r="AB92" s="115">
        <f>IFERROR(IF(OR(AD92="",AC92=""),"",AD92-AC92),"")</f>
        <v>46068</v>
      </c>
      <c r="AC92" s="128">
        <f>INDEX('Work Package Master List'!$C$12:$Y$1000, MATCH($E92, 'Work Package Master List'!$B$12:$B$1000, 0), MATCH(AB$11, 'Work Package Master List'!$C$13:$Y$13, 0))</f>
        <v>3</v>
      </c>
      <c r="AD92" s="115">
        <f>IFERROR(IF(OR(AF92="",AE92=""),"",AF92-AE92),"")</f>
        <v>46071</v>
      </c>
      <c r="AE92" s="128">
        <f>INDEX('Work Package Master List'!$C$12:$Y$1000, MATCH($E92, 'Work Package Master List'!$B$12:$B$1000, 0), MATCH(AD$11, 'Work Package Master List'!$C$13:$Y$13, 0))</f>
        <v>1</v>
      </c>
      <c r="AF92" s="115">
        <f>IFERROR(IF(OR(AH92="",AG92=""),"",AH92-AG92),"")</f>
        <v>46072</v>
      </c>
      <c r="AG92" s="128">
        <f>INDEX('Work Package Master List'!$C$12:$Y$1000, MATCH($E92, 'Work Package Master List'!$B$12:$B$1000, 0), MATCH(AF$11, 'Work Package Master List'!$C$13:$Y$13, 0))</f>
        <v>2</v>
      </c>
      <c r="AH92" s="115">
        <f>IFERROR(IF(OR(AJ92="",AI92=""),"",AJ92-AI92),"")</f>
        <v>46074</v>
      </c>
      <c r="AI92" s="128">
        <f>INDEX('Work Package Master List'!$C$12:$Y$1000, MATCH($E92, 'Work Package Master List'!$B$12:$B$1000, 0), MATCH(AH$11, 'Work Package Master List'!$C$13:$Y$13, 0))</f>
        <v>2</v>
      </c>
      <c r="AJ92" s="115">
        <f>IFERROR(IF(OR(AM92="",AK92=""),"",AM92-AK92),"")</f>
        <v>46076</v>
      </c>
      <c r="AK92" s="128">
        <f>INDEX('Work Package Master List'!$C$12:$Y$1000, MATCH($E92, 'Work Package Master List'!$B$12:$B$1000, 0), MATCH(AJ$11, 'Work Package Master List'!$C$13:$Y$13, 0))</f>
        <v>5</v>
      </c>
      <c r="AL92" s="180"/>
      <c r="AM92" s="115">
        <v>46081</v>
      </c>
      <c r="AN92" s="200">
        <f t="shared" si="35"/>
        <v>46239</v>
      </c>
      <c r="AO92" s="199" t="str">
        <f t="shared" ref="AO92" si="36">_xlfn.IFNA(INDEX($J$7:$AM$7,_xlfn.XMATCH(MAX($AM93,$AJ93,$AH93,$AF93,$AD93,$AB93,$Z93,$X93,$V93,$T93,$R93,$P93,$N93,$L93,$J93),$J93:$AM93,0,-1)),"Awaiting DTP")</f>
        <v>Final Negotiations</v>
      </c>
      <c r="AP92" s="203" t="s">
        <v>230</v>
      </c>
      <c r="AR92" s="16">
        <f t="shared" si="25"/>
        <v>40</v>
      </c>
      <c r="AU92" s="16" t="s">
        <v>230</v>
      </c>
    </row>
    <row r="93" spans="2:47" x14ac:dyDescent="0.25">
      <c r="B93" s="179"/>
      <c r="C93" s="179"/>
      <c r="D93" s="186"/>
      <c r="E93" s="179"/>
      <c r="F93" s="179"/>
      <c r="G93" s="179"/>
      <c r="H93" s="188"/>
      <c r="I93" s="91" t="s">
        <v>168</v>
      </c>
      <c r="J93" s="106">
        <v>46042</v>
      </c>
      <c r="K93" s="91"/>
      <c r="L93" s="106">
        <v>46042</v>
      </c>
      <c r="M93" s="91"/>
      <c r="N93" s="106">
        <v>46042</v>
      </c>
      <c r="O93" s="91"/>
      <c r="P93" s="106">
        <v>46042</v>
      </c>
      <c r="Q93" s="91"/>
      <c r="R93" s="106"/>
      <c r="S93" s="91"/>
      <c r="T93" s="106"/>
      <c r="U93" s="91"/>
      <c r="V93" s="106">
        <v>46043</v>
      </c>
      <c r="W93" s="91"/>
      <c r="X93" s="106">
        <v>46169</v>
      </c>
      <c r="Y93" s="91"/>
      <c r="Z93" s="111">
        <v>46091</v>
      </c>
      <c r="AA93" s="105"/>
      <c r="AB93" s="111">
        <v>46157</v>
      </c>
      <c r="AC93" s="105"/>
      <c r="AD93" s="111">
        <v>46193</v>
      </c>
      <c r="AE93" s="105"/>
      <c r="AF93" s="111">
        <v>46239</v>
      </c>
      <c r="AG93" s="91"/>
      <c r="AH93" s="106"/>
      <c r="AI93" s="91"/>
      <c r="AJ93" s="106"/>
      <c r="AK93" s="91"/>
      <c r="AL93" s="179"/>
      <c r="AM93" s="106"/>
      <c r="AN93" s="191"/>
      <c r="AO93" s="180"/>
      <c r="AP93" s="203"/>
      <c r="AR93" s="16">
        <f t="shared" si="25"/>
        <v>0</v>
      </c>
    </row>
    <row r="94" spans="2:47" x14ac:dyDescent="0.25">
      <c r="B94" s="199">
        <v>60</v>
      </c>
      <c r="C94" s="199" t="s">
        <v>53</v>
      </c>
      <c r="D94" s="209" t="s">
        <v>87</v>
      </c>
      <c r="E94" s="199" t="s">
        <v>231</v>
      </c>
      <c r="F94" s="199" t="str">
        <f>_xlfn.XLOOKUP($B94,'Procurement Strategy'!$B$12:$B$1029,'Procurement Strategy'!$P$12:$P$1029,"-",0)</f>
        <v/>
      </c>
      <c r="G94" s="210" t="s">
        <v>176</v>
      </c>
      <c r="H94" s="198">
        <v>46022</v>
      </c>
      <c r="I94" s="129" t="s">
        <v>166</v>
      </c>
      <c r="J94" s="116">
        <f>IFERROR(IF(OR(L94="",K94=""),"",L94-K94),"")</f>
        <v>46023</v>
      </c>
      <c r="K94" s="130">
        <f>INDEX('Work Package Master List'!$C$12:$Y$1000, MATCH($E94, 'Work Package Master List'!$B$12:$B$1000, 0), MATCH(J$11, 'Work Package Master List'!$C$13:$Y$13, 0))</f>
        <v>2</v>
      </c>
      <c r="L94" s="116">
        <f>IFERROR(IF(OR(N94="",M94=""),"",N94-M94),"")</f>
        <v>46025</v>
      </c>
      <c r="M94" s="130">
        <f>INDEX('Work Package Master List'!$C$12:$Y$1000, MATCH($E94, 'Work Package Master List'!$B$12:$B$1000, 0), MATCH(L$11, 'Work Package Master List'!$C$13:$Y$13, 0))</f>
        <v>1</v>
      </c>
      <c r="N94" s="116">
        <f>IFERROR(IF(OR(P94="",O94=""),"",P94-O94),"")</f>
        <v>46026</v>
      </c>
      <c r="O94" s="130">
        <f>INDEX('Work Package Master List'!$C$12:$Y$1000, MATCH($E94, 'Work Package Master List'!$B$12:$B$1000, 0), MATCH(N$11, 'Work Package Master List'!$C$13:$Y$13, 0))</f>
        <v>0</v>
      </c>
      <c r="P94" s="116">
        <f>IFERROR(IF(OR(R94="",Q94=""),"",R94-Q94),"")</f>
        <v>46026</v>
      </c>
      <c r="Q94" s="130">
        <f>INDEX('Work Package Master List'!$C$12:$Y$1000, MATCH($E94, 'Work Package Master List'!$B$12:$B$1000, 0), MATCH(P$11, 'Work Package Master List'!$C$13:$Y$13, 0))</f>
        <v>5</v>
      </c>
      <c r="R94" s="116">
        <f>IFERROR(IF(OR(T94="",S94=""),"",T94-S94),"")</f>
        <v>46031</v>
      </c>
      <c r="S94" s="130">
        <f>INDEX('Work Package Master List'!$C$12:$Y$1000, MATCH($E94, 'Work Package Master List'!$B$12:$B$1000, 0), MATCH(R$11, 'Work Package Master List'!$C$13:$Y$13, 0))</f>
        <v>5</v>
      </c>
      <c r="T94" s="116">
        <f>IFERROR(IF(OR(V94="",U94=""),"",V94-U94),"")</f>
        <v>46036</v>
      </c>
      <c r="U94" s="130">
        <f>INDEX('Work Package Master List'!$C$12:$Y$1000, MATCH($E94, 'Work Package Master List'!$B$12:$B$1000, 0), MATCH(T$11, 'Work Package Master List'!$C$13:$Y$13, 0))</f>
        <v>5</v>
      </c>
      <c r="V94" s="116">
        <f>IFERROR(IF(OR(X94="",W94=""),"",X94-W94),"")</f>
        <v>46041</v>
      </c>
      <c r="W94" s="130">
        <f>INDEX('Work Package Master List'!$C$12:$Y$1000, MATCH($E94, 'Work Package Master List'!$B$12:$B$1000, 0), MATCH(V$11, 'Work Package Master List'!$C$13:$Y$13, 0))</f>
        <v>3</v>
      </c>
      <c r="X94" s="116">
        <f>IFERROR(IF(OR(Z94="",Y94=""),"",Z94-Y94),"")</f>
        <v>46044</v>
      </c>
      <c r="Y94" s="130">
        <f>INDEX('Work Package Master List'!$C$12:$Y$1000, MATCH($E94, 'Work Package Master List'!$B$12:$B$1000, 0), MATCH(X$11, 'Work Package Master List'!$C$13:$Y$13, 0))</f>
        <v>2</v>
      </c>
      <c r="Z94" s="116">
        <f>IFERROR(IF(OR(AB94="",AA94=""),"",AB94-AA94),"")</f>
        <v>46046</v>
      </c>
      <c r="AA94" s="130">
        <f>INDEX('Work Package Master List'!$C$12:$Y$1000, MATCH($E94, 'Work Package Master List'!$B$12:$B$1000, 0), MATCH(Z$11, 'Work Package Master List'!$C$13:$Y$13, 0))</f>
        <v>7</v>
      </c>
      <c r="AB94" s="116">
        <f>IFERROR(IF(OR(AD94="",AC94=""),"",AD94-AC94),"")</f>
        <v>46053</v>
      </c>
      <c r="AC94" s="130">
        <f>INDEX('Work Package Master List'!$C$12:$Y$1000, MATCH($E94, 'Work Package Master List'!$B$12:$B$1000, 0), MATCH(AB$11, 'Work Package Master List'!$C$13:$Y$13, 0))</f>
        <v>5</v>
      </c>
      <c r="AD94" s="116">
        <f>IFERROR(IF(OR(AF94="",AE94=""),"",AF94-AE94),"")</f>
        <v>46058</v>
      </c>
      <c r="AE94" s="130">
        <f>INDEX('Work Package Master List'!$C$12:$Y$1000, MATCH($E94, 'Work Package Master List'!$B$12:$B$1000, 0), MATCH(AD$11, 'Work Package Master List'!$C$13:$Y$13, 0))</f>
        <v>1</v>
      </c>
      <c r="AF94" s="116">
        <f>IFERROR(IF(OR(AH94="",AG94=""),"",AH94-AG94),"")</f>
        <v>46059</v>
      </c>
      <c r="AG94" s="130">
        <f>INDEX('Work Package Master List'!$C$12:$Y$1000, MATCH($E94, 'Work Package Master List'!$B$12:$B$1000, 0), MATCH(AF$11, 'Work Package Master List'!$C$13:$Y$13, 0))</f>
        <v>2</v>
      </c>
      <c r="AH94" s="116">
        <f>IFERROR(IF(OR(AJ94="",AI94=""),"",AJ94-AI94),"")</f>
        <v>46061</v>
      </c>
      <c r="AI94" s="130">
        <f>INDEX('Work Package Master List'!$C$12:$Y$1000, MATCH($E94, 'Work Package Master List'!$B$12:$B$1000, 0), MATCH(AH$11, 'Work Package Master List'!$C$13:$Y$13, 0))</f>
        <v>2</v>
      </c>
      <c r="AJ94" s="116">
        <f>IFERROR(IF(OR(AM94="",AK94=""),"",AM94-AK94),"")</f>
        <v>46063</v>
      </c>
      <c r="AK94" s="130">
        <f>INDEX('Work Package Master List'!$C$12:$Y$1000, MATCH($E94, 'Work Package Master List'!$B$12:$B$1000, 0), MATCH(AJ$11, 'Work Package Master List'!$C$13:$Y$13, 0))</f>
        <v>5</v>
      </c>
      <c r="AL94" s="199" t="s">
        <v>232</v>
      </c>
      <c r="AM94" s="116">
        <v>46068</v>
      </c>
      <c r="AN94" s="200">
        <f t="shared" ref="AN94" si="37">IF(MAX($H94,$AM95,$AJ95,$AH95,$AF95,$AD95,$AB95,$Z95,$X95,$V95,$T95,$R95,$P95,$N95,$L95,$J95) = 0,"",MAX($H94,$AM95,$AJ95,$AH95,$AF95,$AD95,$AB95,$Z95,$X95,$V95,$T95,$R95,$P95,$N95,$L95,$J95))</f>
        <v>46178</v>
      </c>
      <c r="AO94" s="199" t="str">
        <f>_xlfn.IFNA(INDEX($J$7:$AM$7,_xlfn.XMATCH(MAX($AM95,$AJ95,$AH95,$AF95,$AD95,$AB95,$Z95,$X95,$V95,$T95,$R95,$P95,$N95,$L95,$J95),$J95:$AM95,0,-1)),"Awaiting DTP")</f>
        <v>Awarded</v>
      </c>
      <c r="AP94" s="214" t="s">
        <v>1321</v>
      </c>
      <c r="AR94" s="16">
        <f t="shared" si="25"/>
        <v>45</v>
      </c>
      <c r="AU94" s="16" t="s">
        <v>1321</v>
      </c>
    </row>
    <row r="95" spans="2:47" x14ac:dyDescent="0.25">
      <c r="B95" s="180"/>
      <c r="C95" s="180"/>
      <c r="D95" s="187"/>
      <c r="E95" s="180"/>
      <c r="F95" s="180"/>
      <c r="G95" s="179"/>
      <c r="H95" s="189"/>
      <c r="I95" s="105" t="s">
        <v>168</v>
      </c>
      <c r="J95" s="111">
        <v>46070</v>
      </c>
      <c r="K95" s="105"/>
      <c r="L95" s="111"/>
      <c r="M95" s="105"/>
      <c r="N95" s="111"/>
      <c r="O95" s="105"/>
      <c r="P95" s="111"/>
      <c r="Q95" s="105"/>
      <c r="R95" s="111"/>
      <c r="S95" s="105"/>
      <c r="T95" s="111"/>
      <c r="U95" s="105"/>
      <c r="V95" s="111"/>
      <c r="W95" s="105"/>
      <c r="X95" s="111"/>
      <c r="Y95" s="105"/>
      <c r="Z95" s="111"/>
      <c r="AA95" s="105"/>
      <c r="AB95" s="111"/>
      <c r="AC95" s="105"/>
      <c r="AD95" s="111"/>
      <c r="AE95" s="105"/>
      <c r="AF95" s="111"/>
      <c r="AG95" s="105"/>
      <c r="AH95" s="111"/>
      <c r="AI95" s="105"/>
      <c r="AJ95" s="111"/>
      <c r="AK95" s="105"/>
      <c r="AL95" s="180"/>
      <c r="AM95" s="111">
        <v>46178</v>
      </c>
      <c r="AN95" s="191"/>
      <c r="AO95" s="180"/>
      <c r="AP95" s="204"/>
      <c r="AR95" s="16">
        <f t="shared" si="25"/>
        <v>0</v>
      </c>
    </row>
    <row r="96" spans="2:47" ht="15" customHeight="1" x14ac:dyDescent="0.25">
      <c r="B96" s="179">
        <v>61</v>
      </c>
      <c r="C96" s="179" t="s">
        <v>53</v>
      </c>
      <c r="D96" s="186" t="s">
        <v>88</v>
      </c>
      <c r="E96" s="179" t="s">
        <v>233</v>
      </c>
      <c r="F96" s="179" t="str">
        <f>_xlfn.XLOOKUP($B96,'Procurement Strategy'!$B$12:$B$1028,'Procurement Strategy'!$P$12:$P$1028,"-",0)</f>
        <v/>
      </c>
      <c r="G96" s="179" t="s">
        <v>210</v>
      </c>
      <c r="H96" s="188">
        <v>46022</v>
      </c>
      <c r="I96" s="126" t="s">
        <v>166</v>
      </c>
      <c r="J96" s="103">
        <f>IFERROR(IF(OR(L96="",K96=""),"",L96-K96),"")</f>
        <v>46012</v>
      </c>
      <c r="K96" s="127">
        <f>INDEX('Work Package Master List'!$C$12:$Y$1000, MATCH($E96, 'Work Package Master List'!$B$12:$B$1000, 0), MATCH(J$11, 'Work Package Master List'!$C$13:$Y$13, 0))</f>
        <v>2</v>
      </c>
      <c r="L96" s="103">
        <f>IFERROR(IF(OR(N96="",M96=""),"",N96-M96),"")</f>
        <v>46014</v>
      </c>
      <c r="M96" s="127">
        <f>INDEX('Work Package Master List'!$C$12:$Y$1000, MATCH($E96, 'Work Package Master List'!$B$12:$B$1000, 0), MATCH(L$11, 'Work Package Master List'!$C$13:$Y$13, 0))</f>
        <v>1</v>
      </c>
      <c r="N96" s="103">
        <f>IFERROR(IF(OR(P96="",O96=""),"",P96-O96),"")</f>
        <v>46015</v>
      </c>
      <c r="O96" s="127">
        <f>INDEX('Work Package Master List'!$C$12:$Y$1000, MATCH($E96, 'Work Package Master List'!$B$12:$B$1000, 0), MATCH(N$11, 'Work Package Master List'!$C$13:$Y$13, 0))</f>
        <v>0</v>
      </c>
      <c r="P96" s="103">
        <f>IFERROR(IF(OR(R96="",Q96=""),"",R96-Q96),"")</f>
        <v>46015</v>
      </c>
      <c r="Q96" s="127">
        <f>INDEX('Work Package Master List'!$C$12:$Y$1000, MATCH($E96, 'Work Package Master List'!$B$12:$B$1000, 0), MATCH(P$11, 'Work Package Master List'!$C$13:$Y$13, 0))</f>
        <v>10</v>
      </c>
      <c r="R96" s="103">
        <f>IFERROR(IF(OR(T96="",S96=""),"",T96-S96),"")</f>
        <v>46025</v>
      </c>
      <c r="S96" s="127">
        <f>INDEX('Work Package Master List'!$C$12:$Y$1000, MATCH($E96, 'Work Package Master List'!$B$12:$B$1000, 0), MATCH(R$11, 'Work Package Master List'!$C$13:$Y$13, 0))</f>
        <v>5</v>
      </c>
      <c r="T96" s="103">
        <f>IFERROR(IF(OR(V96="",U96=""),"",V96-U96),"")</f>
        <v>46030</v>
      </c>
      <c r="U96" s="127">
        <f>INDEX('Work Package Master List'!$C$12:$Y$1000, MATCH($E96, 'Work Package Master List'!$B$12:$B$1000, 0), MATCH(T$11, 'Work Package Master List'!$C$13:$Y$13, 0))</f>
        <v>1</v>
      </c>
      <c r="V96" s="103">
        <f>IFERROR(IF(OR(X96="",W96=""),"",X96-W96),"")</f>
        <v>46031</v>
      </c>
      <c r="W96" s="127">
        <f>INDEX('Work Package Master List'!$C$12:$Y$1000, MATCH($E96, 'Work Package Master List'!$B$12:$B$1000, 0), MATCH(V$11, 'Work Package Master List'!$C$13:$Y$13, 0))</f>
        <v>3</v>
      </c>
      <c r="X96" s="103">
        <f>IFERROR(IF(OR(Z96="",Y96=""),"",Z96-Y96),"")</f>
        <v>46034</v>
      </c>
      <c r="Y96" s="127">
        <f>INDEX('Work Package Master List'!$C$12:$Y$1000, MATCH($E96, 'Work Package Master List'!$B$12:$B$1000, 0), MATCH(X$11, 'Work Package Master List'!$C$13:$Y$13, 0))</f>
        <v>2</v>
      </c>
      <c r="Z96" s="103">
        <f>IFERROR(IF(OR(AB96="",AA96=""),"",AB96-AA96),"")</f>
        <v>46036</v>
      </c>
      <c r="AA96" s="127">
        <f>INDEX('Work Package Master List'!$C$12:$Y$1000, MATCH($E96, 'Work Package Master List'!$B$12:$B$1000, 0), MATCH(Z$11, 'Work Package Master List'!$C$13:$Y$13, 0))</f>
        <v>3</v>
      </c>
      <c r="AB96" s="103">
        <f>IFERROR(IF(OR(AD96="",AC96=""),"",AD96-AC96),"")</f>
        <v>46039</v>
      </c>
      <c r="AC96" s="127">
        <f>INDEX('Work Package Master List'!$C$12:$Y$1000, MATCH($E96, 'Work Package Master List'!$B$12:$B$1000, 0), MATCH(AB$11, 'Work Package Master List'!$C$13:$Y$13, 0))</f>
        <v>3</v>
      </c>
      <c r="AD96" s="103">
        <f>IFERROR(IF(OR(AF96="",AE96=""),"",AF96-AE96),"")</f>
        <v>46042</v>
      </c>
      <c r="AE96" s="127">
        <f>INDEX('Work Package Master List'!$C$12:$Y$1000, MATCH($E96, 'Work Package Master List'!$B$12:$B$1000, 0), MATCH(AD$11, 'Work Package Master List'!$C$13:$Y$13, 0))</f>
        <v>1</v>
      </c>
      <c r="AF96" s="103">
        <f>IFERROR(IF(OR(AH96="",AG96=""),"",AH96-AG96),"")</f>
        <v>46043</v>
      </c>
      <c r="AG96" s="127">
        <f>INDEX('Work Package Master List'!$C$12:$Y$1000, MATCH($E96, 'Work Package Master List'!$B$12:$B$1000, 0), MATCH(AF$11, 'Work Package Master List'!$C$13:$Y$13, 0))</f>
        <v>2</v>
      </c>
      <c r="AH96" s="103">
        <f>IFERROR(IF(OR(AJ96="",AI96=""),"",AJ96-AI96),"")</f>
        <v>46045</v>
      </c>
      <c r="AI96" s="127">
        <f>INDEX('Work Package Master List'!$C$12:$Y$1000, MATCH($E96, 'Work Package Master List'!$B$12:$B$1000, 0), MATCH(AH$11, 'Work Package Master List'!$C$13:$Y$13, 0))</f>
        <v>2</v>
      </c>
      <c r="AJ96" s="103">
        <f>IFERROR(IF(OR(AM96="",AK96=""),"",AM96-AK96),"")</f>
        <v>46047</v>
      </c>
      <c r="AK96" s="127">
        <f>INDEX('Work Package Master List'!$C$12:$Y$1000, MATCH($E96, 'Work Package Master List'!$B$12:$B$1000, 0), MATCH(AJ$11, 'Work Package Master List'!$C$13:$Y$13, 0))</f>
        <v>5</v>
      </c>
      <c r="AL96" s="179" t="s">
        <v>1334</v>
      </c>
      <c r="AM96" s="103">
        <v>46052</v>
      </c>
      <c r="AN96" s="190">
        <f t="shared" ref="AN96" si="38">IF(MAX($H96,$AM97,$AJ97,$AH97,$AF97,$AD97,$AB97,$Z97,$X97,$V97,$T97,$R97,$P97,$N97,$L97,$J97) = 0,"",MAX($H96,$AM97,$AJ97,$AH97,$AF97,$AD97,$AB97,$Z97,$X97,$V97,$T97,$R97,$P97,$N97,$L97,$J97))</f>
        <v>46258</v>
      </c>
      <c r="AO96" s="179" t="str">
        <f>_xlfn.IFNA(INDEX($J$7:$AM$7,_xlfn.XMATCH(MAX($AM97,$AJ97,$AH97,$AF97,$AD97,$AB97,$Z97,$X97,$V97,$T97,$R97,$P97,$N97,$L97,$J97),$J97:$AM97,0,-1)),"Awaiting DTP")</f>
        <v>Awarded</v>
      </c>
      <c r="AP96" s="207" t="s">
        <v>1322</v>
      </c>
      <c r="AR96" s="16">
        <f t="shared" si="25"/>
        <v>40</v>
      </c>
      <c r="AU96" s="16" t="s">
        <v>1322</v>
      </c>
    </row>
    <row r="97" spans="2:47" ht="15" customHeight="1" x14ac:dyDescent="0.25">
      <c r="B97" s="180"/>
      <c r="C97" s="180"/>
      <c r="D97" s="187"/>
      <c r="E97" s="180"/>
      <c r="F97" s="180"/>
      <c r="G97" s="180"/>
      <c r="H97" s="189"/>
      <c r="I97" s="105" t="s">
        <v>168</v>
      </c>
      <c r="J97" s="111">
        <v>46048</v>
      </c>
      <c r="K97" s="105"/>
      <c r="L97" s="111">
        <v>46049</v>
      </c>
      <c r="M97" s="105"/>
      <c r="N97" s="111">
        <v>46049</v>
      </c>
      <c r="O97" s="105"/>
      <c r="P97" s="111">
        <v>46049</v>
      </c>
      <c r="Q97" s="105"/>
      <c r="R97" s="111"/>
      <c r="S97" s="105"/>
      <c r="T97" s="111"/>
      <c r="U97" s="105"/>
      <c r="V97" s="111"/>
      <c r="W97" s="105"/>
      <c r="X97" s="111"/>
      <c r="Y97" s="105"/>
      <c r="Z97" s="111"/>
      <c r="AA97" s="105"/>
      <c r="AB97" s="111"/>
      <c r="AC97" s="105"/>
      <c r="AD97" s="111"/>
      <c r="AE97" s="105"/>
      <c r="AF97" s="111"/>
      <c r="AG97" s="105"/>
      <c r="AH97" s="111"/>
      <c r="AI97" s="105"/>
      <c r="AJ97" s="111">
        <v>46258</v>
      </c>
      <c r="AK97" s="105"/>
      <c r="AL97" s="180"/>
      <c r="AM97" s="111">
        <v>46258</v>
      </c>
      <c r="AN97" s="191"/>
      <c r="AO97" s="180"/>
      <c r="AP97" s="208"/>
      <c r="AR97" s="16">
        <f t="shared" si="25"/>
        <v>0</v>
      </c>
    </row>
    <row r="98" spans="2:47" x14ac:dyDescent="0.25">
      <c r="B98" s="179">
        <v>62</v>
      </c>
      <c r="C98" s="179" t="s">
        <v>44</v>
      </c>
      <c r="D98" s="186" t="s">
        <v>89</v>
      </c>
      <c r="E98" s="179" t="s">
        <v>234</v>
      </c>
      <c r="F98" s="179" t="str">
        <f>_xlfn.XLOOKUP($B98,'Procurement Strategy'!$B$12:$B$1015,'Procurement Strategy'!$P$12:$P$1015,"-",0)</f>
        <v/>
      </c>
      <c r="G98" s="179" t="s">
        <v>176</v>
      </c>
      <c r="H98" s="188">
        <v>46022</v>
      </c>
      <c r="I98" s="126" t="s">
        <v>166</v>
      </c>
      <c r="J98" s="103">
        <f>IFERROR(IF(OR(L98="",K98=""),"",L98-K98),"")</f>
        <v>46031</v>
      </c>
      <c r="K98" s="127">
        <f>INDEX('Work Package Master List'!$C$12:$Y$1000, MATCH($E98, 'Work Package Master List'!$B$12:$B$1000, 0), MATCH(J$11, 'Work Package Master List'!$C$13:$Y$13, 0))</f>
        <v>2</v>
      </c>
      <c r="L98" s="103">
        <f>IFERROR(IF(OR(N98="",M98=""),"",N98-M98),"")</f>
        <v>46033</v>
      </c>
      <c r="M98" s="127">
        <f>INDEX('Work Package Master List'!$C$12:$Y$1000, MATCH($E98, 'Work Package Master List'!$B$12:$B$1000, 0), MATCH(L$11, 'Work Package Master List'!$C$13:$Y$13, 0))</f>
        <v>1</v>
      </c>
      <c r="N98" s="103">
        <f>IFERROR(IF(OR(P98="",O98=""),"",P98-O98),"")</f>
        <v>46034</v>
      </c>
      <c r="O98" s="127">
        <f>INDEX('Work Package Master List'!$C$12:$Y$1000, MATCH($E98, 'Work Package Master List'!$B$12:$B$1000, 0), MATCH(N$11, 'Work Package Master List'!$C$13:$Y$13, 0))</f>
        <v>0</v>
      </c>
      <c r="P98" s="103">
        <f>IFERROR(IF(OR(R98="",Q98=""),"",R98-Q98),"")</f>
        <v>46034</v>
      </c>
      <c r="Q98" s="127">
        <f>INDEX('Work Package Master List'!$C$12:$Y$1000, MATCH($E98, 'Work Package Master List'!$B$12:$B$1000, 0), MATCH(P$11, 'Work Package Master List'!$C$13:$Y$13, 0))</f>
        <v>14</v>
      </c>
      <c r="R98" s="103">
        <f>IFERROR(IF(OR(T98="",S98=""),"",T98-S98),"")</f>
        <v>46048</v>
      </c>
      <c r="S98" s="127">
        <f>INDEX('Work Package Master List'!$C$12:$Y$1000, MATCH($E98, 'Work Package Master List'!$B$12:$B$1000, 0), MATCH(R$11, 'Work Package Master List'!$C$13:$Y$13, 0))</f>
        <v>10</v>
      </c>
      <c r="T98" s="103">
        <f>IFERROR(IF(OR(V98="",U98=""),"",V98-U98),"")</f>
        <v>46058</v>
      </c>
      <c r="U98" s="127">
        <f>INDEX('Work Package Master List'!$C$12:$Y$1000, MATCH($E98, 'Work Package Master List'!$B$12:$B$1000, 0), MATCH(T$11, 'Work Package Master List'!$C$13:$Y$13, 0))</f>
        <v>1</v>
      </c>
      <c r="V98" s="103">
        <f>IFERROR(IF(OR(X98="",W98=""),"",X98-W98),"")</f>
        <v>46059</v>
      </c>
      <c r="W98" s="127">
        <f>INDEX('Work Package Master List'!$C$12:$Y$1000, MATCH($E98, 'Work Package Master List'!$B$12:$B$1000, 0), MATCH(V$11, 'Work Package Master List'!$C$13:$Y$13, 0))</f>
        <v>3</v>
      </c>
      <c r="X98" s="103">
        <f>IFERROR(IF(OR(Z98="",Y98=""),"",Z98-Y98),"")</f>
        <v>46062</v>
      </c>
      <c r="Y98" s="127">
        <f>INDEX('Work Package Master List'!$C$12:$Y$1000, MATCH($E98, 'Work Package Master List'!$B$12:$B$1000, 0), MATCH(X$11, 'Work Package Master List'!$C$13:$Y$13, 0))</f>
        <v>2</v>
      </c>
      <c r="Z98" s="103">
        <f>IFERROR(IF(OR(AB98="",AA98=""),"",AB98-AA98),"")</f>
        <v>46064</v>
      </c>
      <c r="AA98" s="127">
        <f>INDEX('Work Package Master List'!$C$12:$Y$1000, MATCH($E98, 'Work Package Master List'!$B$12:$B$1000, 0), MATCH(Z$11, 'Work Package Master List'!$C$13:$Y$13, 0))</f>
        <v>5</v>
      </c>
      <c r="AB98" s="103">
        <f>IFERROR(IF(OR(AD98="",AC98=""),"",AD98-AC98),"")</f>
        <v>46069</v>
      </c>
      <c r="AC98" s="127">
        <f>INDEX('Work Package Master List'!$C$12:$Y$1000, MATCH($E98, 'Work Package Master List'!$B$12:$B$1000, 0), MATCH(AB$11, 'Work Package Master List'!$C$13:$Y$13, 0))</f>
        <v>5</v>
      </c>
      <c r="AD98" s="103">
        <f>IFERROR(IF(OR(AF98="",AE98=""),"",AF98-AE98),"")</f>
        <v>46074</v>
      </c>
      <c r="AE98" s="127">
        <f>INDEX('Work Package Master List'!$C$12:$Y$1000, MATCH($E98, 'Work Package Master List'!$B$12:$B$1000, 0), MATCH(AD$11, 'Work Package Master List'!$C$13:$Y$13, 0))</f>
        <v>1</v>
      </c>
      <c r="AF98" s="103">
        <f>IFERROR(IF(OR(AH98="",AG98=""),"",AH98-AG98),"")</f>
        <v>46075</v>
      </c>
      <c r="AG98" s="127">
        <f>INDEX('Work Package Master List'!$C$12:$Y$1000, MATCH($E98, 'Work Package Master List'!$B$12:$B$1000, 0), MATCH(AF$11, 'Work Package Master List'!$C$13:$Y$13, 0))</f>
        <v>2</v>
      </c>
      <c r="AH98" s="103">
        <f>IFERROR(IF(OR(AJ98="",AI98=""),"",AJ98-AI98),"")</f>
        <v>46077</v>
      </c>
      <c r="AI98" s="127">
        <f>INDEX('Work Package Master List'!$C$12:$Y$1000, MATCH($E98, 'Work Package Master List'!$B$12:$B$1000, 0), MATCH(AH$11, 'Work Package Master List'!$C$13:$Y$13, 0))</f>
        <v>2</v>
      </c>
      <c r="AJ98" s="103">
        <f>IFERROR(IF(OR(AM98="",AK98=""),"",AM98-AK98),"")</f>
        <v>46079</v>
      </c>
      <c r="AK98" s="127">
        <f>INDEX('Work Package Master List'!$C$12:$Y$1000, MATCH($E98, 'Work Package Master List'!$B$12:$B$1000, 0), MATCH(AJ$11, 'Work Package Master List'!$C$13:$Y$13, 0))</f>
        <v>5</v>
      </c>
      <c r="AL98" s="179">
        <v>16880</v>
      </c>
      <c r="AM98" s="103">
        <v>46084</v>
      </c>
      <c r="AN98" s="190">
        <f t="shared" ref="AN98" si="39">IF(MAX($H98,$AM99,$AJ99,$AH99,$AF99,$AD99,$AB99,$Z99,$X99,$V99,$T99,$R99,$P99,$N99,$L99,$J99) = 0,"",MAX($H98,$AM99,$AJ99,$AH99,$AF99,$AD99,$AB99,$Z99,$X99,$V99,$T99,$R99,$P99,$N99,$L99,$J99))</f>
        <v>46251</v>
      </c>
      <c r="AO98" s="179" t="str">
        <f>_xlfn.IFNA(INDEX($J$7:$AM$7,_xlfn.XMATCH(MAX($AM99,$AJ99,$AH99,$AF99,$AD99,$AB99,$Z99,$X99,$V99,$T99,$R99,$P99,$N99,$L99,$J99),$J99:$AM99,0,-1)),"Awaiting DTP")</f>
        <v>Awarded</v>
      </c>
      <c r="AP98" s="203" t="s">
        <v>235</v>
      </c>
      <c r="AR98" s="16">
        <f t="shared" si="25"/>
        <v>53</v>
      </c>
      <c r="AU98" s="16" t="s">
        <v>235</v>
      </c>
    </row>
    <row r="99" spans="2:47" x14ac:dyDescent="0.25">
      <c r="B99" s="180"/>
      <c r="C99" s="180"/>
      <c r="D99" s="187"/>
      <c r="E99" s="180"/>
      <c r="F99" s="180"/>
      <c r="G99" s="180"/>
      <c r="H99" s="189"/>
      <c r="I99" s="105" t="s">
        <v>168</v>
      </c>
      <c r="J99" s="111">
        <v>46048</v>
      </c>
      <c r="K99" s="105"/>
      <c r="L99" s="111">
        <v>46049</v>
      </c>
      <c r="M99" s="105"/>
      <c r="N99" s="111">
        <v>46049</v>
      </c>
      <c r="O99" s="105"/>
      <c r="P99" s="111">
        <v>46049</v>
      </c>
      <c r="Q99" s="105"/>
      <c r="R99" s="111"/>
      <c r="S99" s="105"/>
      <c r="T99" s="111"/>
      <c r="U99" s="105"/>
      <c r="V99" s="111">
        <v>46122</v>
      </c>
      <c r="W99" s="105"/>
      <c r="X99" s="111">
        <v>46127</v>
      </c>
      <c r="Y99" s="105"/>
      <c r="Z99" s="111">
        <v>46162</v>
      </c>
      <c r="AA99" s="105"/>
      <c r="AB99" s="111">
        <v>46163</v>
      </c>
      <c r="AC99" s="105"/>
      <c r="AD99" s="111">
        <v>46183</v>
      </c>
      <c r="AE99" s="105"/>
      <c r="AF99" s="111">
        <v>46202</v>
      </c>
      <c r="AG99" s="105"/>
      <c r="AH99" s="111">
        <v>46203</v>
      </c>
      <c r="AI99" s="105"/>
      <c r="AJ99" s="111">
        <v>46223</v>
      </c>
      <c r="AK99" s="105"/>
      <c r="AL99" s="180"/>
      <c r="AM99" s="111">
        <v>46251</v>
      </c>
      <c r="AN99" s="191"/>
      <c r="AO99" s="180"/>
      <c r="AP99" s="204"/>
      <c r="AR99" s="16">
        <f t="shared" si="25"/>
        <v>0</v>
      </c>
    </row>
    <row r="100" spans="2:47" x14ac:dyDescent="0.25">
      <c r="B100" s="179">
        <v>63</v>
      </c>
      <c r="C100" s="179" t="s">
        <v>44</v>
      </c>
      <c r="D100" s="186" t="s">
        <v>90</v>
      </c>
      <c r="E100" s="179" t="s">
        <v>234</v>
      </c>
      <c r="F100" s="179" t="str">
        <f>_xlfn.XLOOKUP($B100,'Procurement Strategy'!$B$12:$B$1002,'Procurement Strategy'!$P$12:$P$1002,"-",0)</f>
        <v/>
      </c>
      <c r="G100" s="179" t="s">
        <v>176</v>
      </c>
      <c r="H100" s="188">
        <v>46022</v>
      </c>
      <c r="I100" s="126" t="s">
        <v>166</v>
      </c>
      <c r="J100" s="103">
        <f>IFERROR(IF(OR(L100="",K100=""),"",L100-K100),"")</f>
        <v>46031</v>
      </c>
      <c r="K100" s="127">
        <f>INDEX('Work Package Master List'!$C$12:$Y$1000, MATCH($E100, 'Work Package Master List'!$B$12:$B$1000, 0), MATCH(J$11, 'Work Package Master List'!$C$13:$Y$13, 0))</f>
        <v>2</v>
      </c>
      <c r="L100" s="103">
        <f>IFERROR(IF(OR(N100="",M100=""),"",N100-M100),"")</f>
        <v>46033</v>
      </c>
      <c r="M100" s="127">
        <f>INDEX('Work Package Master List'!$C$12:$Y$1000, MATCH($E100, 'Work Package Master List'!$B$12:$B$1000, 0), MATCH(L$11, 'Work Package Master List'!$C$13:$Y$13, 0))</f>
        <v>1</v>
      </c>
      <c r="N100" s="103">
        <f>IFERROR(IF(OR(P100="",O100=""),"",P100-O100),"")</f>
        <v>46034</v>
      </c>
      <c r="O100" s="127">
        <f>INDEX('Work Package Master List'!$C$12:$Y$1000, MATCH($E100, 'Work Package Master List'!$B$12:$B$1000, 0), MATCH(N$11, 'Work Package Master List'!$C$13:$Y$13, 0))</f>
        <v>0</v>
      </c>
      <c r="P100" s="103">
        <f>IFERROR(IF(OR(R100="",Q100=""),"",R100-Q100),"")</f>
        <v>46034</v>
      </c>
      <c r="Q100" s="127">
        <f>INDEX('Work Package Master List'!$C$12:$Y$1000, MATCH($E100, 'Work Package Master List'!$B$12:$B$1000, 0), MATCH(P$11, 'Work Package Master List'!$C$13:$Y$13, 0))</f>
        <v>14</v>
      </c>
      <c r="R100" s="103">
        <f>IFERROR(IF(OR(T100="",S100=""),"",T100-S100),"")</f>
        <v>46048</v>
      </c>
      <c r="S100" s="127">
        <f>INDEX('Work Package Master List'!$C$12:$Y$1000, MATCH($E100, 'Work Package Master List'!$B$12:$B$1000, 0), MATCH(R$11, 'Work Package Master List'!$C$13:$Y$13, 0))</f>
        <v>10</v>
      </c>
      <c r="T100" s="103">
        <f>IFERROR(IF(OR(V100="",U100=""),"",V100-U100),"")</f>
        <v>46058</v>
      </c>
      <c r="U100" s="127">
        <f>INDEX('Work Package Master List'!$C$12:$Y$1000, MATCH($E100, 'Work Package Master List'!$B$12:$B$1000, 0), MATCH(T$11, 'Work Package Master List'!$C$13:$Y$13, 0))</f>
        <v>1</v>
      </c>
      <c r="V100" s="103">
        <f>IFERROR(IF(OR(X100="",W100=""),"",X100-W100),"")</f>
        <v>46059</v>
      </c>
      <c r="W100" s="127">
        <f>INDEX('Work Package Master List'!$C$12:$Y$1000, MATCH($E100, 'Work Package Master List'!$B$12:$B$1000, 0), MATCH(V$11, 'Work Package Master List'!$C$13:$Y$13, 0))</f>
        <v>3</v>
      </c>
      <c r="X100" s="103">
        <f>IFERROR(IF(OR(Z100="",Y100=""),"",Z100-Y100),"")</f>
        <v>46062</v>
      </c>
      <c r="Y100" s="127">
        <f>INDEX('Work Package Master List'!$C$12:$Y$1000, MATCH($E100, 'Work Package Master List'!$B$12:$B$1000, 0), MATCH(X$11, 'Work Package Master List'!$C$13:$Y$13, 0))</f>
        <v>2</v>
      </c>
      <c r="Z100" s="103">
        <f>IFERROR(IF(OR(AB100="",AA100=""),"",AB100-AA100),"")</f>
        <v>46064</v>
      </c>
      <c r="AA100" s="127">
        <f>INDEX('Work Package Master List'!$C$12:$Y$1000, MATCH($E100, 'Work Package Master List'!$B$12:$B$1000, 0), MATCH(Z$11, 'Work Package Master List'!$C$13:$Y$13, 0))</f>
        <v>5</v>
      </c>
      <c r="AB100" s="103">
        <f>IFERROR(IF(OR(AD100="",AC100=""),"",AD100-AC100),"")</f>
        <v>46069</v>
      </c>
      <c r="AC100" s="127">
        <f>INDEX('Work Package Master List'!$C$12:$Y$1000, MATCH($E100, 'Work Package Master List'!$B$12:$B$1000, 0), MATCH(AB$11, 'Work Package Master List'!$C$13:$Y$13, 0))</f>
        <v>5</v>
      </c>
      <c r="AD100" s="103">
        <f>IFERROR(IF(OR(AF100="",AE100=""),"",AF100-AE100),"")</f>
        <v>46074</v>
      </c>
      <c r="AE100" s="127">
        <f>INDEX('Work Package Master List'!$C$12:$Y$1000, MATCH($E100, 'Work Package Master List'!$B$12:$B$1000, 0), MATCH(AD$11, 'Work Package Master List'!$C$13:$Y$13, 0))</f>
        <v>1</v>
      </c>
      <c r="AF100" s="103">
        <f>IFERROR(IF(OR(AH100="",AG100=""),"",AH100-AG100),"")</f>
        <v>46075</v>
      </c>
      <c r="AG100" s="127">
        <f>INDEX('Work Package Master List'!$C$12:$Y$1000, MATCH($E100, 'Work Package Master List'!$B$12:$B$1000, 0), MATCH(AF$11, 'Work Package Master List'!$C$13:$Y$13, 0))</f>
        <v>2</v>
      </c>
      <c r="AH100" s="103">
        <f>IFERROR(IF(OR(AJ100="",AI100=""),"",AJ100-AI100),"")</f>
        <v>46077</v>
      </c>
      <c r="AI100" s="127">
        <f>INDEX('Work Package Master List'!$C$12:$Y$1000, MATCH($E100, 'Work Package Master List'!$B$12:$B$1000, 0), MATCH(AH$11, 'Work Package Master List'!$C$13:$Y$13, 0))</f>
        <v>2</v>
      </c>
      <c r="AJ100" s="103">
        <f>IFERROR(IF(OR(AM100="",AK100=""),"",AM100-AK100),"")</f>
        <v>46079</v>
      </c>
      <c r="AK100" s="127">
        <f>INDEX('Work Package Master List'!$C$12:$Y$1000, MATCH($E100, 'Work Package Master List'!$B$12:$B$1000, 0), MATCH(AJ$11, 'Work Package Master List'!$C$13:$Y$13, 0))</f>
        <v>5</v>
      </c>
      <c r="AL100" s="179">
        <v>16858</v>
      </c>
      <c r="AM100" s="103">
        <v>46084</v>
      </c>
      <c r="AN100" s="190">
        <f t="shared" ref="AN100" si="40">IF(MAX($H100,$AM101,$AJ101,$AH101,$AF101,$AD101,$AB101,$Z101,$X101,$V101,$T101,$R101,$P101,$N101,$L101,$J101) = 0,"",MAX($H100,$AM101,$AJ101,$AH101,$AF101,$AD101,$AB101,$Z101,$X101,$V101,$T101,$R101,$P101,$N101,$L101,$J101))</f>
        <v>46251</v>
      </c>
      <c r="AO100" s="179" t="str">
        <f>_xlfn.IFNA(INDEX($J$7:$AM$7,_xlfn.XMATCH(MAX($AM101,$AJ101,$AH101,$AF101,$AD101,$AB101,$Z101,$X101,$V101,$T101,$R101,$P101,$N101,$L101,$J101),$J101:$AM101,0,-1)),"Awaiting DTP")</f>
        <v>Awarded</v>
      </c>
      <c r="AP100" s="203" t="s">
        <v>236</v>
      </c>
      <c r="AR100" s="16">
        <f t="shared" si="25"/>
        <v>53</v>
      </c>
      <c r="AU100" s="16" t="s">
        <v>236</v>
      </c>
    </row>
    <row r="101" spans="2:47" x14ac:dyDescent="0.25">
      <c r="B101" s="180"/>
      <c r="C101" s="180"/>
      <c r="D101" s="187"/>
      <c r="E101" s="180"/>
      <c r="F101" s="180"/>
      <c r="G101" s="180"/>
      <c r="H101" s="189"/>
      <c r="I101" s="105" t="s">
        <v>168</v>
      </c>
      <c r="J101" s="111">
        <v>46048</v>
      </c>
      <c r="K101" s="105"/>
      <c r="L101" s="111">
        <v>46049</v>
      </c>
      <c r="M101" s="105"/>
      <c r="N101" s="111">
        <v>46049</v>
      </c>
      <c r="O101" s="105"/>
      <c r="P101" s="111">
        <v>46049</v>
      </c>
      <c r="Q101" s="105"/>
      <c r="R101" s="111"/>
      <c r="S101" s="105"/>
      <c r="T101" s="111"/>
      <c r="U101" s="105"/>
      <c r="V101" s="111">
        <v>46122</v>
      </c>
      <c r="W101" s="105"/>
      <c r="X101" s="111">
        <v>46127</v>
      </c>
      <c r="Y101" s="105"/>
      <c r="Z101" s="111">
        <v>46162</v>
      </c>
      <c r="AA101" s="105"/>
      <c r="AB101" s="111">
        <v>46163</v>
      </c>
      <c r="AC101" s="105"/>
      <c r="AD101" s="111">
        <v>46183</v>
      </c>
      <c r="AE101" s="105"/>
      <c r="AF101" s="111">
        <v>46202</v>
      </c>
      <c r="AG101" s="105"/>
      <c r="AH101" s="111">
        <v>46203</v>
      </c>
      <c r="AI101" s="105"/>
      <c r="AJ101" s="111">
        <v>46221</v>
      </c>
      <c r="AK101" s="105"/>
      <c r="AL101" s="180"/>
      <c r="AM101" s="111">
        <v>46251</v>
      </c>
      <c r="AN101" s="191"/>
      <c r="AO101" s="180"/>
      <c r="AP101" s="204"/>
      <c r="AR101" s="16">
        <f t="shared" si="25"/>
        <v>0</v>
      </c>
    </row>
    <row r="102" spans="2:47" x14ac:dyDescent="0.25">
      <c r="B102" s="179">
        <v>64</v>
      </c>
      <c r="C102" s="179" t="s">
        <v>44</v>
      </c>
      <c r="D102" s="186" t="s">
        <v>91</v>
      </c>
      <c r="E102" s="179" t="s">
        <v>237</v>
      </c>
      <c r="F102" s="179" t="str">
        <f>_xlfn.XLOOKUP($B102,'Procurement Strategy'!$B$12:$B$995,'Procurement Strategy'!$P$12:$P$995,"-",0)</f>
        <v/>
      </c>
      <c r="G102" s="179" t="s">
        <v>176</v>
      </c>
      <c r="H102" s="188">
        <v>46022</v>
      </c>
      <c r="I102" s="126" t="s">
        <v>166</v>
      </c>
      <c r="J102" s="103">
        <f>IFERROR(IF(OR(L102="",K102=""),"",L102-K102),"")</f>
        <v>46028</v>
      </c>
      <c r="K102" s="127">
        <f>INDEX('Work Package Master List'!$C$12:$Y$1000, MATCH($E102, 'Work Package Master List'!$B$12:$B$1000, 0), MATCH(J$11, 'Work Package Master List'!$C$13:$Y$13, 0))</f>
        <v>2</v>
      </c>
      <c r="L102" s="103">
        <f>IFERROR(IF(OR(N102="",M102=""),"",N102-M102),"")</f>
        <v>46030</v>
      </c>
      <c r="M102" s="127">
        <f>INDEX('Work Package Master List'!$C$12:$Y$1000, MATCH($E102, 'Work Package Master List'!$B$12:$B$1000, 0), MATCH(L$11, 'Work Package Master List'!$C$13:$Y$13, 0))</f>
        <v>1</v>
      </c>
      <c r="N102" s="103">
        <f>IFERROR(IF(OR(P102="",O102=""),"",P102-O102),"")</f>
        <v>46031</v>
      </c>
      <c r="O102" s="127">
        <f>INDEX('Work Package Master List'!$C$12:$Y$1000, MATCH($E102, 'Work Package Master List'!$B$12:$B$1000, 0), MATCH(N$11, 'Work Package Master List'!$C$13:$Y$13, 0))</f>
        <v>0</v>
      </c>
      <c r="P102" s="103">
        <f>IFERROR(IF(OR(R102="",Q102=""),"",R102-Q102),"")</f>
        <v>46031</v>
      </c>
      <c r="Q102" s="127">
        <f>INDEX('Work Package Master List'!$C$12:$Y$1000, MATCH($E102, 'Work Package Master List'!$B$12:$B$1000, 0), MATCH(P$11, 'Work Package Master List'!$C$13:$Y$13, 0))</f>
        <v>10</v>
      </c>
      <c r="R102" s="103">
        <f>IFERROR(IF(OR(T102="",S102=""),"",T102-S102),"")</f>
        <v>46041</v>
      </c>
      <c r="S102" s="127">
        <f>INDEX('Work Package Master List'!$C$12:$Y$1000, MATCH($E102, 'Work Package Master List'!$B$12:$B$1000, 0), MATCH(R$11, 'Work Package Master List'!$C$13:$Y$13, 0))</f>
        <v>5</v>
      </c>
      <c r="T102" s="103">
        <f>IFERROR(IF(OR(V102="",U102=""),"",V102-U102),"")</f>
        <v>46046</v>
      </c>
      <c r="U102" s="127">
        <f>INDEX('Work Package Master List'!$C$12:$Y$1000, MATCH($E102, 'Work Package Master List'!$B$12:$B$1000, 0), MATCH(T$11, 'Work Package Master List'!$C$13:$Y$13, 0))</f>
        <v>1</v>
      </c>
      <c r="V102" s="103">
        <f>IFERROR(IF(OR(X102="",W102=""),"",X102-W102),"")</f>
        <v>46047</v>
      </c>
      <c r="W102" s="127">
        <f>INDEX('Work Package Master List'!$C$12:$Y$1000, MATCH($E102, 'Work Package Master List'!$B$12:$B$1000, 0), MATCH(V$11, 'Work Package Master List'!$C$13:$Y$13, 0))</f>
        <v>3</v>
      </c>
      <c r="X102" s="103">
        <f>IFERROR(IF(OR(Z102="",Y102=""),"",Z102-Y102),"")</f>
        <v>46050</v>
      </c>
      <c r="Y102" s="127">
        <f>INDEX('Work Package Master List'!$C$12:$Y$1000, MATCH($E102, 'Work Package Master List'!$B$12:$B$1000, 0), MATCH(X$11, 'Work Package Master List'!$C$13:$Y$13, 0))</f>
        <v>2</v>
      </c>
      <c r="Z102" s="103">
        <f>IFERROR(IF(OR(AB102="",AA102=""),"",AB102-AA102),"")</f>
        <v>46052</v>
      </c>
      <c r="AA102" s="127">
        <f>INDEX('Work Package Master List'!$C$12:$Y$1000, MATCH($E102, 'Work Package Master List'!$B$12:$B$1000, 0), MATCH(Z$11, 'Work Package Master List'!$C$13:$Y$13, 0))</f>
        <v>3</v>
      </c>
      <c r="AB102" s="103">
        <f>IFERROR(IF(OR(AD102="",AC102=""),"",AD102-AC102),"")</f>
        <v>46055</v>
      </c>
      <c r="AC102" s="127">
        <f>INDEX('Work Package Master List'!$C$12:$Y$1000, MATCH($E102, 'Work Package Master List'!$B$12:$B$1000, 0), MATCH(AB$11, 'Work Package Master List'!$C$13:$Y$13, 0))</f>
        <v>3</v>
      </c>
      <c r="AD102" s="103">
        <f>IFERROR(IF(OR(AF102="",AE102=""),"",AF102-AE102),"")</f>
        <v>46058</v>
      </c>
      <c r="AE102" s="127">
        <f>INDEX('Work Package Master List'!$C$12:$Y$1000, MATCH($E102, 'Work Package Master List'!$B$12:$B$1000, 0), MATCH(AD$11, 'Work Package Master List'!$C$13:$Y$13, 0))</f>
        <v>1</v>
      </c>
      <c r="AF102" s="103">
        <f>IFERROR(IF(OR(AH102="",AG102=""),"",AH102-AG102),"")</f>
        <v>46059</v>
      </c>
      <c r="AG102" s="127">
        <f>INDEX('Work Package Master List'!$C$12:$Y$1000, MATCH($E102, 'Work Package Master List'!$B$12:$B$1000, 0), MATCH(AF$11, 'Work Package Master List'!$C$13:$Y$13, 0))</f>
        <v>2</v>
      </c>
      <c r="AH102" s="103">
        <f>IFERROR(IF(OR(AJ102="",AI102=""),"",AJ102-AI102),"")</f>
        <v>46061</v>
      </c>
      <c r="AI102" s="127">
        <f>INDEX('Work Package Master List'!$C$12:$Y$1000, MATCH($E102, 'Work Package Master List'!$B$12:$B$1000, 0), MATCH(AH$11, 'Work Package Master List'!$C$13:$Y$13, 0))</f>
        <v>2</v>
      </c>
      <c r="AJ102" s="103">
        <f>IFERROR(IF(OR(AM102="",AK102=""),"",AM102-AK102),"")</f>
        <v>46063</v>
      </c>
      <c r="AK102" s="127">
        <f>INDEX('Work Package Master List'!$C$12:$Y$1000, MATCH($E102, 'Work Package Master List'!$B$12:$B$1000, 0), MATCH(AJ$11, 'Work Package Master List'!$C$13:$Y$13, 0))</f>
        <v>5</v>
      </c>
      <c r="AL102" s="179">
        <v>15004</v>
      </c>
      <c r="AM102" s="103">
        <v>46068</v>
      </c>
      <c r="AN102" s="190">
        <f t="shared" ref="AN102" si="41">IF(MAX($H102,$AM103,$AJ103,$AH103,$AF103,$AD103,$AB103,$Z103,$X103,$V103,$T103,$R103,$P103,$N103,$L103,$J103) = 0,"",MAX($H102,$AM103,$AJ103,$AH103,$AF103,$AD103,$AB103,$Z103,$X103,$V103,$T103,$R103,$P103,$N103,$L103,$J103))</f>
        <v>46114</v>
      </c>
      <c r="AO102" s="179" t="str">
        <f>_xlfn.IFNA(INDEX($J$7:$AM$7,_xlfn.XMATCH(MAX($AM103,$AJ103,$AH103,$AF103,$AD103,$AB103,$Z103,$X103,$V103,$T103,$R103,$P103,$N103,$L103,$J103),$J103:$AM103,0,-1)),"Awaiting DTP")</f>
        <v>Awarded</v>
      </c>
      <c r="AP102" s="203" t="s">
        <v>238</v>
      </c>
      <c r="AR102" s="16">
        <f t="shared" si="25"/>
        <v>40</v>
      </c>
      <c r="AU102" s="16" t="s">
        <v>238</v>
      </c>
    </row>
    <row r="103" spans="2:47" x14ac:dyDescent="0.25">
      <c r="B103" s="180"/>
      <c r="C103" s="180"/>
      <c r="D103" s="187"/>
      <c r="E103" s="180"/>
      <c r="F103" s="180"/>
      <c r="G103" s="180"/>
      <c r="H103" s="189"/>
      <c r="I103" s="105" t="s">
        <v>168</v>
      </c>
      <c r="J103" s="111">
        <v>46050</v>
      </c>
      <c r="K103" s="105"/>
      <c r="L103" s="111">
        <v>46052</v>
      </c>
      <c r="M103" s="105"/>
      <c r="N103" s="111">
        <v>46052</v>
      </c>
      <c r="O103" s="105"/>
      <c r="P103" s="111">
        <v>46052</v>
      </c>
      <c r="Q103" s="105"/>
      <c r="R103" s="111"/>
      <c r="S103" s="105"/>
      <c r="T103" s="111"/>
      <c r="U103" s="105"/>
      <c r="V103" s="111"/>
      <c r="W103" s="105"/>
      <c r="X103" s="111"/>
      <c r="Y103" s="105"/>
      <c r="Z103" s="111"/>
      <c r="AA103" s="105"/>
      <c r="AB103" s="111"/>
      <c r="AC103" s="105"/>
      <c r="AD103" s="111"/>
      <c r="AE103" s="105"/>
      <c r="AF103" s="111"/>
      <c r="AG103" s="105"/>
      <c r="AH103" s="111"/>
      <c r="AI103" s="105"/>
      <c r="AJ103" s="111"/>
      <c r="AK103" s="105"/>
      <c r="AL103" s="180"/>
      <c r="AM103" s="111">
        <v>46114</v>
      </c>
      <c r="AN103" s="191"/>
      <c r="AO103" s="180"/>
      <c r="AP103" s="204"/>
      <c r="AR103" s="16">
        <f t="shared" si="25"/>
        <v>0</v>
      </c>
    </row>
    <row r="104" spans="2:47" x14ac:dyDescent="0.25">
      <c r="B104" s="179">
        <v>65</v>
      </c>
      <c r="C104" s="179" t="s">
        <v>44</v>
      </c>
      <c r="D104" s="186" t="s">
        <v>92</v>
      </c>
      <c r="E104" s="179" t="s">
        <v>239</v>
      </c>
      <c r="F104" s="179" t="str">
        <f>_xlfn.XLOOKUP($B104,'Procurement Strategy'!$B$12:$B$990,'Procurement Strategy'!$P$12:$P$990,"-",0)</f>
        <v/>
      </c>
      <c r="G104" s="179" t="s">
        <v>210</v>
      </c>
      <c r="H104" s="188">
        <v>46022</v>
      </c>
      <c r="I104" s="126" t="s">
        <v>166</v>
      </c>
      <c r="J104" s="103">
        <f>IFERROR(IF(OR(L104="",K104=""),"",L104-K104),"")</f>
        <v>46013</v>
      </c>
      <c r="K104" s="127">
        <f>INDEX('Work Package Master List'!$C$12:$Y$1000, MATCH($E104, 'Work Package Master List'!$B$12:$B$1000, 0), MATCH(J$11, 'Work Package Master List'!$C$13:$Y$13, 0))</f>
        <v>2</v>
      </c>
      <c r="L104" s="103">
        <f>IFERROR(IF(OR(N104="",M104=""),"",N104-M104),"")</f>
        <v>46015</v>
      </c>
      <c r="M104" s="127">
        <f>INDEX('Work Package Master List'!$C$12:$Y$1000, MATCH($E104, 'Work Package Master List'!$B$12:$B$1000, 0), MATCH(L$11, 'Work Package Master List'!$C$13:$Y$13, 0))</f>
        <v>1</v>
      </c>
      <c r="N104" s="103">
        <f>IFERROR(IF(OR(P104="",O104=""),"",P104-O104),"")</f>
        <v>46016</v>
      </c>
      <c r="O104" s="127">
        <f>INDEX('Work Package Master List'!$C$12:$Y$1000, MATCH($E104, 'Work Package Master List'!$B$12:$B$1000, 0), MATCH(N$11, 'Work Package Master List'!$C$13:$Y$13, 0))</f>
        <v>0</v>
      </c>
      <c r="P104" s="103">
        <f>IFERROR(IF(OR(R104="",Q104=""),"",R104-Q104),"")</f>
        <v>46016</v>
      </c>
      <c r="Q104" s="127">
        <f>INDEX('Work Package Master List'!$C$12:$Y$1000, MATCH($E104, 'Work Package Master List'!$B$12:$B$1000, 0), MATCH(P$11, 'Work Package Master List'!$C$13:$Y$13, 0))</f>
        <v>5</v>
      </c>
      <c r="R104" s="103">
        <f>IFERROR(IF(OR(T104="",S104=""),"",T104-S104),"")</f>
        <v>46021</v>
      </c>
      <c r="S104" s="127">
        <f>INDEX('Work Package Master List'!$C$12:$Y$1000, MATCH($E104, 'Work Package Master List'!$B$12:$B$1000, 0), MATCH(R$11, 'Work Package Master List'!$C$13:$Y$13, 0))</f>
        <v>5</v>
      </c>
      <c r="T104" s="103">
        <f>IFERROR(IF(OR(V104="",U104=""),"",V104-U104),"")</f>
        <v>46026</v>
      </c>
      <c r="U104" s="127">
        <f>INDEX('Work Package Master List'!$C$12:$Y$1000, MATCH($E104, 'Work Package Master List'!$B$12:$B$1000, 0), MATCH(T$11, 'Work Package Master List'!$C$13:$Y$13, 0))</f>
        <v>1</v>
      </c>
      <c r="V104" s="103">
        <f>IFERROR(IF(OR(X104="",W104=""),"",X104-W104),"")</f>
        <v>46027</v>
      </c>
      <c r="W104" s="127">
        <f>INDEX('Work Package Master List'!$C$12:$Y$1000, MATCH($E104, 'Work Package Master List'!$B$12:$B$1000, 0), MATCH(V$11, 'Work Package Master List'!$C$13:$Y$13, 0))</f>
        <v>3</v>
      </c>
      <c r="X104" s="103">
        <f>IFERROR(IF(OR(Z104="",Y104=""),"",Z104-Y104),"")</f>
        <v>46030</v>
      </c>
      <c r="Y104" s="127">
        <f>INDEX('Work Package Master List'!$C$12:$Y$1000, MATCH($E104, 'Work Package Master List'!$B$12:$B$1000, 0), MATCH(X$11, 'Work Package Master List'!$C$13:$Y$13, 0))</f>
        <v>2</v>
      </c>
      <c r="Z104" s="103">
        <f>IFERROR(IF(OR(AB104="",AA104=""),"",AB104-AA104),"")</f>
        <v>46032</v>
      </c>
      <c r="AA104" s="127">
        <f>INDEX('Work Package Master List'!$C$12:$Y$1000, MATCH($E104, 'Work Package Master List'!$B$12:$B$1000, 0), MATCH(Z$11, 'Work Package Master List'!$C$13:$Y$13, 0))</f>
        <v>7</v>
      </c>
      <c r="AB104" s="103">
        <f>IFERROR(IF(OR(AD104="",AC104=""),"",AD104-AC104),"")</f>
        <v>46039</v>
      </c>
      <c r="AC104" s="127">
        <f>INDEX('Work Package Master List'!$C$12:$Y$1000, MATCH($E104, 'Work Package Master List'!$B$12:$B$1000, 0), MATCH(AB$11, 'Work Package Master List'!$C$13:$Y$13, 0))</f>
        <v>3</v>
      </c>
      <c r="AD104" s="103">
        <f>IFERROR(IF(OR(AF104="",AE104=""),"",AF104-AE104),"")</f>
        <v>46042</v>
      </c>
      <c r="AE104" s="127">
        <f>INDEX('Work Package Master List'!$C$12:$Y$1000, MATCH($E104, 'Work Package Master List'!$B$12:$B$1000, 0), MATCH(AD$11, 'Work Package Master List'!$C$13:$Y$13, 0))</f>
        <v>1</v>
      </c>
      <c r="AF104" s="103">
        <f>IFERROR(IF(OR(AH104="",AG104=""),"",AH104-AG104),"")</f>
        <v>46043</v>
      </c>
      <c r="AG104" s="127">
        <f>INDEX('Work Package Master List'!$C$12:$Y$1000, MATCH($E104, 'Work Package Master List'!$B$12:$B$1000, 0), MATCH(AF$11, 'Work Package Master List'!$C$13:$Y$13, 0))</f>
        <v>2</v>
      </c>
      <c r="AH104" s="103">
        <f>IFERROR(IF(OR(AJ104="",AI104=""),"",AJ104-AI104),"")</f>
        <v>46045</v>
      </c>
      <c r="AI104" s="127">
        <f>INDEX('Work Package Master List'!$C$12:$Y$1000, MATCH($E104, 'Work Package Master List'!$B$12:$B$1000, 0), MATCH(AH$11, 'Work Package Master List'!$C$13:$Y$13, 0))</f>
        <v>2</v>
      </c>
      <c r="AJ104" s="103">
        <f>IFERROR(IF(OR(AM104="",AK104=""),"",AM104-AK104),"")</f>
        <v>46047</v>
      </c>
      <c r="AK104" s="127">
        <f>INDEX('Work Package Master List'!$C$12:$Y$1000, MATCH($E104, 'Work Package Master List'!$B$12:$B$1000, 0), MATCH(AJ$11, 'Work Package Master List'!$C$13:$Y$13, 0))</f>
        <v>5</v>
      </c>
      <c r="AL104" s="179"/>
      <c r="AM104" s="103">
        <v>46052</v>
      </c>
      <c r="AN104" s="190">
        <f t="shared" ref="AN104" si="42">IF(MAX($H104,$AM105,$AJ105,$AH105,$AF105,$AD105,$AB105,$Z105,$X105,$V105,$T105,$R105,$P105,$N105,$L105,$J105) = 0,"",MAX($H104,$AM105,$AJ105,$AH105,$AF105,$AD105,$AB105,$Z105,$X105,$V105,$T105,$R105,$P105,$N105,$L105,$J105))</f>
        <v>46101</v>
      </c>
      <c r="AO104" s="179" t="str">
        <f>_xlfn.IFNA(INDEX($J$7:$AM$7,_xlfn.XMATCH(MAX($AM105,$AJ105,$AH105,$AF105,$AD105,$AB105,$Z105,$X105,$V105,$T105,$R105,$P105,$N105,$L105,$J105),$J105:$AM105,0,-1)),"Awaiting DTP")</f>
        <v>Commercial Review</v>
      </c>
      <c r="AP104" s="205" t="s">
        <v>240</v>
      </c>
      <c r="AR104" s="16">
        <f t="shared" si="25"/>
        <v>39</v>
      </c>
      <c r="AU104" s="16" t="s">
        <v>240</v>
      </c>
    </row>
    <row r="105" spans="2:47" x14ac:dyDescent="0.25">
      <c r="B105" s="180"/>
      <c r="C105" s="180"/>
      <c r="D105" s="187"/>
      <c r="E105" s="180"/>
      <c r="F105" s="180"/>
      <c r="G105" s="180"/>
      <c r="H105" s="189"/>
      <c r="I105" s="105" t="s">
        <v>168</v>
      </c>
      <c r="J105" s="111">
        <v>45686</v>
      </c>
      <c r="K105" s="105"/>
      <c r="L105" s="111">
        <v>45686</v>
      </c>
      <c r="M105" s="105"/>
      <c r="N105" s="111">
        <v>45686</v>
      </c>
      <c r="O105" s="105"/>
      <c r="P105" s="111">
        <v>45687</v>
      </c>
      <c r="Q105" s="105"/>
      <c r="R105" s="111">
        <v>45687</v>
      </c>
      <c r="S105" s="105"/>
      <c r="T105" s="111">
        <v>45687</v>
      </c>
      <c r="U105" s="105"/>
      <c r="V105" s="111">
        <v>46086</v>
      </c>
      <c r="W105" s="105"/>
      <c r="X105" s="111">
        <v>46101</v>
      </c>
      <c r="Y105" s="105"/>
      <c r="Z105" s="111"/>
      <c r="AA105" s="105"/>
      <c r="AB105" s="111"/>
      <c r="AC105" s="105"/>
      <c r="AD105" s="111"/>
      <c r="AE105" s="105"/>
      <c r="AF105" s="111"/>
      <c r="AG105" s="105"/>
      <c r="AH105" s="111"/>
      <c r="AI105" s="105"/>
      <c r="AJ105" s="111"/>
      <c r="AK105" s="105"/>
      <c r="AL105" s="180"/>
      <c r="AM105" s="111"/>
      <c r="AN105" s="191"/>
      <c r="AO105" s="180"/>
      <c r="AP105" s="206"/>
      <c r="AR105" s="16">
        <f t="shared" si="25"/>
        <v>0</v>
      </c>
    </row>
    <row r="106" spans="2:47" x14ac:dyDescent="0.25">
      <c r="B106" s="179">
        <v>66</v>
      </c>
      <c r="C106" s="179" t="s">
        <v>44</v>
      </c>
      <c r="D106" s="186" t="s">
        <v>93</v>
      </c>
      <c r="E106" s="179" t="s">
        <v>241</v>
      </c>
      <c r="F106" s="179" t="str">
        <f>_xlfn.XLOOKUP($B106,'Procurement Strategy'!$B$12:$B$982,'Procurement Strategy'!$P$12:$P$982,"-",0)</f>
        <v/>
      </c>
      <c r="G106" s="179" t="s">
        <v>210</v>
      </c>
      <c r="H106" s="188">
        <v>46022</v>
      </c>
      <c r="I106" s="126" t="s">
        <v>166</v>
      </c>
      <c r="J106" s="103">
        <f>IFERROR(IF(OR(L106="",K106=""),"",L106-K106),"")</f>
        <v>46023</v>
      </c>
      <c r="K106" s="127">
        <f>INDEX('Work Package Master List'!$C$12:$Y$1000, MATCH($E106, 'Work Package Master List'!$B$12:$B$1000, 0), MATCH(J$11, 'Work Package Master List'!$C$13:$Y$13, 0))</f>
        <v>2</v>
      </c>
      <c r="L106" s="103">
        <f>IFERROR(IF(OR(N106="",M106=""),"",N106-M106),"")</f>
        <v>46025</v>
      </c>
      <c r="M106" s="127">
        <f>INDEX('Work Package Master List'!$C$12:$Y$1000, MATCH($E106, 'Work Package Master List'!$B$12:$B$1000, 0), MATCH(L$11, 'Work Package Master List'!$C$13:$Y$13, 0))</f>
        <v>1</v>
      </c>
      <c r="N106" s="103">
        <f>IFERROR(IF(OR(P106="",O106=""),"",P106-O106),"")</f>
        <v>46026</v>
      </c>
      <c r="O106" s="127">
        <f>INDEX('Work Package Master List'!$C$12:$Y$1000, MATCH($E106, 'Work Package Master List'!$B$12:$B$1000, 0), MATCH(N$11, 'Work Package Master List'!$C$13:$Y$13, 0))</f>
        <v>0</v>
      </c>
      <c r="P106" s="103">
        <f>IFERROR(IF(OR(R106="",Q106=""),"",R106-Q106),"")</f>
        <v>46026</v>
      </c>
      <c r="Q106" s="127">
        <f>INDEX('Work Package Master List'!$C$12:$Y$1000, MATCH($E106, 'Work Package Master List'!$B$12:$B$1000, 0), MATCH(P$11, 'Work Package Master List'!$C$13:$Y$13, 0))</f>
        <v>5</v>
      </c>
      <c r="R106" s="103">
        <f>IFERROR(IF(OR(T106="",S106=""),"",T106-S106),"")</f>
        <v>46031</v>
      </c>
      <c r="S106" s="127">
        <f>INDEX('Work Package Master List'!$C$12:$Y$1000, MATCH($E106, 'Work Package Master List'!$B$12:$B$1000, 0), MATCH(R$11, 'Work Package Master List'!$C$13:$Y$13, 0))</f>
        <v>5</v>
      </c>
      <c r="T106" s="103">
        <f>IFERROR(IF(OR(V106="",U106=""),"",V106-U106),"")</f>
        <v>46036</v>
      </c>
      <c r="U106" s="127">
        <f>INDEX('Work Package Master List'!$C$12:$Y$1000, MATCH($E106, 'Work Package Master List'!$B$12:$B$1000, 0), MATCH(T$11, 'Work Package Master List'!$C$13:$Y$13, 0))</f>
        <v>5</v>
      </c>
      <c r="V106" s="103">
        <f>IFERROR(IF(OR(X106="",W106=""),"",X106-W106),"")</f>
        <v>46041</v>
      </c>
      <c r="W106" s="127">
        <f>INDEX('Work Package Master List'!$C$12:$Y$1000, MATCH($E106, 'Work Package Master List'!$B$12:$B$1000, 0), MATCH(V$11, 'Work Package Master List'!$C$13:$Y$13, 0))</f>
        <v>3</v>
      </c>
      <c r="X106" s="103">
        <f>IFERROR(IF(OR(Z106="",Y106=""),"",Z106-Y106),"")</f>
        <v>46044</v>
      </c>
      <c r="Y106" s="127">
        <f>INDEX('Work Package Master List'!$C$12:$Y$1000, MATCH($E106, 'Work Package Master List'!$B$12:$B$1000, 0), MATCH(X$11, 'Work Package Master List'!$C$13:$Y$13, 0))</f>
        <v>2</v>
      </c>
      <c r="Z106" s="103">
        <f>IFERROR(IF(OR(AB106="",AA106=""),"",AB106-AA106),"")</f>
        <v>46046</v>
      </c>
      <c r="AA106" s="127">
        <f>INDEX('Work Package Master List'!$C$12:$Y$1000, MATCH($E106, 'Work Package Master List'!$B$12:$B$1000, 0), MATCH(Z$11, 'Work Package Master List'!$C$13:$Y$13, 0))</f>
        <v>7</v>
      </c>
      <c r="AB106" s="103">
        <f>IFERROR(IF(OR(AD106="",AC106=""),"",AD106-AC106),"")</f>
        <v>46053</v>
      </c>
      <c r="AC106" s="127">
        <f>INDEX('Work Package Master List'!$C$12:$Y$1000, MATCH($E106, 'Work Package Master List'!$B$12:$B$1000, 0), MATCH(AB$11, 'Work Package Master List'!$C$13:$Y$13, 0))</f>
        <v>5</v>
      </c>
      <c r="AD106" s="103">
        <f>IFERROR(IF(OR(AF106="",AE106=""),"",AF106-AE106),"")</f>
        <v>46058</v>
      </c>
      <c r="AE106" s="127">
        <f>INDEX('Work Package Master List'!$C$12:$Y$1000, MATCH($E106, 'Work Package Master List'!$B$12:$B$1000, 0), MATCH(AD$11, 'Work Package Master List'!$C$13:$Y$13, 0))</f>
        <v>1</v>
      </c>
      <c r="AF106" s="103">
        <f>IFERROR(IF(OR(AH106="",AG106=""),"",AH106-AG106),"")</f>
        <v>46059</v>
      </c>
      <c r="AG106" s="127">
        <f>INDEX('Work Package Master List'!$C$12:$Y$1000, MATCH($E106, 'Work Package Master List'!$B$12:$B$1000, 0), MATCH(AF$11, 'Work Package Master List'!$C$13:$Y$13, 0))</f>
        <v>2</v>
      </c>
      <c r="AH106" s="103">
        <f>IFERROR(IF(OR(AJ106="",AI106=""),"",AJ106-AI106),"")</f>
        <v>46061</v>
      </c>
      <c r="AI106" s="127">
        <f>INDEX('Work Package Master List'!$C$12:$Y$1000, MATCH($E106, 'Work Package Master List'!$B$12:$B$1000, 0), MATCH(AH$11, 'Work Package Master List'!$C$13:$Y$13, 0))</f>
        <v>2</v>
      </c>
      <c r="AJ106" s="103">
        <f>IFERROR(IF(OR(AM106="",AK106=""),"",AM106-AK106),"")</f>
        <v>46063</v>
      </c>
      <c r="AK106" s="127">
        <f>INDEX('Work Package Master List'!$C$12:$Y$1000, MATCH($E106, 'Work Package Master List'!$B$12:$B$1000, 0), MATCH(AJ$11, 'Work Package Master List'!$C$13:$Y$13, 0))</f>
        <v>5</v>
      </c>
      <c r="AL106" s="179"/>
      <c r="AM106" s="103">
        <v>46068</v>
      </c>
      <c r="AN106" s="190">
        <f t="shared" ref="AN106" si="43">IF(MAX($H106,$AM107,$AJ107,$AH107,$AF107,$AD107,$AB107,$Z107,$X107,$V107,$T107,$R107,$P107,$N107,$L107,$J107) = 0,"",MAX($H106,$AM107,$AJ107,$AH107,$AF107,$AD107,$AB107,$Z107,$X107,$V107,$T107,$R107,$P107,$N107,$L107,$J107))</f>
        <v>46291</v>
      </c>
      <c r="AO106" s="179" t="str">
        <f>_xlfn.IFNA(INDEX($J$7:$AM$7,_xlfn.XMATCH(MAX($AM107,$AJ107,$AH107,$AF107,$AD107,$AB107,$Z107,$X107,$V107,$T107,$R107,$P107,$N107,$L107,$J107),$J107:$AM107,0,-1)),"Awaiting DTP")</f>
        <v>PTC Stage</v>
      </c>
      <c r="AP106" s="205" t="s">
        <v>1335</v>
      </c>
      <c r="AR106" s="16">
        <f t="shared" si="25"/>
        <v>45</v>
      </c>
      <c r="AU106" s="16" t="s">
        <v>1335</v>
      </c>
    </row>
    <row r="107" spans="2:47" x14ac:dyDescent="0.25">
      <c r="B107" s="180"/>
      <c r="C107" s="180"/>
      <c r="D107" s="187"/>
      <c r="E107" s="180"/>
      <c r="F107" s="180"/>
      <c r="G107" s="180"/>
      <c r="H107" s="189"/>
      <c r="I107" s="105" t="s">
        <v>168</v>
      </c>
      <c r="J107" s="111">
        <v>46070</v>
      </c>
      <c r="K107" s="105"/>
      <c r="L107" s="111">
        <v>46073</v>
      </c>
      <c r="M107" s="105"/>
      <c r="N107" s="111">
        <v>46073</v>
      </c>
      <c r="O107" s="105"/>
      <c r="P107" s="111">
        <v>46075</v>
      </c>
      <c r="Q107" s="105"/>
      <c r="R107" s="111"/>
      <c r="S107" s="105"/>
      <c r="T107" s="111"/>
      <c r="U107" s="105"/>
      <c r="V107" s="111">
        <v>46289</v>
      </c>
      <c r="W107" s="105"/>
      <c r="X107" s="111">
        <v>46289</v>
      </c>
      <c r="Y107" s="105"/>
      <c r="Z107" s="111">
        <v>46291</v>
      </c>
      <c r="AA107" s="105"/>
      <c r="AB107" s="111"/>
      <c r="AC107" s="105"/>
      <c r="AD107" s="111"/>
      <c r="AE107" s="105"/>
      <c r="AF107" s="111"/>
      <c r="AG107" s="105"/>
      <c r="AH107" s="111"/>
      <c r="AI107" s="105"/>
      <c r="AJ107" s="111"/>
      <c r="AK107" s="105"/>
      <c r="AL107" s="180"/>
      <c r="AM107" s="111"/>
      <c r="AN107" s="191"/>
      <c r="AO107" s="180"/>
      <c r="AP107" s="206"/>
      <c r="AR107" s="16">
        <f t="shared" si="25"/>
        <v>0</v>
      </c>
    </row>
    <row r="108" spans="2:47" x14ac:dyDescent="0.25">
      <c r="B108" s="179">
        <v>67</v>
      </c>
      <c r="C108" s="179" t="s">
        <v>44</v>
      </c>
      <c r="D108" s="186" t="s">
        <v>94</v>
      </c>
      <c r="E108" s="179" t="s">
        <v>241</v>
      </c>
      <c r="F108" s="179" t="str">
        <f>_xlfn.XLOOKUP($B108,'Procurement Strategy'!$B$12:$B$974,'Procurement Strategy'!$P$12:$P$974,"-",0)</f>
        <v>Yes</v>
      </c>
      <c r="G108" s="179" t="s">
        <v>210</v>
      </c>
      <c r="H108" s="188">
        <v>46022</v>
      </c>
      <c r="I108" s="126" t="s">
        <v>166</v>
      </c>
      <c r="J108" s="103">
        <f>IFERROR(IF(OR(L108="",K108=""),"",L108-K108),"")</f>
        <v>46023</v>
      </c>
      <c r="K108" s="127">
        <f>INDEX('Work Package Master List'!$C$12:$Y$1000, MATCH($E108, 'Work Package Master List'!$B$12:$B$1000, 0), MATCH(J$11, 'Work Package Master List'!$C$13:$Y$13, 0))</f>
        <v>2</v>
      </c>
      <c r="L108" s="103">
        <f>IFERROR(IF(OR(N108="",M108=""),"",N108-M108),"")</f>
        <v>46025</v>
      </c>
      <c r="M108" s="127">
        <f>INDEX('Work Package Master List'!$C$12:$Y$1000, MATCH($E108, 'Work Package Master List'!$B$12:$B$1000, 0), MATCH(L$11, 'Work Package Master List'!$C$13:$Y$13, 0))</f>
        <v>1</v>
      </c>
      <c r="N108" s="103">
        <f>IFERROR(IF(OR(P108="",O108=""),"",P108-O108),"")</f>
        <v>46026</v>
      </c>
      <c r="O108" s="127">
        <f>INDEX('Work Package Master List'!$C$12:$Y$1000, MATCH($E108, 'Work Package Master List'!$B$12:$B$1000, 0), MATCH(N$11, 'Work Package Master List'!$C$13:$Y$13, 0))</f>
        <v>0</v>
      </c>
      <c r="P108" s="103">
        <f>IFERROR(IF(OR(R108="",Q108=""),"",R108-Q108),"")</f>
        <v>46026</v>
      </c>
      <c r="Q108" s="127">
        <f>INDEX('Work Package Master List'!$C$12:$Y$1000, MATCH($E108, 'Work Package Master List'!$B$12:$B$1000, 0), MATCH(P$11, 'Work Package Master List'!$C$13:$Y$13, 0))</f>
        <v>5</v>
      </c>
      <c r="R108" s="103">
        <f>IFERROR(IF(OR(T108="",S108=""),"",T108-S108),"")</f>
        <v>46031</v>
      </c>
      <c r="S108" s="127">
        <f>INDEX('Work Package Master List'!$C$12:$Y$1000, MATCH($E108, 'Work Package Master List'!$B$12:$B$1000, 0), MATCH(R$11, 'Work Package Master List'!$C$13:$Y$13, 0))</f>
        <v>5</v>
      </c>
      <c r="T108" s="103">
        <f>IFERROR(IF(OR(V108="",U108=""),"",V108-U108),"")</f>
        <v>46036</v>
      </c>
      <c r="U108" s="127">
        <f>INDEX('Work Package Master List'!$C$12:$Y$1000, MATCH($E108, 'Work Package Master List'!$B$12:$B$1000, 0), MATCH(T$11, 'Work Package Master List'!$C$13:$Y$13, 0))</f>
        <v>5</v>
      </c>
      <c r="V108" s="103">
        <f>IFERROR(IF(OR(X108="",W108=""),"",X108-W108),"")</f>
        <v>46041</v>
      </c>
      <c r="W108" s="127">
        <f>INDEX('Work Package Master List'!$C$12:$Y$1000, MATCH($E108, 'Work Package Master List'!$B$12:$B$1000, 0), MATCH(V$11, 'Work Package Master List'!$C$13:$Y$13, 0))</f>
        <v>3</v>
      </c>
      <c r="X108" s="103">
        <f>IFERROR(IF(OR(Z108="",Y108=""),"",Z108-Y108),"")</f>
        <v>46044</v>
      </c>
      <c r="Y108" s="127">
        <f>INDEX('Work Package Master List'!$C$12:$Y$1000, MATCH($E108, 'Work Package Master List'!$B$12:$B$1000, 0), MATCH(X$11, 'Work Package Master List'!$C$13:$Y$13, 0))</f>
        <v>2</v>
      </c>
      <c r="Z108" s="103">
        <f>IFERROR(IF(OR(AB108="",AA108=""),"",AB108-AA108),"")</f>
        <v>46046</v>
      </c>
      <c r="AA108" s="127">
        <f>INDEX('Work Package Master List'!$C$12:$Y$1000, MATCH($E108, 'Work Package Master List'!$B$12:$B$1000, 0), MATCH(Z$11, 'Work Package Master List'!$C$13:$Y$13, 0))</f>
        <v>7</v>
      </c>
      <c r="AB108" s="103">
        <f>IFERROR(IF(OR(AD108="",AC108=""),"",AD108-AC108),"")</f>
        <v>46053</v>
      </c>
      <c r="AC108" s="127">
        <f>INDEX('Work Package Master List'!$C$12:$Y$1000, MATCH($E108, 'Work Package Master List'!$B$12:$B$1000, 0), MATCH(AB$11, 'Work Package Master List'!$C$13:$Y$13, 0))</f>
        <v>5</v>
      </c>
      <c r="AD108" s="103">
        <f>IFERROR(IF(OR(AF108="",AE108=""),"",AF108-AE108),"")</f>
        <v>46058</v>
      </c>
      <c r="AE108" s="127">
        <f>INDEX('Work Package Master List'!$C$12:$Y$1000, MATCH($E108, 'Work Package Master List'!$B$12:$B$1000, 0), MATCH(AD$11, 'Work Package Master List'!$C$13:$Y$13, 0))</f>
        <v>1</v>
      </c>
      <c r="AF108" s="103">
        <f>IFERROR(IF(OR(AH108="",AG108=""),"",AH108-AG108),"")</f>
        <v>46059</v>
      </c>
      <c r="AG108" s="127">
        <f>INDEX('Work Package Master List'!$C$12:$Y$1000, MATCH($E108, 'Work Package Master List'!$B$12:$B$1000, 0), MATCH(AF$11, 'Work Package Master List'!$C$13:$Y$13, 0))</f>
        <v>2</v>
      </c>
      <c r="AH108" s="103">
        <f>IFERROR(IF(OR(AJ108="",AI108=""),"",AJ108-AI108),"")</f>
        <v>46061</v>
      </c>
      <c r="AI108" s="127">
        <f>INDEX('Work Package Master List'!$C$12:$Y$1000, MATCH($E108, 'Work Package Master List'!$B$12:$B$1000, 0), MATCH(AH$11, 'Work Package Master List'!$C$13:$Y$13, 0))</f>
        <v>2</v>
      </c>
      <c r="AJ108" s="103">
        <f>IFERROR(IF(OR(AM108="",AK108=""),"",AM108-AK108),"")</f>
        <v>46063</v>
      </c>
      <c r="AK108" s="127">
        <f>INDEX('Work Package Master List'!$C$12:$Y$1000, MATCH($E108, 'Work Package Master List'!$B$12:$B$1000, 0), MATCH(AJ$11, 'Work Package Master List'!$C$13:$Y$13, 0))</f>
        <v>5</v>
      </c>
      <c r="AL108" s="179"/>
      <c r="AM108" s="103">
        <v>46068</v>
      </c>
      <c r="AN108" s="190">
        <f t="shared" ref="AN108" si="44">IF(MAX($H108,$AM109,$AJ109,$AH109,$AF109,$AD109,$AB109,$Z109,$X109,$V109,$T109,$R109,$P109,$N109,$L109,$J109) = 0,"",MAX($H108,$AM109,$AJ109,$AH109,$AF109,$AD109,$AB109,$Z109,$X109,$V109,$T109,$R109,$P109,$N109,$L109,$J109))</f>
        <v>46291</v>
      </c>
      <c r="AO108" s="179" t="str">
        <f>_xlfn.IFNA(INDEX($J$7:$AM$7,_xlfn.XMATCH(MAX($AM109,$AJ109,$AH109,$AF109,$AD109,$AB109,$Z109,$X109,$V109,$T109,$R109,$P109,$N109,$L109,$J109),$J109:$AM109,0,-1)),"Awaiting DTP")</f>
        <v>PTC Stage</v>
      </c>
      <c r="AP108" s="205" t="s">
        <v>1335</v>
      </c>
      <c r="AR108" s="16">
        <f t="shared" si="25"/>
        <v>45</v>
      </c>
      <c r="AU108" s="16" t="s">
        <v>1335</v>
      </c>
    </row>
    <row r="109" spans="2:47" x14ac:dyDescent="0.25">
      <c r="B109" s="180"/>
      <c r="C109" s="180"/>
      <c r="D109" s="187"/>
      <c r="E109" s="180"/>
      <c r="F109" s="180"/>
      <c r="G109" s="180"/>
      <c r="H109" s="189"/>
      <c r="I109" s="105" t="s">
        <v>168</v>
      </c>
      <c r="J109" s="111">
        <v>46070</v>
      </c>
      <c r="K109" s="105"/>
      <c r="L109" s="111">
        <v>46073</v>
      </c>
      <c r="M109" s="105"/>
      <c r="N109" s="111">
        <v>46073</v>
      </c>
      <c r="O109" s="105"/>
      <c r="P109" s="111">
        <v>46075</v>
      </c>
      <c r="Q109" s="105"/>
      <c r="R109" s="111"/>
      <c r="S109" s="105"/>
      <c r="T109" s="111"/>
      <c r="U109" s="105"/>
      <c r="V109" s="111">
        <v>46289</v>
      </c>
      <c r="W109" s="105"/>
      <c r="X109" s="111">
        <v>46289</v>
      </c>
      <c r="Y109" s="105"/>
      <c r="Z109" s="111">
        <v>46291</v>
      </c>
      <c r="AA109" s="105"/>
      <c r="AB109" s="111"/>
      <c r="AC109" s="105"/>
      <c r="AD109" s="111"/>
      <c r="AE109" s="105"/>
      <c r="AF109" s="111"/>
      <c r="AG109" s="105"/>
      <c r="AH109" s="111"/>
      <c r="AI109" s="105"/>
      <c r="AJ109" s="111"/>
      <c r="AK109" s="105"/>
      <c r="AL109" s="180"/>
      <c r="AM109" s="111"/>
      <c r="AN109" s="191"/>
      <c r="AO109" s="180"/>
      <c r="AP109" s="206"/>
      <c r="AR109" s="16">
        <f t="shared" si="25"/>
        <v>0</v>
      </c>
    </row>
    <row r="110" spans="2:47" x14ac:dyDescent="0.25">
      <c r="B110" s="179">
        <v>68</v>
      </c>
      <c r="C110" s="179" t="s">
        <v>53</v>
      </c>
      <c r="D110" s="186" t="s">
        <v>95</v>
      </c>
      <c r="E110" s="179" t="s">
        <v>242</v>
      </c>
      <c r="F110" s="179" t="str">
        <f>_xlfn.XLOOKUP($B110,'Procurement Strategy'!$B$12:$B$973,'Procurement Strategy'!$P$12:$P$973,"-",0)</f>
        <v>Yes</v>
      </c>
      <c r="G110" s="179" t="s">
        <v>176</v>
      </c>
      <c r="H110" s="188">
        <v>46022</v>
      </c>
      <c r="I110" s="126" t="s">
        <v>166</v>
      </c>
      <c r="J110" s="103">
        <f>IFERROR(IF(OR(L110="",K110=""),"",L110-K110),"")</f>
        <v>46009</v>
      </c>
      <c r="K110" s="127">
        <f>INDEX('Work Package Master List'!$C$12:$Y$1000, MATCH($E110, 'Work Package Master List'!$B$12:$B$1000, 0), MATCH(J$11, 'Work Package Master List'!$C$13:$Y$13, 0))</f>
        <v>2</v>
      </c>
      <c r="L110" s="103">
        <f>IFERROR(IF(OR(N110="",M110=""),"",N110-M110),"")</f>
        <v>46011</v>
      </c>
      <c r="M110" s="127">
        <f>INDEX('Work Package Master List'!$C$12:$Y$1000, MATCH($E110, 'Work Package Master List'!$B$12:$B$1000, 0), MATCH(L$11, 'Work Package Master List'!$C$13:$Y$13, 0))</f>
        <v>1</v>
      </c>
      <c r="N110" s="103">
        <f>IFERROR(IF(OR(P110="",O110=""),"",P110-O110),"")</f>
        <v>46012</v>
      </c>
      <c r="O110" s="127">
        <f>INDEX('Work Package Master List'!$C$12:$Y$1000, MATCH($E110, 'Work Package Master List'!$B$12:$B$1000, 0), MATCH(N$11, 'Work Package Master List'!$C$13:$Y$13, 0))</f>
        <v>0</v>
      </c>
      <c r="P110" s="103">
        <f>IFERROR(IF(OR(R110="",Q110=""),"",R110-Q110),"")</f>
        <v>46012</v>
      </c>
      <c r="Q110" s="127">
        <f>INDEX('Work Package Master List'!$C$12:$Y$1000, MATCH($E110, 'Work Package Master List'!$B$12:$B$1000, 0), MATCH(P$11, 'Work Package Master List'!$C$13:$Y$13, 0))</f>
        <v>5</v>
      </c>
      <c r="R110" s="103">
        <f>IFERROR(IF(OR(T110="",S110=""),"",T110-S110),"")</f>
        <v>46017</v>
      </c>
      <c r="S110" s="127">
        <f>INDEX('Work Package Master List'!$C$12:$Y$1000, MATCH($E110, 'Work Package Master List'!$B$12:$B$1000, 0), MATCH(R$11, 'Work Package Master List'!$C$13:$Y$13, 0))</f>
        <v>2</v>
      </c>
      <c r="T110" s="103">
        <f>IFERROR(IF(OR(V110="",U110=""),"",V110-U110),"")</f>
        <v>46019</v>
      </c>
      <c r="U110" s="127">
        <f>INDEX('Work Package Master List'!$C$12:$Y$1000, MATCH($E110, 'Work Package Master List'!$B$12:$B$1000, 0), MATCH(T$11, 'Work Package Master List'!$C$13:$Y$13, 0))</f>
        <v>1</v>
      </c>
      <c r="V110" s="103">
        <f>IFERROR(IF(OR(X110="",W110=""),"",X110-W110),"")</f>
        <v>46020</v>
      </c>
      <c r="W110" s="127">
        <f>INDEX('Work Package Master List'!$C$12:$Y$1000, MATCH($E110, 'Work Package Master List'!$B$12:$B$1000, 0), MATCH(V$11, 'Work Package Master List'!$C$13:$Y$13, 0))</f>
        <v>3</v>
      </c>
      <c r="X110" s="103">
        <f>IFERROR(IF(OR(Z110="",Y110=""),"",Z110-Y110),"")</f>
        <v>46023</v>
      </c>
      <c r="Y110" s="127">
        <f>INDEX('Work Package Master List'!$C$12:$Y$1000, MATCH($E110, 'Work Package Master List'!$B$12:$B$1000, 0), MATCH(X$11, 'Work Package Master List'!$C$13:$Y$13, 0))</f>
        <v>2</v>
      </c>
      <c r="Z110" s="103">
        <f>IFERROR(IF(OR(AB110="",AA110=""),"",AB110-AA110),"")</f>
        <v>46025</v>
      </c>
      <c r="AA110" s="127">
        <f>INDEX('Work Package Master List'!$C$12:$Y$1000, MATCH($E110, 'Work Package Master List'!$B$12:$B$1000, 0), MATCH(Z$11, 'Work Package Master List'!$C$13:$Y$13, 0))</f>
        <v>0</v>
      </c>
      <c r="AB110" s="103">
        <f>IFERROR(IF(OR(AD110="",AC110=""),"",AD110-AC110),"")</f>
        <v>46025</v>
      </c>
      <c r="AC110" s="127">
        <f>INDEX('Work Package Master List'!$C$12:$Y$1000, MATCH($E110, 'Work Package Master List'!$B$12:$B$1000, 0), MATCH(AB$11, 'Work Package Master List'!$C$13:$Y$13, 0))</f>
        <v>2</v>
      </c>
      <c r="AD110" s="103">
        <f>IFERROR(IF(OR(AF110="",AE110=""),"",AF110-AE110),"")</f>
        <v>46027</v>
      </c>
      <c r="AE110" s="127">
        <f>INDEX('Work Package Master List'!$C$12:$Y$1000, MATCH($E110, 'Work Package Master List'!$B$12:$B$1000, 0), MATCH(AD$11, 'Work Package Master List'!$C$13:$Y$13, 0))</f>
        <v>1</v>
      </c>
      <c r="AF110" s="103">
        <f>IFERROR(IF(OR(AH110="",AG110=""),"",AH110-AG110),"")</f>
        <v>46028</v>
      </c>
      <c r="AG110" s="127">
        <f>INDEX('Work Package Master List'!$C$12:$Y$1000, MATCH($E110, 'Work Package Master List'!$B$12:$B$1000, 0), MATCH(AF$11, 'Work Package Master List'!$C$13:$Y$13, 0))</f>
        <v>2</v>
      </c>
      <c r="AH110" s="103">
        <f>IFERROR(IF(OR(AJ110="",AI110=""),"",AJ110-AI110),"")</f>
        <v>46030</v>
      </c>
      <c r="AI110" s="127">
        <f>INDEX('Work Package Master List'!$C$12:$Y$1000, MATCH($E110, 'Work Package Master List'!$B$12:$B$1000, 0), MATCH(AH$11, 'Work Package Master List'!$C$13:$Y$13, 0))</f>
        <v>2</v>
      </c>
      <c r="AJ110" s="103">
        <f>IFERROR(IF(OR(AM110="",AK110=""),"",AM110-AK110),"")</f>
        <v>46032</v>
      </c>
      <c r="AK110" s="127">
        <f>INDEX('Work Package Master List'!$C$12:$Y$1000, MATCH($E110, 'Work Package Master List'!$B$12:$B$1000, 0), MATCH(AJ$11, 'Work Package Master List'!$C$13:$Y$13, 0))</f>
        <v>5</v>
      </c>
      <c r="AL110" s="179">
        <v>15308</v>
      </c>
      <c r="AM110" s="103">
        <v>46037</v>
      </c>
      <c r="AN110" s="190">
        <f t="shared" ref="AN110" si="45">IF(MAX($H110,$AM111,$AJ111,$AH111,$AF111,$AD111,$AB111,$Z111,$X111,$V111,$T111,$R111,$P111,$N111,$L111,$J111) = 0,"",MAX($H110,$AM111,$AJ111,$AH111,$AF111,$AD111,$AB111,$Z111,$X111,$V111,$T111,$R111,$P111,$N111,$L111,$J111))</f>
        <v>46134</v>
      </c>
      <c r="AO110" s="179" t="str">
        <f>_xlfn.IFNA(INDEX($J$7:$AM$7,_xlfn.XMATCH(MAX($AM111,$AJ111,$AH111,$AF111,$AD111,$AB111,$Z111,$X111,$V111,$T111,$R111,$P111,$N111,$L111,$J111),$J111:$AM111,0,-1)),"Awaiting DTP")</f>
        <v>Awarded</v>
      </c>
      <c r="AP110" s="203" t="s">
        <v>243</v>
      </c>
      <c r="AR110" s="16">
        <f t="shared" si="25"/>
        <v>28</v>
      </c>
      <c r="AU110" s="16" t="s">
        <v>243</v>
      </c>
    </row>
    <row r="111" spans="2:47" x14ac:dyDescent="0.25">
      <c r="B111" s="180"/>
      <c r="C111" s="180"/>
      <c r="D111" s="187"/>
      <c r="E111" s="180"/>
      <c r="F111" s="180"/>
      <c r="G111" s="180"/>
      <c r="H111" s="189"/>
      <c r="I111" s="105" t="s">
        <v>168</v>
      </c>
      <c r="J111" s="111">
        <v>46041</v>
      </c>
      <c r="K111" s="105"/>
      <c r="L111" s="111">
        <v>46043</v>
      </c>
      <c r="M111" s="105"/>
      <c r="N111" s="111">
        <v>46043</v>
      </c>
      <c r="O111" s="105"/>
      <c r="P111" s="111">
        <v>46043</v>
      </c>
      <c r="Q111" s="105"/>
      <c r="R111" s="111">
        <v>46042</v>
      </c>
      <c r="S111" s="105"/>
      <c r="T111" s="111">
        <v>46042</v>
      </c>
      <c r="U111" s="105"/>
      <c r="V111" s="111">
        <v>46051</v>
      </c>
      <c r="W111" s="105"/>
      <c r="X111" s="111">
        <v>46058</v>
      </c>
      <c r="Y111" s="105"/>
      <c r="Z111" s="111">
        <v>46062</v>
      </c>
      <c r="AA111" s="105"/>
      <c r="AB111" s="111"/>
      <c r="AC111" s="105"/>
      <c r="AD111" s="111">
        <v>46055</v>
      </c>
      <c r="AE111" s="105"/>
      <c r="AF111" s="111">
        <v>46062</v>
      </c>
      <c r="AG111" s="105"/>
      <c r="AH111" s="111"/>
      <c r="AI111" s="105"/>
      <c r="AJ111" s="111"/>
      <c r="AK111" s="105"/>
      <c r="AL111" s="180"/>
      <c r="AM111" s="111">
        <v>46134</v>
      </c>
      <c r="AN111" s="191"/>
      <c r="AO111" s="180"/>
      <c r="AP111" s="204"/>
      <c r="AR111" s="16">
        <f t="shared" si="25"/>
        <v>0</v>
      </c>
    </row>
    <row r="112" spans="2:47" x14ac:dyDescent="0.25">
      <c r="B112" s="180">
        <v>69</v>
      </c>
      <c r="C112" s="180" t="s">
        <v>44</v>
      </c>
      <c r="D112" s="187" t="s">
        <v>96</v>
      </c>
      <c r="E112" s="180" t="s">
        <v>244</v>
      </c>
      <c r="F112" s="180" t="str">
        <f>_xlfn.XLOOKUP($B112,'Procurement Strategy'!$B$12:$B$967,'Procurement Strategy'!$P$12:$P$967,"-",0)</f>
        <v/>
      </c>
      <c r="G112" s="180" t="s">
        <v>210</v>
      </c>
      <c r="H112" s="189">
        <v>46022</v>
      </c>
      <c r="I112" s="125" t="s">
        <v>166</v>
      </c>
      <c r="J112" s="115">
        <f>IFERROR(IF(OR(L112="",K112=""),"",L112-K112),"")</f>
        <v>46054</v>
      </c>
      <c r="K112" s="128">
        <f>INDEX('Work Package Master List'!$C$12:$Y$1000, MATCH($E112, 'Work Package Master List'!$B$12:$B$1000, 0), MATCH(J$11, 'Work Package Master List'!$C$13:$Y$13, 0))</f>
        <v>2</v>
      </c>
      <c r="L112" s="115">
        <f>IFERROR(IF(OR(N112="",M112=""),"",N112-M112),"")</f>
        <v>46056</v>
      </c>
      <c r="M112" s="128">
        <f>INDEX('Work Package Master List'!$C$12:$Y$1000, MATCH($E112, 'Work Package Master List'!$B$12:$B$1000, 0), MATCH(L$11, 'Work Package Master List'!$C$13:$Y$13, 0))</f>
        <v>1</v>
      </c>
      <c r="N112" s="115">
        <f>IFERROR(IF(OR(P112="",O112=""),"",P112-O112),"")</f>
        <v>46057</v>
      </c>
      <c r="O112" s="128">
        <f>INDEX('Work Package Master List'!$C$12:$Y$1000, MATCH($E112, 'Work Package Master List'!$B$12:$B$1000, 0), MATCH(N$11, 'Work Package Master List'!$C$13:$Y$13, 0))</f>
        <v>0</v>
      </c>
      <c r="P112" s="115">
        <f>IFERROR(IF(OR(R112="",Q112=""),"",R112-Q112),"")</f>
        <v>46057</v>
      </c>
      <c r="Q112" s="128">
        <f>INDEX('Work Package Master List'!$C$12:$Y$1000, MATCH($E112, 'Work Package Master List'!$B$12:$B$1000, 0), MATCH(P$11, 'Work Package Master List'!$C$13:$Y$13, 0))</f>
        <v>3</v>
      </c>
      <c r="R112" s="115">
        <f>IFERROR(IF(OR(T112="",S112=""),"",T112-S112),"")</f>
        <v>46060</v>
      </c>
      <c r="S112" s="128">
        <f>INDEX('Work Package Master List'!$C$12:$Y$1000, MATCH($E112, 'Work Package Master List'!$B$12:$B$1000, 0), MATCH(R$11, 'Work Package Master List'!$C$13:$Y$13, 0))</f>
        <v>2</v>
      </c>
      <c r="T112" s="115">
        <f>IFERROR(IF(OR(V112="",U112=""),"",V112-U112),"")</f>
        <v>46062</v>
      </c>
      <c r="U112" s="128">
        <f>INDEX('Work Package Master List'!$C$12:$Y$1000, MATCH($E112, 'Work Package Master List'!$B$12:$B$1000, 0), MATCH(T$11, 'Work Package Master List'!$C$13:$Y$13, 0))</f>
        <v>1</v>
      </c>
      <c r="V112" s="115">
        <f>IFERROR(IF(OR(X112="",W112=""),"",X112-W112),"")</f>
        <v>46063</v>
      </c>
      <c r="W112" s="128">
        <f>INDEX('Work Package Master List'!$C$12:$Y$1000, MATCH($E112, 'Work Package Master List'!$B$12:$B$1000, 0), MATCH(V$11, 'Work Package Master List'!$C$13:$Y$13, 0))</f>
        <v>3</v>
      </c>
      <c r="X112" s="115">
        <f>IFERROR(IF(OR(Z112="",Y112=""),"",Z112-Y112),"")</f>
        <v>46066</v>
      </c>
      <c r="Y112" s="128">
        <f>INDEX('Work Package Master List'!$C$12:$Y$1000, MATCH($E112, 'Work Package Master List'!$B$12:$B$1000, 0), MATCH(X$11, 'Work Package Master List'!$C$13:$Y$13, 0))</f>
        <v>2</v>
      </c>
      <c r="Z112" s="115">
        <f>IFERROR(IF(OR(AB112="",AA112=""),"",AB112-AA112),"")</f>
        <v>46068</v>
      </c>
      <c r="AA112" s="128">
        <f>INDEX('Work Package Master List'!$C$12:$Y$1000, MATCH($E112, 'Work Package Master List'!$B$12:$B$1000, 0), MATCH(Z$11, 'Work Package Master List'!$C$13:$Y$13, 0))</f>
        <v>2</v>
      </c>
      <c r="AB112" s="115">
        <f>IFERROR(IF(OR(AD112="",AC112=""),"",AD112-AC112),"")</f>
        <v>46070</v>
      </c>
      <c r="AC112" s="128">
        <f>INDEX('Work Package Master List'!$C$12:$Y$1000, MATCH($E112, 'Work Package Master List'!$B$12:$B$1000, 0), MATCH(AB$11, 'Work Package Master List'!$C$13:$Y$13, 0))</f>
        <v>1</v>
      </c>
      <c r="AD112" s="115">
        <f>IFERROR(IF(OR(AF112="",AE112=""),"",AF112-AE112),"")</f>
        <v>46071</v>
      </c>
      <c r="AE112" s="128">
        <f>INDEX('Work Package Master List'!$C$12:$Y$1000, MATCH($E112, 'Work Package Master List'!$B$12:$B$1000, 0), MATCH(AD$11, 'Work Package Master List'!$C$13:$Y$13, 0))</f>
        <v>1</v>
      </c>
      <c r="AF112" s="115">
        <f>IFERROR(IF(OR(AH112="",AG112=""),"",AH112-AG112),"")</f>
        <v>46072</v>
      </c>
      <c r="AG112" s="128">
        <f>INDEX('Work Package Master List'!$C$12:$Y$1000, MATCH($E112, 'Work Package Master List'!$B$12:$B$1000, 0), MATCH(AF$11, 'Work Package Master List'!$C$13:$Y$13, 0))</f>
        <v>2</v>
      </c>
      <c r="AH112" s="115">
        <f>IFERROR(IF(OR(AJ112="",AI112=""),"",AJ112-AI112),"")</f>
        <v>46074</v>
      </c>
      <c r="AI112" s="128">
        <f>INDEX('Work Package Master List'!$C$12:$Y$1000, MATCH($E112, 'Work Package Master List'!$B$12:$B$1000, 0), MATCH(AH$11, 'Work Package Master List'!$C$13:$Y$13, 0))</f>
        <v>2</v>
      </c>
      <c r="AJ112" s="115">
        <f>IFERROR(IF(OR(AM112="",AK112=""),"",AM112-AK112),"")</f>
        <v>46076</v>
      </c>
      <c r="AK112" s="128">
        <f>INDEX('Work Package Master List'!$C$12:$Y$1000, MATCH($E112, 'Work Package Master List'!$B$12:$B$1000, 0), MATCH(AJ$11, 'Work Package Master List'!$C$13:$Y$13, 0))</f>
        <v>5</v>
      </c>
      <c r="AL112" s="180"/>
      <c r="AM112" s="115">
        <v>46081</v>
      </c>
      <c r="AN112" s="191">
        <f t="shared" ref="AN112" si="46">IF(MAX($H112,$AM113,$AJ113,$AH113,$AF113,$AD113,$AB113,$Z113,$X113,$V113,$T113,$R113,$P113,$N113,$L113,$J113) = 0,"",MAX($H112,$AM113,$AJ113,$AH113,$AF113,$AD113,$AB113,$Z113,$X113,$V113,$T113,$R113,$P113,$N113,$L113,$J113))</f>
        <v>46307</v>
      </c>
      <c r="AO112" s="180" t="str">
        <f>_xlfn.IFNA(INDEX($J$7:$AM$7,_xlfn.XMATCH(MAX($AM113,$AJ113,$AH113,$AF113,$AD113,$AB113,$Z113,$X113,$V113,$T113,$R113,$P113,$N113,$L113,$J113),$J113:$AM113,0,-1)),"Awaiting DTP")</f>
        <v>Commercial Review</v>
      </c>
      <c r="AP112" s="205" t="s">
        <v>1336</v>
      </c>
      <c r="AR112" s="16">
        <f t="shared" si="25"/>
        <v>27</v>
      </c>
      <c r="AU112" s="16" t="s">
        <v>1336</v>
      </c>
    </row>
    <row r="113" spans="2:47" x14ac:dyDescent="0.25">
      <c r="B113" s="179"/>
      <c r="C113" s="179"/>
      <c r="D113" s="186"/>
      <c r="E113" s="179"/>
      <c r="F113" s="179"/>
      <c r="G113" s="179"/>
      <c r="H113" s="188"/>
      <c r="I113" s="91" t="s">
        <v>168</v>
      </c>
      <c r="J113" s="106"/>
      <c r="K113" s="91"/>
      <c r="L113" s="106"/>
      <c r="M113" s="91"/>
      <c r="N113" s="106"/>
      <c r="O113" s="91"/>
      <c r="P113" s="106"/>
      <c r="Q113" s="91"/>
      <c r="R113" s="106"/>
      <c r="S113" s="91"/>
      <c r="T113" s="106"/>
      <c r="U113" s="91"/>
      <c r="V113" s="106">
        <v>46303</v>
      </c>
      <c r="W113" s="91"/>
      <c r="X113" s="106">
        <v>46307</v>
      </c>
      <c r="Y113" s="91"/>
      <c r="Z113" s="106">
        <v>46277</v>
      </c>
      <c r="AA113" s="91"/>
      <c r="AB113" s="106">
        <v>46289</v>
      </c>
      <c r="AC113" s="91"/>
      <c r="AD113" s="106">
        <v>46289</v>
      </c>
      <c r="AE113" s="91"/>
      <c r="AF113" s="106">
        <v>46289</v>
      </c>
      <c r="AG113" s="91"/>
      <c r="AH113" s="106">
        <v>46289</v>
      </c>
      <c r="AI113" s="91"/>
      <c r="AJ113" s="106"/>
      <c r="AK113" s="91"/>
      <c r="AL113" s="179"/>
      <c r="AM113" s="106"/>
      <c r="AN113" s="190"/>
      <c r="AO113" s="179"/>
      <c r="AP113" s="206"/>
      <c r="AR113" s="16">
        <f t="shared" ref="AR113:AR143" si="47">SUM(K113,M113,O113,Q113,S113,U113,W113,Y113,AA113,AC113,AE113,AG113,AI113,AK113)</f>
        <v>0</v>
      </c>
    </row>
    <row r="114" spans="2:47" ht="15" customHeight="1" x14ac:dyDescent="0.25">
      <c r="B114" s="210">
        <v>71</v>
      </c>
      <c r="C114" s="210" t="s">
        <v>44</v>
      </c>
      <c r="D114" s="213" t="s">
        <v>97</v>
      </c>
      <c r="E114" s="210" t="s">
        <v>245</v>
      </c>
      <c r="F114" s="210" t="str">
        <f>_xlfn.XLOOKUP($B114,'Procurement Strategy'!$B$12:$B$954,'Procurement Strategy'!$P$12:$P$954,"-",0)</f>
        <v/>
      </c>
      <c r="G114" s="210" t="s">
        <v>176</v>
      </c>
      <c r="H114" s="211">
        <v>46022</v>
      </c>
      <c r="I114" s="131" t="s">
        <v>166</v>
      </c>
      <c r="J114" s="120">
        <f>IFERROR(IF(OR(L114="",K114=""),"",L114-K114),"")</f>
        <v>46083</v>
      </c>
      <c r="K114" s="132">
        <f>INDEX('Work Package Master List'!$C$12:$Y$1000, MATCH($E114, 'Work Package Master List'!$B$12:$B$1000, 0), MATCH(J$11, 'Work Package Master List'!$C$13:$Y$13, 0))</f>
        <v>2</v>
      </c>
      <c r="L114" s="120">
        <f>IFERROR(IF(OR(N114="",M114=""),"",N114-M114),"")</f>
        <v>46085</v>
      </c>
      <c r="M114" s="132">
        <f>INDEX('Work Package Master List'!$C$12:$Y$1000, MATCH($E114, 'Work Package Master List'!$B$12:$B$1000, 0), MATCH(L$11, 'Work Package Master List'!$C$13:$Y$13, 0))</f>
        <v>1</v>
      </c>
      <c r="N114" s="120">
        <f>IFERROR(IF(OR(P114="",O114=""),"",P114-O114),"")</f>
        <v>46086</v>
      </c>
      <c r="O114" s="132">
        <f>INDEX('Work Package Master List'!$C$12:$Y$1000, MATCH($E114, 'Work Package Master List'!$B$12:$B$1000, 0), MATCH(N$11, 'Work Package Master List'!$C$13:$Y$13, 0))</f>
        <v>0</v>
      </c>
      <c r="P114" s="120">
        <f>IFERROR(IF(OR(R114="",Q114=""),"",R114-Q114),"")</f>
        <v>46086</v>
      </c>
      <c r="Q114" s="132">
        <f>INDEX('Work Package Master List'!$C$12:$Y$1000, MATCH($E114, 'Work Package Master List'!$B$12:$B$1000, 0), MATCH(P$11, 'Work Package Master List'!$C$13:$Y$13, 0))</f>
        <v>14</v>
      </c>
      <c r="R114" s="120">
        <f>IFERROR(IF(OR(T114="",S114=""),"",T114-S114),"")</f>
        <v>46100</v>
      </c>
      <c r="S114" s="132">
        <f>INDEX('Work Package Master List'!$C$12:$Y$1000, MATCH($E114, 'Work Package Master List'!$B$12:$B$1000, 0), MATCH(R$11, 'Work Package Master List'!$C$13:$Y$13, 0))</f>
        <v>5</v>
      </c>
      <c r="T114" s="120">
        <f>IFERROR(IF(OR(V114="",U114=""),"",V114-U114),"")</f>
        <v>46105</v>
      </c>
      <c r="U114" s="132">
        <f>INDEX('Work Package Master List'!$C$12:$Y$1000, MATCH($E114, 'Work Package Master List'!$B$12:$B$1000, 0), MATCH(T$11, 'Work Package Master List'!$C$13:$Y$13, 0))</f>
        <v>1</v>
      </c>
      <c r="V114" s="120">
        <f>IFERROR(IF(OR(X114="",W114=""),"",X114-W114),"")</f>
        <v>46106</v>
      </c>
      <c r="W114" s="132">
        <f>INDEX('Work Package Master List'!$C$12:$Y$1000, MATCH($E114, 'Work Package Master List'!$B$12:$B$1000, 0), MATCH(V$11, 'Work Package Master List'!$C$13:$Y$13, 0))</f>
        <v>3</v>
      </c>
      <c r="X114" s="120">
        <f>IFERROR(IF(OR(Z114="",Y114=""),"",Z114-Y114),"")</f>
        <v>46109</v>
      </c>
      <c r="Y114" s="132">
        <f>INDEX('Work Package Master List'!$C$12:$Y$1000, MATCH($E114, 'Work Package Master List'!$B$12:$B$1000, 0), MATCH(X$11, 'Work Package Master List'!$C$13:$Y$13, 0))</f>
        <v>2</v>
      </c>
      <c r="Z114" s="120">
        <f>IFERROR(IF(OR(AB114="",AA114=""),"",AB114-AA114),"")</f>
        <v>46111</v>
      </c>
      <c r="AA114" s="132">
        <f>INDEX('Work Package Master List'!$C$12:$Y$1000, MATCH($E114, 'Work Package Master List'!$B$12:$B$1000, 0), MATCH(Z$11, 'Work Package Master List'!$C$13:$Y$13, 0))</f>
        <v>3</v>
      </c>
      <c r="AB114" s="120">
        <f>IFERROR(IF(OR(AD114="",AC114=""),"",AD114-AC114),"")</f>
        <v>46114</v>
      </c>
      <c r="AC114" s="132">
        <f>INDEX('Work Package Master List'!$C$12:$Y$1000, MATCH($E114, 'Work Package Master List'!$B$12:$B$1000, 0), MATCH(AB$11, 'Work Package Master List'!$C$13:$Y$13, 0))</f>
        <v>3</v>
      </c>
      <c r="AD114" s="120">
        <f>IFERROR(IF(OR(AF114="",AE114=""),"",AF114-AE114),"")</f>
        <v>46117</v>
      </c>
      <c r="AE114" s="132">
        <f>INDEX('Work Package Master List'!$C$12:$Y$1000, MATCH($E114, 'Work Package Master List'!$B$12:$B$1000, 0), MATCH(AD$11, 'Work Package Master List'!$C$13:$Y$13, 0))</f>
        <v>1</v>
      </c>
      <c r="AF114" s="120">
        <f>IFERROR(IF(OR(AH114="",AG114=""),"",AH114-AG114),"")</f>
        <v>46118</v>
      </c>
      <c r="AG114" s="132">
        <f>INDEX('Work Package Master List'!$C$12:$Y$1000, MATCH($E114, 'Work Package Master List'!$B$12:$B$1000, 0), MATCH(AF$11, 'Work Package Master List'!$C$13:$Y$13, 0))</f>
        <v>2</v>
      </c>
      <c r="AH114" s="120">
        <f>IFERROR(IF(OR(AJ114="",AI114=""),"",AJ114-AI114),"")</f>
        <v>46120</v>
      </c>
      <c r="AI114" s="132">
        <f>INDEX('Work Package Master List'!$C$12:$Y$1000, MATCH($E114, 'Work Package Master List'!$B$12:$B$1000, 0), MATCH(AH$11, 'Work Package Master List'!$C$13:$Y$13, 0))</f>
        <v>2</v>
      </c>
      <c r="AJ114" s="120">
        <f>IFERROR(IF(OR(AM114="",AK114=""),"",AM114-AK114),"")</f>
        <v>46122</v>
      </c>
      <c r="AK114" s="132">
        <f>INDEX('Work Package Master List'!$C$12:$Y$1000, MATCH($E114, 'Work Package Master List'!$B$12:$B$1000, 0), MATCH(AJ$11, 'Work Package Master List'!$C$13:$Y$13, 0))</f>
        <v>5</v>
      </c>
      <c r="AL114" s="210"/>
      <c r="AM114" s="120">
        <v>46127</v>
      </c>
      <c r="AN114" s="212">
        <f t="shared" ref="AN114" si="48">IF(MAX($H114,$AM115,$AJ115,$AH115,$AF115,$AD115,$AB115,$Z115,$X115,$V115,$T115,$R115,$P115,$N115,$L115,$J115) = 0,"",MAX($H114,$AM115,$AJ115,$AH115,$AF115,$AD115,$AB115,$Z115,$X115,$V115,$T115,$R115,$P115,$N115,$L115,$J115))</f>
        <v>46276</v>
      </c>
      <c r="AO114" s="210" t="str">
        <f>_xlfn.IFNA(INDEX($J$7:$AM$7,_xlfn.XMATCH(MAX($AM115,$AJ115,$AH115,$AF115,$AD115,$AB115,$Z115,$X115,$V115,$T115,$R115,$P115,$N115,$L115,$J115),$J115:$AM115,0,-1)),"Awaiting DTP")</f>
        <v>Awarded</v>
      </c>
      <c r="AP114" s="203" t="s">
        <v>1316</v>
      </c>
      <c r="AR114" s="16">
        <f t="shared" si="47"/>
        <v>44</v>
      </c>
      <c r="AU114" s="16" t="s">
        <v>1340</v>
      </c>
    </row>
    <row r="115" spans="2:47" ht="15" customHeight="1" x14ac:dyDescent="0.25">
      <c r="B115" s="179"/>
      <c r="C115" s="179"/>
      <c r="D115" s="186"/>
      <c r="E115" s="179"/>
      <c r="F115" s="179"/>
      <c r="G115" s="179"/>
      <c r="H115" s="188"/>
      <c r="I115" s="91" t="s">
        <v>168</v>
      </c>
      <c r="J115" s="106">
        <v>46062</v>
      </c>
      <c r="K115" s="91"/>
      <c r="L115" s="106">
        <v>46063</v>
      </c>
      <c r="M115" s="91"/>
      <c r="N115" s="106">
        <v>46063</v>
      </c>
      <c r="O115" s="91"/>
      <c r="P115" s="106">
        <v>46063</v>
      </c>
      <c r="Q115" s="91"/>
      <c r="R115" s="106"/>
      <c r="S115" s="91"/>
      <c r="T115" s="106"/>
      <c r="U115" s="91"/>
      <c r="V115" s="106">
        <v>46152</v>
      </c>
      <c r="W115" s="91"/>
      <c r="X115" s="106">
        <v>46162</v>
      </c>
      <c r="Y115" s="91"/>
      <c r="Z115" s="106">
        <v>46228</v>
      </c>
      <c r="AA115" s="91"/>
      <c r="AB115" s="106">
        <v>46231</v>
      </c>
      <c r="AC115" s="91"/>
      <c r="AD115" s="106">
        <v>45869</v>
      </c>
      <c r="AE115" s="91"/>
      <c r="AF115" s="106">
        <v>46237</v>
      </c>
      <c r="AG115" s="91"/>
      <c r="AH115" s="106">
        <v>46239</v>
      </c>
      <c r="AI115" s="91"/>
      <c r="AJ115" s="106">
        <v>46270</v>
      </c>
      <c r="AK115" s="91"/>
      <c r="AL115" s="179"/>
      <c r="AM115" s="106">
        <v>46276</v>
      </c>
      <c r="AN115" s="190"/>
      <c r="AO115" s="179"/>
      <c r="AP115" s="204"/>
      <c r="AR115" s="16">
        <f t="shared" si="47"/>
        <v>0</v>
      </c>
    </row>
    <row r="116" spans="2:47" x14ac:dyDescent="0.25">
      <c r="B116" s="199">
        <v>73</v>
      </c>
      <c r="C116" s="199" t="s">
        <v>44</v>
      </c>
      <c r="D116" s="209" t="s">
        <v>246</v>
      </c>
      <c r="E116" s="199" t="s">
        <v>247</v>
      </c>
      <c r="F116" s="199" t="str">
        <f>_xlfn.XLOOKUP($B116,'Procurement Strategy'!$B$12:$B$938,'Procurement Strategy'!$P$12:$P$938,"-",0)</f>
        <v/>
      </c>
      <c r="G116" s="199" t="s">
        <v>210</v>
      </c>
      <c r="H116" s="198">
        <v>46022</v>
      </c>
      <c r="I116" s="129" t="s">
        <v>166</v>
      </c>
      <c r="J116" s="116">
        <f>IFERROR(IF(OR(L116="",K116=""),"",L116-K116),"")</f>
        <v>46028</v>
      </c>
      <c r="K116" s="130">
        <f>INDEX('Work Package Master List'!$C$12:$Y$1000, MATCH($E116, 'Work Package Master List'!$B$12:$B$1000, 0), MATCH(J$11, 'Work Package Master List'!$C$13:$Y$13, 0))</f>
        <v>2</v>
      </c>
      <c r="L116" s="116">
        <f>IFERROR(IF(OR(N116="",M116=""),"",N116-M116),"")</f>
        <v>46030</v>
      </c>
      <c r="M116" s="130">
        <f>INDEX('Work Package Master List'!$C$12:$Y$1000, MATCH($E116, 'Work Package Master List'!$B$12:$B$1000, 0), MATCH(L$11, 'Work Package Master List'!$C$13:$Y$13, 0))</f>
        <v>1</v>
      </c>
      <c r="N116" s="116">
        <f>IFERROR(IF(OR(P116="",O116=""),"",P116-O116),"")</f>
        <v>46031</v>
      </c>
      <c r="O116" s="130">
        <f>INDEX('Work Package Master List'!$C$12:$Y$1000, MATCH($E116, 'Work Package Master List'!$B$12:$B$1000, 0), MATCH(N$11, 'Work Package Master List'!$C$13:$Y$13, 0))</f>
        <v>0</v>
      </c>
      <c r="P116" s="116">
        <f>IFERROR(IF(OR(R116="",Q116=""),"",R116-Q116),"")</f>
        <v>46031</v>
      </c>
      <c r="Q116" s="130">
        <f>INDEX('Work Package Master List'!$C$12:$Y$1000, MATCH($E116, 'Work Package Master List'!$B$12:$B$1000, 0), MATCH(P$11, 'Work Package Master List'!$C$13:$Y$13, 0))</f>
        <v>10</v>
      </c>
      <c r="R116" s="116">
        <f>IFERROR(IF(OR(T116="",S116=""),"",T116-S116),"")</f>
        <v>46041</v>
      </c>
      <c r="S116" s="130">
        <f>INDEX('Work Package Master List'!$C$12:$Y$1000, MATCH($E116, 'Work Package Master List'!$B$12:$B$1000, 0), MATCH(R$11, 'Work Package Master List'!$C$13:$Y$13, 0))</f>
        <v>5</v>
      </c>
      <c r="T116" s="116">
        <f>IFERROR(IF(OR(V116="",U116=""),"",V116-U116),"")</f>
        <v>46046</v>
      </c>
      <c r="U116" s="130">
        <f>INDEX('Work Package Master List'!$C$12:$Y$1000, MATCH($E116, 'Work Package Master List'!$B$12:$B$1000, 0), MATCH(T$11, 'Work Package Master List'!$C$13:$Y$13, 0))</f>
        <v>1</v>
      </c>
      <c r="V116" s="116">
        <f>IFERROR(IF(OR(X116="",W116=""),"",X116-W116),"")</f>
        <v>46047</v>
      </c>
      <c r="W116" s="130">
        <f>INDEX('Work Package Master List'!$C$12:$Y$1000, MATCH($E116, 'Work Package Master List'!$B$12:$B$1000, 0), MATCH(V$11, 'Work Package Master List'!$C$13:$Y$13, 0))</f>
        <v>3</v>
      </c>
      <c r="X116" s="116">
        <f>IFERROR(IF(OR(Z116="",Y116=""),"",Z116-Y116),"")</f>
        <v>46050</v>
      </c>
      <c r="Y116" s="130">
        <f>INDEX('Work Package Master List'!$C$12:$Y$1000, MATCH($E116, 'Work Package Master List'!$B$12:$B$1000, 0), MATCH(X$11, 'Work Package Master List'!$C$13:$Y$13, 0))</f>
        <v>2</v>
      </c>
      <c r="Z116" s="116">
        <f>IFERROR(IF(OR(AB116="",AA116=""),"",AB116-AA116),"")</f>
        <v>46052</v>
      </c>
      <c r="AA116" s="130">
        <f>INDEX('Work Package Master List'!$C$12:$Y$1000, MATCH($E116, 'Work Package Master List'!$B$12:$B$1000, 0), MATCH(Z$11, 'Work Package Master List'!$C$13:$Y$13, 0))</f>
        <v>3</v>
      </c>
      <c r="AB116" s="116">
        <f>IFERROR(IF(OR(AD116="",AC116=""),"",AD116-AC116),"")</f>
        <v>46055</v>
      </c>
      <c r="AC116" s="130">
        <f>INDEX('Work Package Master List'!$C$12:$Y$1000, MATCH($E116, 'Work Package Master List'!$B$12:$B$1000, 0), MATCH(AB$11, 'Work Package Master List'!$C$13:$Y$13, 0))</f>
        <v>3</v>
      </c>
      <c r="AD116" s="116">
        <f>IFERROR(IF(OR(AF116="",AE116=""),"",AF116-AE116),"")</f>
        <v>46058</v>
      </c>
      <c r="AE116" s="130">
        <f>INDEX('Work Package Master List'!$C$12:$Y$1000, MATCH($E116, 'Work Package Master List'!$B$12:$B$1000, 0), MATCH(AD$11, 'Work Package Master List'!$C$13:$Y$13, 0))</f>
        <v>1</v>
      </c>
      <c r="AF116" s="116">
        <f>IFERROR(IF(OR(AH116="",AG116=""),"",AH116-AG116),"")</f>
        <v>46059</v>
      </c>
      <c r="AG116" s="130">
        <f>INDEX('Work Package Master List'!$C$12:$Y$1000, MATCH($E116, 'Work Package Master List'!$B$12:$B$1000, 0), MATCH(AF$11, 'Work Package Master List'!$C$13:$Y$13, 0))</f>
        <v>2</v>
      </c>
      <c r="AH116" s="116">
        <f>IFERROR(IF(OR(AJ116="",AI116=""),"",AJ116-AI116),"")</f>
        <v>46061</v>
      </c>
      <c r="AI116" s="130">
        <f>INDEX('Work Package Master List'!$C$12:$Y$1000, MATCH($E116, 'Work Package Master List'!$B$12:$B$1000, 0), MATCH(AH$11, 'Work Package Master List'!$C$13:$Y$13, 0))</f>
        <v>2</v>
      </c>
      <c r="AJ116" s="116">
        <f>IFERROR(IF(OR(AM116="",AK116=""),"",AM116-AK116),"")</f>
        <v>46063</v>
      </c>
      <c r="AK116" s="130">
        <f>INDEX('Work Package Master List'!$C$12:$Y$1000, MATCH($E116, 'Work Package Master List'!$B$12:$B$1000, 0), MATCH(AJ$11, 'Work Package Master List'!$C$13:$Y$13, 0))</f>
        <v>5</v>
      </c>
      <c r="AL116" s="199"/>
      <c r="AM116" s="116">
        <v>46068</v>
      </c>
      <c r="AN116" s="200">
        <f t="shared" ref="AN116" si="49">IF(MAX($H116,$AM117,$AJ117,$AH117,$AF117,$AD117,$AB117,$Z117,$X117,$V117,$T117,$R117,$P117,$N117,$L117,$J117) = 0,"",MAX($H116,$AM117,$AJ117,$AH117,$AF117,$AD117,$AB117,$Z117,$X117,$V117,$T117,$R117,$P117,$N117,$L117,$J117))</f>
        <v>46188</v>
      </c>
      <c r="AO116" s="199" t="str">
        <f>_xlfn.IFNA(INDEX($J$7:$AM$7,_xlfn.XMATCH(MAX($AM117,$AJ117,$AH117,$AF117,$AD117,$AB117,$Z117,$X117,$V117,$T117,$R117,$P117,$N117,$L117,$J117),$J117:$AM117,0,-1)),"Awaiting DTP")</f>
        <v>PTC Stage</v>
      </c>
      <c r="AP116" s="205" t="s">
        <v>224</v>
      </c>
      <c r="AR116" s="16">
        <f t="shared" si="47"/>
        <v>40</v>
      </c>
      <c r="AU116" s="16" t="s">
        <v>224</v>
      </c>
    </row>
    <row r="117" spans="2:47" x14ac:dyDescent="0.25">
      <c r="B117" s="180"/>
      <c r="C117" s="180"/>
      <c r="D117" s="187"/>
      <c r="E117" s="180"/>
      <c r="F117" s="180"/>
      <c r="G117" s="180"/>
      <c r="H117" s="189"/>
      <c r="I117" s="105" t="s">
        <v>168</v>
      </c>
      <c r="J117" s="111">
        <v>46015</v>
      </c>
      <c r="K117" s="105"/>
      <c r="L117" s="111">
        <v>46032</v>
      </c>
      <c r="M117" s="105"/>
      <c r="N117" s="111">
        <v>46037</v>
      </c>
      <c r="O117" s="105"/>
      <c r="P117" s="111">
        <v>46037</v>
      </c>
      <c r="Q117" s="105"/>
      <c r="R117" s="111"/>
      <c r="S117" s="105"/>
      <c r="T117" s="111"/>
      <c r="U117" s="105"/>
      <c r="V117" s="111">
        <v>46073</v>
      </c>
      <c r="W117" s="105"/>
      <c r="X117" s="111">
        <v>46078</v>
      </c>
      <c r="Y117" s="105"/>
      <c r="Z117" s="111">
        <v>46188</v>
      </c>
      <c r="AA117" s="105"/>
      <c r="AB117" s="111"/>
      <c r="AC117" s="105"/>
      <c r="AD117" s="111"/>
      <c r="AE117" s="105"/>
      <c r="AF117" s="111"/>
      <c r="AG117" s="105"/>
      <c r="AH117" s="111"/>
      <c r="AI117" s="105"/>
      <c r="AJ117" s="111"/>
      <c r="AK117" s="105"/>
      <c r="AL117" s="180"/>
      <c r="AM117" s="111"/>
      <c r="AN117" s="191"/>
      <c r="AO117" s="180"/>
      <c r="AP117" s="206"/>
      <c r="AR117" s="16">
        <f t="shared" si="47"/>
        <v>0</v>
      </c>
    </row>
    <row r="118" spans="2:47" ht="14.65" customHeight="1" x14ac:dyDescent="0.25">
      <c r="B118" s="179">
        <v>74</v>
      </c>
      <c r="C118" s="179" t="s">
        <v>44</v>
      </c>
      <c r="D118" s="186" t="s">
        <v>248</v>
      </c>
      <c r="E118" s="179" t="s">
        <v>247</v>
      </c>
      <c r="F118" s="179" t="str">
        <f>_xlfn.XLOOKUP($B118,'Procurement Strategy'!$B$12:$B$929,'Procurement Strategy'!$P$12:$P$929,"-",0)</f>
        <v/>
      </c>
      <c r="G118" s="179" t="s">
        <v>176</v>
      </c>
      <c r="H118" s="188">
        <v>46022</v>
      </c>
      <c r="I118" s="126" t="s">
        <v>166</v>
      </c>
      <c r="J118" s="103">
        <f>IFERROR(IF(OR(L118="",K118=""),"",L118-K118),"")</f>
        <v>46028</v>
      </c>
      <c r="K118" s="127">
        <f>INDEX('Work Package Master List'!$C$12:$Y$1000, MATCH($E118, 'Work Package Master List'!$B$12:$B$1000, 0), MATCH(J$11, 'Work Package Master List'!$C$13:$Y$13, 0))</f>
        <v>2</v>
      </c>
      <c r="L118" s="103">
        <f>IFERROR(IF(OR(N118="",M118=""),"",N118-M118),"")</f>
        <v>46030</v>
      </c>
      <c r="M118" s="127">
        <f>INDEX('Work Package Master List'!$C$12:$Y$1000, MATCH($E118, 'Work Package Master List'!$B$12:$B$1000, 0), MATCH(L$11, 'Work Package Master List'!$C$13:$Y$13, 0))</f>
        <v>1</v>
      </c>
      <c r="N118" s="103">
        <f>IFERROR(IF(OR(P118="",O118=""),"",P118-O118),"")</f>
        <v>46031</v>
      </c>
      <c r="O118" s="127">
        <f>INDEX('Work Package Master List'!$C$12:$Y$1000, MATCH($E118, 'Work Package Master List'!$B$12:$B$1000, 0), MATCH(N$11, 'Work Package Master List'!$C$13:$Y$13, 0))</f>
        <v>0</v>
      </c>
      <c r="P118" s="103">
        <f>IFERROR(IF(OR(R118="",Q118=""),"",R118-Q118),"")</f>
        <v>46031</v>
      </c>
      <c r="Q118" s="127">
        <f>INDEX('Work Package Master List'!$C$12:$Y$1000, MATCH($E118, 'Work Package Master List'!$B$12:$B$1000, 0), MATCH(P$11, 'Work Package Master List'!$C$13:$Y$13, 0))</f>
        <v>10</v>
      </c>
      <c r="R118" s="103">
        <f>IFERROR(IF(OR(T118="",S118=""),"",T118-S118),"")</f>
        <v>46041</v>
      </c>
      <c r="S118" s="127">
        <f>INDEX('Work Package Master List'!$C$12:$Y$1000, MATCH($E118, 'Work Package Master List'!$B$12:$B$1000, 0), MATCH(R$11, 'Work Package Master List'!$C$13:$Y$13, 0))</f>
        <v>5</v>
      </c>
      <c r="T118" s="103">
        <f>IFERROR(IF(OR(V118="",U118=""),"",V118-U118),"")</f>
        <v>46046</v>
      </c>
      <c r="U118" s="127">
        <f>INDEX('Work Package Master List'!$C$12:$Y$1000, MATCH($E118, 'Work Package Master List'!$B$12:$B$1000, 0), MATCH(T$11, 'Work Package Master List'!$C$13:$Y$13, 0))</f>
        <v>1</v>
      </c>
      <c r="V118" s="103">
        <f>IFERROR(IF(OR(X118="",W118=""),"",X118-W118),"")</f>
        <v>46047</v>
      </c>
      <c r="W118" s="127">
        <f>INDEX('Work Package Master List'!$C$12:$Y$1000, MATCH($E118, 'Work Package Master List'!$B$12:$B$1000, 0), MATCH(V$11, 'Work Package Master List'!$C$13:$Y$13, 0))</f>
        <v>3</v>
      </c>
      <c r="X118" s="103">
        <f>IFERROR(IF(OR(Z118="",Y118=""),"",Z118-Y118),"")</f>
        <v>46050</v>
      </c>
      <c r="Y118" s="127">
        <f>INDEX('Work Package Master List'!$C$12:$Y$1000, MATCH($E118, 'Work Package Master List'!$B$12:$B$1000, 0), MATCH(X$11, 'Work Package Master List'!$C$13:$Y$13, 0))</f>
        <v>2</v>
      </c>
      <c r="Z118" s="103">
        <f>IFERROR(IF(OR(AB118="",AA118=""),"",AB118-AA118),"")</f>
        <v>46052</v>
      </c>
      <c r="AA118" s="127">
        <f>INDEX('Work Package Master List'!$C$12:$Y$1000, MATCH($E118, 'Work Package Master List'!$B$12:$B$1000, 0), MATCH(Z$11, 'Work Package Master List'!$C$13:$Y$13, 0))</f>
        <v>3</v>
      </c>
      <c r="AB118" s="103">
        <f>IFERROR(IF(OR(AD118="",AC118=""),"",AD118-AC118),"")</f>
        <v>46055</v>
      </c>
      <c r="AC118" s="127">
        <f>INDEX('Work Package Master List'!$C$12:$Y$1000, MATCH($E118, 'Work Package Master List'!$B$12:$B$1000, 0), MATCH(AB$11, 'Work Package Master List'!$C$13:$Y$13, 0))</f>
        <v>3</v>
      </c>
      <c r="AD118" s="103">
        <f>IFERROR(IF(OR(AF118="",AE118=""),"",AF118-AE118),"")</f>
        <v>46058</v>
      </c>
      <c r="AE118" s="127">
        <f>INDEX('Work Package Master List'!$C$12:$Y$1000, MATCH($E118, 'Work Package Master List'!$B$12:$B$1000, 0), MATCH(AD$11, 'Work Package Master List'!$C$13:$Y$13, 0))</f>
        <v>1</v>
      </c>
      <c r="AF118" s="103">
        <f>IFERROR(IF(OR(AH118="",AG118=""),"",AH118-AG118),"")</f>
        <v>46059</v>
      </c>
      <c r="AG118" s="127">
        <f>INDEX('Work Package Master List'!$C$12:$Y$1000, MATCH($E118, 'Work Package Master List'!$B$12:$B$1000, 0), MATCH(AF$11, 'Work Package Master List'!$C$13:$Y$13, 0))</f>
        <v>2</v>
      </c>
      <c r="AH118" s="103">
        <f>IFERROR(IF(OR(AJ118="",AI118=""),"",AJ118-AI118),"")</f>
        <v>46061</v>
      </c>
      <c r="AI118" s="127">
        <f>INDEX('Work Package Master List'!$C$12:$Y$1000, MATCH($E118, 'Work Package Master List'!$B$12:$B$1000, 0), MATCH(AH$11, 'Work Package Master List'!$C$13:$Y$13, 0))</f>
        <v>2</v>
      </c>
      <c r="AJ118" s="103">
        <f>IFERROR(IF(OR(AM118="",AK118=""),"",AM118-AK118),"")</f>
        <v>46063</v>
      </c>
      <c r="AK118" s="127">
        <f>INDEX('Work Package Master List'!$C$12:$Y$1000, MATCH($E118, 'Work Package Master List'!$B$12:$B$1000, 0), MATCH(AJ$11, 'Work Package Master List'!$C$13:$Y$13, 0))</f>
        <v>5</v>
      </c>
      <c r="AL118" s="179"/>
      <c r="AM118" s="103">
        <v>46068</v>
      </c>
      <c r="AN118" s="190">
        <f t="shared" ref="AN118" si="50">IF(MAX($H118,$AM119,$AJ119,$AH119,$AF119,$AD119,$AB119,$Z119,$X119,$V119,$T119,$R119,$P119,$N119,$L119,$J119) = 0,"",MAX($H118,$AM119,$AJ119,$AH119,$AF119,$AD119,$AB119,$Z119,$X119,$V119,$T119,$R119,$P119,$N119,$L119,$J119))</f>
        <v>46294</v>
      </c>
      <c r="AO118" s="179" t="str">
        <f>_xlfn.IFNA(INDEX($J$7:$AM$7,_xlfn.XMATCH(MAX($AM119,$AJ119,$AH119,$AF119,$AD119,$AB119,$Z119,$X119,$V119,$T119,$R119,$P119,$N119,$L119,$J119),$J119:$AM119,0,-1)),"Awaiting DTP")</f>
        <v>Awarded</v>
      </c>
      <c r="AP118" s="207" t="s">
        <v>1348</v>
      </c>
      <c r="AR118" s="16">
        <f t="shared" si="47"/>
        <v>40</v>
      </c>
      <c r="AU118" s="16" t="s">
        <v>159</v>
      </c>
    </row>
    <row r="119" spans="2:47" ht="16.5" customHeight="1" x14ac:dyDescent="0.25">
      <c r="B119" s="180"/>
      <c r="C119" s="180"/>
      <c r="D119" s="187"/>
      <c r="E119" s="180"/>
      <c r="F119" s="180"/>
      <c r="G119" s="180"/>
      <c r="H119" s="189"/>
      <c r="I119" s="105" t="s">
        <v>168</v>
      </c>
      <c r="J119" s="111">
        <v>46015</v>
      </c>
      <c r="K119" s="105"/>
      <c r="L119" s="111">
        <v>46032</v>
      </c>
      <c r="M119" s="105"/>
      <c r="N119" s="111">
        <v>46037</v>
      </c>
      <c r="O119" s="105"/>
      <c r="P119" s="111">
        <v>46037</v>
      </c>
      <c r="Q119" s="105"/>
      <c r="R119" s="111"/>
      <c r="S119" s="105"/>
      <c r="T119" s="111"/>
      <c r="U119" s="105"/>
      <c r="V119" s="111">
        <v>46073</v>
      </c>
      <c r="W119" s="105"/>
      <c r="X119" s="111">
        <v>46078</v>
      </c>
      <c r="Y119" s="105"/>
      <c r="Z119" s="111">
        <v>46244</v>
      </c>
      <c r="AA119" s="105"/>
      <c r="AB119" s="111">
        <v>46269</v>
      </c>
      <c r="AC119" s="105"/>
      <c r="AD119" s="111">
        <v>46272</v>
      </c>
      <c r="AE119" s="105"/>
      <c r="AF119" s="111">
        <v>46275</v>
      </c>
      <c r="AG119" s="105"/>
      <c r="AH119" s="111">
        <v>46279</v>
      </c>
      <c r="AI119" s="105"/>
      <c r="AJ119" s="106">
        <v>46281</v>
      </c>
      <c r="AK119" s="105"/>
      <c r="AL119" s="180"/>
      <c r="AM119" s="111">
        <v>46294</v>
      </c>
      <c r="AN119" s="191"/>
      <c r="AO119" s="180"/>
      <c r="AP119" s="208"/>
      <c r="AR119" s="16">
        <f t="shared" si="47"/>
        <v>0</v>
      </c>
    </row>
    <row r="120" spans="2:47" x14ac:dyDescent="0.25">
      <c r="B120" s="179">
        <v>75</v>
      </c>
      <c r="C120" s="179" t="s">
        <v>44</v>
      </c>
      <c r="D120" s="186" t="s">
        <v>100</v>
      </c>
      <c r="E120" s="179" t="s">
        <v>249</v>
      </c>
      <c r="F120" s="179" t="str">
        <f>_xlfn.XLOOKUP($B120,'Procurement Strategy'!$B$12:$B$921,'Procurement Strategy'!$P$12:$P$921,"-",0)</f>
        <v/>
      </c>
      <c r="G120" s="179" t="s">
        <v>176</v>
      </c>
      <c r="H120" s="188">
        <v>46022</v>
      </c>
      <c r="I120" s="126" t="s">
        <v>166</v>
      </c>
      <c r="J120" s="103">
        <f>IFERROR(IF(OR(L120="",K120=""),"",L120-K120),"")</f>
        <v>46103</v>
      </c>
      <c r="K120" s="127">
        <f>INDEX('Work Package Master List'!$C$12:$Y$1000, MATCH($E120, 'Work Package Master List'!$B$12:$B$1000, 0), MATCH(J$11, 'Work Package Master List'!$C$13:$Y$13, 0))</f>
        <v>2</v>
      </c>
      <c r="L120" s="103">
        <f>IFERROR(IF(OR(N120="",M120=""),"",N120-M120),"")</f>
        <v>46105</v>
      </c>
      <c r="M120" s="127">
        <f>INDEX('Work Package Master List'!$C$12:$Y$1000, MATCH($E120, 'Work Package Master List'!$B$12:$B$1000, 0), MATCH(L$11, 'Work Package Master List'!$C$13:$Y$13, 0))</f>
        <v>1</v>
      </c>
      <c r="N120" s="103">
        <f>IFERROR(IF(OR(P120="",O120=""),"",P120-O120),"")</f>
        <v>46106</v>
      </c>
      <c r="O120" s="127">
        <f>INDEX('Work Package Master List'!$C$12:$Y$1000, MATCH($E120, 'Work Package Master List'!$B$12:$B$1000, 0), MATCH(N$11, 'Work Package Master List'!$C$13:$Y$13, 0))</f>
        <v>0</v>
      </c>
      <c r="P120" s="103">
        <f>IFERROR(IF(OR(R120="",Q120=""),"",R120-Q120),"")</f>
        <v>46106</v>
      </c>
      <c r="Q120" s="127">
        <f>INDEX('Work Package Master List'!$C$12:$Y$1000, MATCH($E120, 'Work Package Master List'!$B$12:$B$1000, 0), MATCH(P$11, 'Work Package Master List'!$C$13:$Y$13, 0))</f>
        <v>5</v>
      </c>
      <c r="R120" s="103">
        <f>IFERROR(IF(OR(T120="",S120=""),"",T120-S120),"")</f>
        <v>46111</v>
      </c>
      <c r="S120" s="127">
        <f>INDEX('Work Package Master List'!$C$12:$Y$1000, MATCH($E120, 'Work Package Master List'!$B$12:$B$1000, 0), MATCH(R$11, 'Work Package Master List'!$C$13:$Y$13, 0))</f>
        <v>5</v>
      </c>
      <c r="T120" s="103">
        <f>IFERROR(IF(OR(V120="",U120=""),"",V120-U120),"")</f>
        <v>46116</v>
      </c>
      <c r="U120" s="127">
        <f>INDEX('Work Package Master List'!$C$12:$Y$1000, MATCH($E120, 'Work Package Master List'!$B$12:$B$1000, 0), MATCH(T$11, 'Work Package Master List'!$C$13:$Y$13, 0))</f>
        <v>1</v>
      </c>
      <c r="V120" s="103">
        <f>IFERROR(IF(OR(X120="",W120=""),"",X120-W120),"")</f>
        <v>46117</v>
      </c>
      <c r="W120" s="127">
        <f>INDEX('Work Package Master List'!$C$12:$Y$1000, MATCH($E120, 'Work Package Master List'!$B$12:$B$1000, 0), MATCH(V$11, 'Work Package Master List'!$C$13:$Y$13, 0))</f>
        <v>3</v>
      </c>
      <c r="X120" s="103">
        <f>IFERROR(IF(OR(Z120="",Y120=""),"",Z120-Y120),"")</f>
        <v>46120</v>
      </c>
      <c r="Y120" s="127">
        <f>INDEX('Work Package Master List'!$C$12:$Y$1000, MATCH($E120, 'Work Package Master List'!$B$12:$B$1000, 0), MATCH(X$11, 'Work Package Master List'!$C$13:$Y$13, 0))</f>
        <v>2</v>
      </c>
      <c r="Z120" s="103">
        <f>IFERROR(IF(OR(AB120="",AA120=""),"",AB120-AA120),"")</f>
        <v>46122</v>
      </c>
      <c r="AA120" s="127">
        <f>INDEX('Work Package Master List'!$C$12:$Y$1000, MATCH($E120, 'Work Package Master List'!$B$12:$B$1000, 0), MATCH(Z$11, 'Work Package Master List'!$C$13:$Y$13, 0))</f>
        <v>7</v>
      </c>
      <c r="AB120" s="103">
        <f>IFERROR(IF(OR(AD120="",AC120=""),"",AD120-AC120),"")</f>
        <v>46129</v>
      </c>
      <c r="AC120" s="127">
        <f>INDEX('Work Package Master List'!$C$12:$Y$1000, MATCH($E120, 'Work Package Master List'!$B$12:$B$1000, 0), MATCH(AB$11, 'Work Package Master List'!$C$13:$Y$13, 0))</f>
        <v>3</v>
      </c>
      <c r="AD120" s="103">
        <f>IFERROR(IF(OR(AF120="",AE120=""),"",AF120-AE120),"")</f>
        <v>46132</v>
      </c>
      <c r="AE120" s="127">
        <f>INDEX('Work Package Master List'!$C$12:$Y$1000, MATCH($E120, 'Work Package Master List'!$B$12:$B$1000, 0), MATCH(AD$11, 'Work Package Master List'!$C$13:$Y$13, 0))</f>
        <v>1</v>
      </c>
      <c r="AF120" s="103">
        <f>IFERROR(IF(OR(AH120="",AG120=""),"",AH120-AG120),"")</f>
        <v>46133</v>
      </c>
      <c r="AG120" s="127">
        <f>INDEX('Work Package Master List'!$C$12:$Y$1000, MATCH($E120, 'Work Package Master List'!$B$12:$B$1000, 0), MATCH(AF$11, 'Work Package Master List'!$C$13:$Y$13, 0))</f>
        <v>2</v>
      </c>
      <c r="AH120" s="103">
        <f>IFERROR(IF(OR(AJ120="",AI120=""),"",AJ120-AI120),"")</f>
        <v>46135</v>
      </c>
      <c r="AI120" s="127">
        <f>INDEX('Work Package Master List'!$C$12:$Y$1000, MATCH($E120, 'Work Package Master List'!$B$12:$B$1000, 0), MATCH(AH$11, 'Work Package Master List'!$C$13:$Y$13, 0))</f>
        <v>2</v>
      </c>
      <c r="AJ120" s="103">
        <f>IFERROR(IF(OR(AM120="",AK120=""),"",AM120-AK120),"")</f>
        <v>46137</v>
      </c>
      <c r="AK120" s="127">
        <f>INDEX('Work Package Master List'!$C$12:$Y$1000, MATCH($E120, 'Work Package Master List'!$B$12:$B$1000, 0), MATCH(AJ$11, 'Work Package Master List'!$C$13:$Y$13, 0))</f>
        <v>5</v>
      </c>
      <c r="AL120" s="179">
        <v>15008</v>
      </c>
      <c r="AM120" s="103">
        <v>46142</v>
      </c>
      <c r="AN120" s="190">
        <f t="shared" ref="AN120" si="51">IF(MAX($H120,$AM121,$AJ121,$AH121,$AF121,$AD121,$AB121,$Z121,$X121,$V121,$T121,$R121,$P121,$N121,$L121,$J121) = 0,"",MAX($H120,$AM121,$AJ121,$AH121,$AF121,$AD121,$AB121,$Z121,$X121,$V121,$T121,$R121,$P121,$N121,$L121,$J121))</f>
        <v>46114</v>
      </c>
      <c r="AO120" s="179" t="str">
        <f>_xlfn.IFNA(INDEX($J$7:$AM$7,_xlfn.XMATCH(MAX($AM121,$AJ121,$AH121,$AF121,$AD121,$AB121,$Z121,$X121,$V121,$T121,$R121,$P121,$N121,$L121,$J121),$J121:$AM121,0,-1)),"Awaiting DTP")</f>
        <v>Awarded</v>
      </c>
      <c r="AP120" s="203" t="s">
        <v>177</v>
      </c>
      <c r="AR120" s="16">
        <f t="shared" si="47"/>
        <v>39</v>
      </c>
      <c r="AU120" s="16" t="s">
        <v>177</v>
      </c>
    </row>
    <row r="121" spans="2:47" x14ac:dyDescent="0.25">
      <c r="B121" s="180"/>
      <c r="C121" s="180"/>
      <c r="D121" s="187"/>
      <c r="E121" s="180"/>
      <c r="F121" s="180"/>
      <c r="G121" s="180"/>
      <c r="H121" s="189"/>
      <c r="I121" s="105" t="s">
        <v>168</v>
      </c>
      <c r="J121" s="111">
        <v>46024</v>
      </c>
      <c r="K121" s="105"/>
      <c r="L121" s="111">
        <v>46025</v>
      </c>
      <c r="M121" s="105"/>
      <c r="N121" s="111">
        <v>46025</v>
      </c>
      <c r="O121" s="105"/>
      <c r="P121" s="111">
        <v>46025</v>
      </c>
      <c r="Q121" s="105"/>
      <c r="R121" s="111">
        <v>46025</v>
      </c>
      <c r="S121" s="105"/>
      <c r="T121" s="111"/>
      <c r="U121" s="105"/>
      <c r="V121" s="111">
        <v>46029</v>
      </c>
      <c r="W121" s="105"/>
      <c r="X121" s="111">
        <v>46030</v>
      </c>
      <c r="Y121" s="105"/>
      <c r="Z121" s="111">
        <v>46050</v>
      </c>
      <c r="AA121" s="105"/>
      <c r="AB121" s="111"/>
      <c r="AC121" s="105"/>
      <c r="AD121" s="111"/>
      <c r="AE121" s="105"/>
      <c r="AF121" s="111"/>
      <c r="AG121" s="105"/>
      <c r="AH121" s="111"/>
      <c r="AI121" s="105"/>
      <c r="AJ121" s="111"/>
      <c r="AK121" s="105"/>
      <c r="AL121" s="180"/>
      <c r="AM121" s="111">
        <v>46114</v>
      </c>
      <c r="AN121" s="191"/>
      <c r="AO121" s="180"/>
      <c r="AP121" s="204"/>
      <c r="AR121" s="16">
        <f t="shared" si="47"/>
        <v>0</v>
      </c>
    </row>
    <row r="122" spans="2:47" x14ac:dyDescent="0.25">
      <c r="B122" s="179">
        <v>76</v>
      </c>
      <c r="C122" s="179" t="s">
        <v>44</v>
      </c>
      <c r="D122" s="186" t="s">
        <v>101</v>
      </c>
      <c r="E122" s="179" t="s">
        <v>249</v>
      </c>
      <c r="F122" s="179" t="str">
        <f>_xlfn.XLOOKUP($B122,'Procurement Strategy'!$B$12:$B$913,'Procurement Strategy'!$P$12:$P$913,"-",0)</f>
        <v/>
      </c>
      <c r="G122" s="179" t="s">
        <v>176</v>
      </c>
      <c r="H122" s="188">
        <v>46022</v>
      </c>
      <c r="I122" s="126" t="s">
        <v>166</v>
      </c>
      <c r="J122" s="103">
        <f>IFERROR(IF(OR(L122="",K122=""),"",L122-K122),"")</f>
        <v>46103</v>
      </c>
      <c r="K122" s="127">
        <f>INDEX('Work Package Master List'!$C$12:$Y$1000, MATCH($E122, 'Work Package Master List'!$B$12:$B$1000, 0), MATCH(J$11, 'Work Package Master List'!$C$13:$Y$13, 0))</f>
        <v>2</v>
      </c>
      <c r="L122" s="103">
        <f>IFERROR(IF(OR(N122="",M122=""),"",N122-M122),"")</f>
        <v>46105</v>
      </c>
      <c r="M122" s="127">
        <f>INDEX('Work Package Master List'!$C$12:$Y$1000, MATCH($E122, 'Work Package Master List'!$B$12:$B$1000, 0), MATCH(L$11, 'Work Package Master List'!$C$13:$Y$13, 0))</f>
        <v>1</v>
      </c>
      <c r="N122" s="103">
        <f>IFERROR(IF(OR(P122="",O122=""),"",P122-O122),"")</f>
        <v>46106</v>
      </c>
      <c r="O122" s="127">
        <f>INDEX('Work Package Master List'!$C$12:$Y$1000, MATCH($E122, 'Work Package Master List'!$B$12:$B$1000, 0), MATCH(N$11, 'Work Package Master List'!$C$13:$Y$13, 0))</f>
        <v>0</v>
      </c>
      <c r="P122" s="103">
        <f>IFERROR(IF(OR(R122="",Q122=""),"",R122-Q122),"")</f>
        <v>46106</v>
      </c>
      <c r="Q122" s="127">
        <f>INDEX('Work Package Master List'!$C$12:$Y$1000, MATCH($E122, 'Work Package Master List'!$B$12:$B$1000, 0), MATCH(P$11, 'Work Package Master List'!$C$13:$Y$13, 0))</f>
        <v>5</v>
      </c>
      <c r="R122" s="103">
        <f>IFERROR(IF(OR(T122="",S122=""),"",T122-S122),"")</f>
        <v>46111</v>
      </c>
      <c r="S122" s="127">
        <f>INDEX('Work Package Master List'!$C$12:$Y$1000, MATCH($E122, 'Work Package Master List'!$B$12:$B$1000, 0), MATCH(R$11, 'Work Package Master List'!$C$13:$Y$13, 0))</f>
        <v>5</v>
      </c>
      <c r="T122" s="103">
        <f>IFERROR(IF(OR(V122="",U122=""),"",V122-U122),"")</f>
        <v>46116</v>
      </c>
      <c r="U122" s="127">
        <f>INDEX('Work Package Master List'!$C$12:$Y$1000, MATCH($E122, 'Work Package Master List'!$B$12:$B$1000, 0), MATCH(T$11, 'Work Package Master List'!$C$13:$Y$13, 0))</f>
        <v>1</v>
      </c>
      <c r="V122" s="103">
        <f>IFERROR(IF(OR(X122="",W122=""),"",X122-W122),"")</f>
        <v>46117</v>
      </c>
      <c r="W122" s="127">
        <f>INDEX('Work Package Master List'!$C$12:$Y$1000, MATCH($E122, 'Work Package Master List'!$B$12:$B$1000, 0), MATCH(V$11, 'Work Package Master List'!$C$13:$Y$13, 0))</f>
        <v>3</v>
      </c>
      <c r="X122" s="103">
        <f>IFERROR(IF(OR(Z122="",Y122=""),"",Z122-Y122),"")</f>
        <v>46120</v>
      </c>
      <c r="Y122" s="127">
        <f>INDEX('Work Package Master List'!$C$12:$Y$1000, MATCH($E122, 'Work Package Master List'!$B$12:$B$1000, 0), MATCH(X$11, 'Work Package Master List'!$C$13:$Y$13, 0))</f>
        <v>2</v>
      </c>
      <c r="Z122" s="103">
        <f>IFERROR(IF(OR(AB122="",AA122=""),"",AB122-AA122),"")</f>
        <v>46122</v>
      </c>
      <c r="AA122" s="127">
        <f>INDEX('Work Package Master List'!$C$12:$Y$1000, MATCH($E122, 'Work Package Master List'!$B$12:$B$1000, 0), MATCH(Z$11, 'Work Package Master List'!$C$13:$Y$13, 0))</f>
        <v>7</v>
      </c>
      <c r="AB122" s="103">
        <f>IFERROR(IF(OR(AD122="",AC122=""),"",AD122-AC122),"")</f>
        <v>46129</v>
      </c>
      <c r="AC122" s="127">
        <f>INDEX('Work Package Master List'!$C$12:$Y$1000, MATCH($E122, 'Work Package Master List'!$B$12:$B$1000, 0), MATCH(AB$11, 'Work Package Master List'!$C$13:$Y$13, 0))</f>
        <v>3</v>
      </c>
      <c r="AD122" s="103">
        <f>IFERROR(IF(OR(AF122="",AE122=""),"",AF122-AE122),"")</f>
        <v>46132</v>
      </c>
      <c r="AE122" s="127">
        <f>INDEX('Work Package Master List'!$C$12:$Y$1000, MATCH($E122, 'Work Package Master List'!$B$12:$B$1000, 0), MATCH(AD$11, 'Work Package Master List'!$C$13:$Y$13, 0))</f>
        <v>1</v>
      </c>
      <c r="AF122" s="103">
        <f>IFERROR(IF(OR(AH122="",AG122=""),"",AH122-AG122),"")</f>
        <v>46133</v>
      </c>
      <c r="AG122" s="127">
        <f>INDEX('Work Package Master List'!$C$12:$Y$1000, MATCH($E122, 'Work Package Master List'!$B$12:$B$1000, 0), MATCH(AF$11, 'Work Package Master List'!$C$13:$Y$13, 0))</f>
        <v>2</v>
      </c>
      <c r="AH122" s="103">
        <f>IFERROR(IF(OR(AJ122="",AI122=""),"",AJ122-AI122),"")</f>
        <v>46135</v>
      </c>
      <c r="AI122" s="127">
        <f>INDEX('Work Package Master List'!$C$12:$Y$1000, MATCH($E122, 'Work Package Master List'!$B$12:$B$1000, 0), MATCH(AH$11, 'Work Package Master List'!$C$13:$Y$13, 0))</f>
        <v>2</v>
      </c>
      <c r="AJ122" s="103">
        <f>IFERROR(IF(OR(AM122="",AK122=""),"",AM122-AK122),"")</f>
        <v>46137</v>
      </c>
      <c r="AK122" s="127">
        <f>INDEX('Work Package Master List'!$C$12:$Y$1000, MATCH($E122, 'Work Package Master List'!$B$12:$B$1000, 0), MATCH(AJ$11, 'Work Package Master List'!$C$13:$Y$13, 0))</f>
        <v>5</v>
      </c>
      <c r="AL122" s="179">
        <v>15004</v>
      </c>
      <c r="AM122" s="103">
        <v>46142</v>
      </c>
      <c r="AN122" s="190">
        <f t="shared" ref="AN122" si="52">IF(MAX($H122,$AM123,$AJ123,$AH123,$AF123,$AD123,$AB123,$Z123,$X123,$V123,$T123,$R123,$P123,$N123,$L123,$J123) = 0,"",MAX($H122,$AM123,$AJ123,$AH123,$AF123,$AD123,$AB123,$Z123,$X123,$V123,$T123,$R123,$P123,$N123,$L123,$J123))</f>
        <v>46114</v>
      </c>
      <c r="AO122" s="179" t="str">
        <f>_xlfn.IFNA(INDEX($J$7:$AM$7,_xlfn.XMATCH(MAX($AM123,$AJ123,$AH123,$AF123,$AD123,$AB123,$Z123,$X123,$V123,$T123,$R123,$P123,$N123,$L123,$J123),$J123:$AM123,0,-1)),"Awaiting DTP")</f>
        <v>Awarded</v>
      </c>
      <c r="AP122" s="203" t="s">
        <v>179</v>
      </c>
      <c r="AR122" s="16">
        <f t="shared" si="47"/>
        <v>39</v>
      </c>
      <c r="AU122" s="16" t="s">
        <v>179</v>
      </c>
    </row>
    <row r="123" spans="2:47" x14ac:dyDescent="0.25">
      <c r="B123" s="180"/>
      <c r="C123" s="180"/>
      <c r="D123" s="187"/>
      <c r="E123" s="180"/>
      <c r="F123" s="180"/>
      <c r="G123" s="180"/>
      <c r="H123" s="189"/>
      <c r="I123" s="105" t="s">
        <v>168</v>
      </c>
      <c r="J123" s="111">
        <v>46024</v>
      </c>
      <c r="K123" s="105"/>
      <c r="L123" s="111">
        <v>46025</v>
      </c>
      <c r="M123" s="105"/>
      <c r="N123" s="111">
        <v>46025</v>
      </c>
      <c r="O123" s="105"/>
      <c r="P123" s="111">
        <v>46025</v>
      </c>
      <c r="Q123" s="105"/>
      <c r="R123" s="111">
        <v>46025</v>
      </c>
      <c r="S123" s="105"/>
      <c r="T123" s="111"/>
      <c r="U123" s="105"/>
      <c r="V123" s="111">
        <v>46029</v>
      </c>
      <c r="W123" s="105"/>
      <c r="X123" s="111">
        <v>46030</v>
      </c>
      <c r="Y123" s="105"/>
      <c r="Z123" s="111">
        <v>46050</v>
      </c>
      <c r="AA123" s="105"/>
      <c r="AB123" s="111"/>
      <c r="AC123" s="105"/>
      <c r="AD123" s="111"/>
      <c r="AE123" s="105"/>
      <c r="AF123" s="111"/>
      <c r="AG123" s="105"/>
      <c r="AH123" s="111"/>
      <c r="AI123" s="105"/>
      <c r="AJ123" s="111"/>
      <c r="AK123" s="105"/>
      <c r="AL123" s="180"/>
      <c r="AM123" s="111">
        <v>46114</v>
      </c>
      <c r="AN123" s="191"/>
      <c r="AO123" s="180"/>
      <c r="AP123" s="204"/>
      <c r="AR123" s="16">
        <f t="shared" si="47"/>
        <v>0</v>
      </c>
    </row>
    <row r="124" spans="2:47" x14ac:dyDescent="0.25">
      <c r="B124" s="179">
        <v>77</v>
      </c>
      <c r="C124" s="179" t="s">
        <v>44</v>
      </c>
      <c r="D124" s="186" t="s">
        <v>102</v>
      </c>
      <c r="E124" s="179" t="s">
        <v>250</v>
      </c>
      <c r="F124" s="179" t="str">
        <f>_xlfn.XLOOKUP($B124,'Procurement Strategy'!$B$12:$B$907,'Procurement Strategy'!$P$12:$P$907,"-",0)</f>
        <v/>
      </c>
      <c r="G124" s="179" t="s">
        <v>210</v>
      </c>
      <c r="H124" s="188">
        <v>46022</v>
      </c>
      <c r="I124" s="126" t="s">
        <v>166</v>
      </c>
      <c r="J124" s="103">
        <f>IFERROR(IF(OR(L124="",K124=""),"",L124-K124),"")</f>
        <v>46029</v>
      </c>
      <c r="K124" s="127">
        <f>INDEX('Work Package Master List'!$C$12:$Y$1000, MATCH($E124, 'Work Package Master List'!$B$12:$B$1000, 0), MATCH(J$11, 'Work Package Master List'!$C$13:$Y$13, 0))</f>
        <v>2</v>
      </c>
      <c r="L124" s="103">
        <f>IFERROR(IF(OR(N124="",M124=""),"",N124-M124),"")</f>
        <v>46031</v>
      </c>
      <c r="M124" s="127">
        <f>INDEX('Work Package Master List'!$C$12:$Y$1000, MATCH($E124, 'Work Package Master List'!$B$12:$B$1000, 0), MATCH(L$11, 'Work Package Master List'!$C$13:$Y$13, 0))</f>
        <v>1</v>
      </c>
      <c r="N124" s="103">
        <f>IFERROR(IF(OR(P124="",O124=""),"",P124-O124),"")</f>
        <v>46032</v>
      </c>
      <c r="O124" s="127">
        <f>INDEX('Work Package Master List'!$C$12:$Y$1000, MATCH($E124, 'Work Package Master List'!$B$12:$B$1000, 0), MATCH(N$11, 'Work Package Master List'!$C$13:$Y$13, 0))</f>
        <v>0</v>
      </c>
      <c r="P124" s="103">
        <f>IFERROR(IF(OR(R124="",Q124=""),"",R124-Q124),"")</f>
        <v>46032</v>
      </c>
      <c r="Q124" s="127">
        <f>INDEX('Work Package Master List'!$C$12:$Y$1000, MATCH($E124, 'Work Package Master List'!$B$12:$B$1000, 0), MATCH(P$11, 'Work Package Master List'!$C$13:$Y$13, 0))</f>
        <v>5</v>
      </c>
      <c r="R124" s="103">
        <f>IFERROR(IF(OR(T124="",S124=""),"",T124-S124),"")</f>
        <v>46037</v>
      </c>
      <c r="S124" s="127">
        <f>INDEX('Work Package Master List'!$C$12:$Y$1000, MATCH($E124, 'Work Package Master List'!$B$12:$B$1000, 0), MATCH(R$11, 'Work Package Master List'!$C$13:$Y$13, 0))</f>
        <v>5</v>
      </c>
      <c r="T124" s="103">
        <f>IFERROR(IF(OR(V124="",U124=""),"",V124-U124),"")</f>
        <v>46042</v>
      </c>
      <c r="U124" s="127">
        <f>INDEX('Work Package Master List'!$C$12:$Y$1000, MATCH($E124, 'Work Package Master List'!$B$12:$B$1000, 0), MATCH(T$11, 'Work Package Master List'!$C$13:$Y$13, 0))</f>
        <v>1</v>
      </c>
      <c r="V124" s="103">
        <f>IFERROR(IF(OR(X124="",W124=""),"",X124-W124),"")</f>
        <v>46043</v>
      </c>
      <c r="W124" s="127">
        <f>INDEX('Work Package Master List'!$C$12:$Y$1000, MATCH($E124, 'Work Package Master List'!$B$12:$B$1000, 0), MATCH(V$11, 'Work Package Master List'!$C$13:$Y$13, 0))</f>
        <v>3</v>
      </c>
      <c r="X124" s="103">
        <f>IFERROR(IF(OR(Z124="",Y124=""),"",Z124-Y124),"")</f>
        <v>46046</v>
      </c>
      <c r="Y124" s="127">
        <f>INDEX('Work Package Master List'!$C$12:$Y$1000, MATCH($E124, 'Work Package Master List'!$B$12:$B$1000, 0), MATCH(X$11, 'Work Package Master List'!$C$13:$Y$13, 0))</f>
        <v>2</v>
      </c>
      <c r="Z124" s="103">
        <f>IFERROR(IF(OR(AB124="",AA124=""),"",AB124-AA124),"")</f>
        <v>46048</v>
      </c>
      <c r="AA124" s="127">
        <f>INDEX('Work Package Master List'!$C$12:$Y$1000, MATCH($E124, 'Work Package Master List'!$B$12:$B$1000, 0), MATCH(Z$11, 'Work Package Master List'!$C$13:$Y$13, 0))</f>
        <v>7</v>
      </c>
      <c r="AB124" s="103">
        <f>IFERROR(IF(OR(AD124="",AC124=""),"",AD124-AC124),"")</f>
        <v>46055</v>
      </c>
      <c r="AC124" s="127">
        <f>INDEX('Work Package Master List'!$C$12:$Y$1000, MATCH($E124, 'Work Package Master List'!$B$12:$B$1000, 0), MATCH(AB$11, 'Work Package Master List'!$C$13:$Y$13, 0))</f>
        <v>3</v>
      </c>
      <c r="AD124" s="103">
        <f>IFERROR(IF(OR(AF124="",AE124=""),"",AF124-AE124),"")</f>
        <v>46058</v>
      </c>
      <c r="AE124" s="127">
        <f>INDEX('Work Package Master List'!$C$12:$Y$1000, MATCH($E124, 'Work Package Master List'!$B$12:$B$1000, 0), MATCH(AD$11, 'Work Package Master List'!$C$13:$Y$13, 0))</f>
        <v>1</v>
      </c>
      <c r="AF124" s="103">
        <f>IFERROR(IF(OR(AH124="",AG124=""),"",AH124-AG124),"")</f>
        <v>46059</v>
      </c>
      <c r="AG124" s="127">
        <f>INDEX('Work Package Master List'!$C$12:$Y$1000, MATCH($E124, 'Work Package Master List'!$B$12:$B$1000, 0), MATCH(AF$11, 'Work Package Master List'!$C$13:$Y$13, 0))</f>
        <v>2</v>
      </c>
      <c r="AH124" s="103">
        <f>IFERROR(IF(OR(AJ124="",AI124=""),"",AJ124-AI124),"")</f>
        <v>46061</v>
      </c>
      <c r="AI124" s="127">
        <f>INDEX('Work Package Master List'!$C$12:$Y$1000, MATCH($E124, 'Work Package Master List'!$B$12:$B$1000, 0), MATCH(AH$11, 'Work Package Master List'!$C$13:$Y$13, 0))</f>
        <v>2</v>
      </c>
      <c r="AJ124" s="103">
        <f>IFERROR(IF(OR(AM124="",AK124=""),"",AM124-AK124),"")</f>
        <v>46063</v>
      </c>
      <c r="AK124" s="127">
        <f>INDEX('Work Package Master List'!$C$12:$Y$1000, MATCH($E124, 'Work Package Master List'!$B$12:$B$1000, 0), MATCH(AJ$11, 'Work Package Master List'!$C$13:$Y$13, 0))</f>
        <v>5</v>
      </c>
      <c r="AL124" s="179"/>
      <c r="AM124" s="103">
        <v>46068</v>
      </c>
      <c r="AN124" s="190">
        <f t="shared" ref="AN124" si="53">IF(MAX($H124,$AM125,$AJ125,$AH125,$AF125,$AD125,$AB125,$Z125,$X125,$V125,$T125,$R125,$P125,$N125,$L125,$J125) = 0,"",MAX($H124,$AM125,$AJ125,$AH125,$AF125,$AD125,$AB125,$Z125,$X125,$V125,$T125,$R125,$P125,$N125,$L125,$J125))</f>
        <v>46290</v>
      </c>
      <c r="AO124" s="179" t="str">
        <f>_xlfn.IFNA(INDEX($J$7:$AM$7,_xlfn.XMATCH(MAX($AM125,$AJ125,$AH125,$AF125,$AD125,$AB125,$Z125,$X125,$V125,$T125,$R125,$P125,$N125,$L125,$J125),$J125:$AM125,0,-1)),"Awaiting DTP")</f>
        <v>PTC Stage</v>
      </c>
      <c r="AP124" s="181" t="s">
        <v>1338</v>
      </c>
      <c r="AR124" s="16">
        <f t="shared" si="47"/>
        <v>39</v>
      </c>
      <c r="AU124" s="16" t="s">
        <v>1338</v>
      </c>
    </row>
    <row r="125" spans="2:47" x14ac:dyDescent="0.25">
      <c r="B125" s="180"/>
      <c r="C125" s="180"/>
      <c r="D125" s="187"/>
      <c r="E125" s="180"/>
      <c r="F125" s="180"/>
      <c r="G125" s="180"/>
      <c r="H125" s="189"/>
      <c r="I125" s="105" t="s">
        <v>168</v>
      </c>
      <c r="J125" s="111">
        <v>46048</v>
      </c>
      <c r="K125" s="105"/>
      <c r="L125" s="111">
        <v>46049</v>
      </c>
      <c r="M125" s="105"/>
      <c r="N125" s="111">
        <v>46049</v>
      </c>
      <c r="O125" s="105"/>
      <c r="P125" s="111">
        <v>46050</v>
      </c>
      <c r="Q125" s="105"/>
      <c r="R125" s="111"/>
      <c r="S125" s="105"/>
      <c r="T125" s="111"/>
      <c r="U125" s="105"/>
      <c r="V125" s="111">
        <v>46252</v>
      </c>
      <c r="W125" s="105"/>
      <c r="X125" s="111">
        <v>46286</v>
      </c>
      <c r="Y125" s="105"/>
      <c r="Z125" s="111">
        <v>46290</v>
      </c>
      <c r="AA125" s="105"/>
      <c r="AB125" s="111"/>
      <c r="AC125" s="105"/>
      <c r="AD125" s="111"/>
      <c r="AE125" s="105"/>
      <c r="AF125" s="111"/>
      <c r="AG125" s="105"/>
      <c r="AH125" s="111"/>
      <c r="AI125" s="105"/>
      <c r="AJ125" s="111"/>
      <c r="AK125" s="105"/>
      <c r="AL125" s="180"/>
      <c r="AM125" s="111"/>
      <c r="AN125" s="191"/>
      <c r="AO125" s="180"/>
      <c r="AP125" s="181"/>
      <c r="AR125" s="16">
        <f t="shared" si="47"/>
        <v>0</v>
      </c>
    </row>
    <row r="126" spans="2:47" x14ac:dyDescent="0.25">
      <c r="B126" s="179">
        <v>78</v>
      </c>
      <c r="C126" s="179" t="s">
        <v>44</v>
      </c>
      <c r="D126" s="186" t="s">
        <v>103</v>
      </c>
      <c r="E126" s="179" t="s">
        <v>250</v>
      </c>
      <c r="F126" s="179" t="str">
        <f>_xlfn.XLOOKUP($B126,'Procurement Strategy'!$B$12:$B$901,'Procurement Strategy'!$P$12:$P$901,"-",0)</f>
        <v/>
      </c>
      <c r="G126" s="179" t="s">
        <v>210</v>
      </c>
      <c r="H126" s="188">
        <v>46022</v>
      </c>
      <c r="I126" s="126" t="s">
        <v>166</v>
      </c>
      <c r="J126" s="103">
        <f>IFERROR(IF(OR(L126="",K126=""),"",L126-K126),"")</f>
        <v>46029</v>
      </c>
      <c r="K126" s="127">
        <f>INDEX('Work Package Master List'!$C$12:$Y$1000, MATCH($E126, 'Work Package Master List'!$B$12:$B$1000, 0), MATCH(J$11, 'Work Package Master List'!$C$13:$Y$13, 0))</f>
        <v>2</v>
      </c>
      <c r="L126" s="103">
        <f>IFERROR(IF(OR(N126="",M126=""),"",N126-M126),"")</f>
        <v>46031</v>
      </c>
      <c r="M126" s="127">
        <f>INDEX('Work Package Master List'!$C$12:$Y$1000, MATCH($E126, 'Work Package Master List'!$B$12:$B$1000, 0), MATCH(L$11, 'Work Package Master List'!$C$13:$Y$13, 0))</f>
        <v>1</v>
      </c>
      <c r="N126" s="103">
        <f>IFERROR(IF(OR(P126="",O126=""),"",P126-O126),"")</f>
        <v>46032</v>
      </c>
      <c r="O126" s="127">
        <f>INDEX('Work Package Master List'!$C$12:$Y$1000, MATCH($E126, 'Work Package Master List'!$B$12:$B$1000, 0), MATCH(N$11, 'Work Package Master List'!$C$13:$Y$13, 0))</f>
        <v>0</v>
      </c>
      <c r="P126" s="103">
        <f>IFERROR(IF(OR(R126="",Q126=""),"",R126-Q126),"")</f>
        <v>46032</v>
      </c>
      <c r="Q126" s="127">
        <f>INDEX('Work Package Master List'!$C$12:$Y$1000, MATCH($E126, 'Work Package Master List'!$B$12:$B$1000, 0), MATCH(P$11, 'Work Package Master List'!$C$13:$Y$13, 0))</f>
        <v>5</v>
      </c>
      <c r="R126" s="103">
        <f>IFERROR(IF(OR(T126="",S126=""),"",T126-S126),"")</f>
        <v>46037</v>
      </c>
      <c r="S126" s="127">
        <f>INDEX('Work Package Master List'!$C$12:$Y$1000, MATCH($E126, 'Work Package Master List'!$B$12:$B$1000, 0), MATCH(R$11, 'Work Package Master List'!$C$13:$Y$13, 0))</f>
        <v>5</v>
      </c>
      <c r="T126" s="103">
        <f>IFERROR(IF(OR(V126="",U126=""),"",V126-U126),"")</f>
        <v>46042</v>
      </c>
      <c r="U126" s="127">
        <f>INDEX('Work Package Master List'!$C$12:$Y$1000, MATCH($E126, 'Work Package Master List'!$B$12:$B$1000, 0), MATCH(T$11, 'Work Package Master List'!$C$13:$Y$13, 0))</f>
        <v>1</v>
      </c>
      <c r="V126" s="103">
        <f>IFERROR(IF(OR(X126="",W126=""),"",X126-W126),"")</f>
        <v>46043</v>
      </c>
      <c r="W126" s="127">
        <f>INDEX('Work Package Master List'!$C$12:$Y$1000, MATCH($E126, 'Work Package Master List'!$B$12:$B$1000, 0), MATCH(V$11, 'Work Package Master List'!$C$13:$Y$13, 0))</f>
        <v>3</v>
      </c>
      <c r="X126" s="103">
        <f>IFERROR(IF(OR(Z126="",Y126=""),"",Z126-Y126),"")</f>
        <v>46046</v>
      </c>
      <c r="Y126" s="127">
        <f>INDEX('Work Package Master List'!$C$12:$Y$1000, MATCH($E126, 'Work Package Master List'!$B$12:$B$1000, 0), MATCH(X$11, 'Work Package Master List'!$C$13:$Y$13, 0))</f>
        <v>2</v>
      </c>
      <c r="Z126" s="103">
        <f>IFERROR(IF(OR(AB126="",AA126=""),"",AB126-AA126),"")</f>
        <v>46048</v>
      </c>
      <c r="AA126" s="127">
        <f>INDEX('Work Package Master List'!$C$12:$Y$1000, MATCH($E126, 'Work Package Master List'!$B$12:$B$1000, 0), MATCH(Z$11, 'Work Package Master List'!$C$13:$Y$13, 0))</f>
        <v>7</v>
      </c>
      <c r="AB126" s="103">
        <f>IFERROR(IF(OR(AD126="",AC126=""),"",AD126-AC126),"")</f>
        <v>46055</v>
      </c>
      <c r="AC126" s="127">
        <f>INDEX('Work Package Master List'!$C$12:$Y$1000, MATCH($E126, 'Work Package Master List'!$B$12:$B$1000, 0), MATCH(AB$11, 'Work Package Master List'!$C$13:$Y$13, 0))</f>
        <v>3</v>
      </c>
      <c r="AD126" s="103">
        <f>IFERROR(IF(OR(AF126="",AE126=""),"",AF126-AE126),"")</f>
        <v>46058</v>
      </c>
      <c r="AE126" s="127">
        <f>INDEX('Work Package Master List'!$C$12:$Y$1000, MATCH($E126, 'Work Package Master List'!$B$12:$B$1000, 0), MATCH(AD$11, 'Work Package Master List'!$C$13:$Y$13, 0))</f>
        <v>1</v>
      </c>
      <c r="AF126" s="103">
        <f>IFERROR(IF(OR(AH126="",AG126=""),"",AH126-AG126),"")</f>
        <v>46059</v>
      </c>
      <c r="AG126" s="127">
        <f>INDEX('Work Package Master List'!$C$12:$Y$1000, MATCH($E126, 'Work Package Master List'!$B$12:$B$1000, 0), MATCH(AF$11, 'Work Package Master List'!$C$13:$Y$13, 0))</f>
        <v>2</v>
      </c>
      <c r="AH126" s="103">
        <f>IFERROR(IF(OR(AJ126="",AI126=""),"",AJ126-AI126),"")</f>
        <v>46061</v>
      </c>
      <c r="AI126" s="127">
        <f>INDEX('Work Package Master List'!$C$12:$Y$1000, MATCH($E126, 'Work Package Master List'!$B$12:$B$1000, 0), MATCH(AH$11, 'Work Package Master List'!$C$13:$Y$13, 0))</f>
        <v>2</v>
      </c>
      <c r="AJ126" s="103">
        <f>IFERROR(IF(OR(AM126="",AK126=""),"",AM126-AK126),"")</f>
        <v>46063</v>
      </c>
      <c r="AK126" s="127">
        <f>INDEX('Work Package Master List'!$C$12:$Y$1000, MATCH($E126, 'Work Package Master List'!$B$12:$B$1000, 0), MATCH(AJ$11, 'Work Package Master List'!$C$13:$Y$13, 0))</f>
        <v>5</v>
      </c>
      <c r="AL126" s="179"/>
      <c r="AM126" s="103">
        <v>46068</v>
      </c>
      <c r="AN126" s="190">
        <f t="shared" ref="AN126" si="54">IF(MAX($H126,$AM127,$AJ127,$AH127,$AF127,$AD127,$AB127,$Z127,$X127,$V127,$T127,$R127,$P127,$N127,$L127,$J127) = 0,"",MAX($H126,$AM127,$AJ127,$AH127,$AF127,$AD127,$AB127,$Z127,$X127,$V127,$T127,$R127,$P127,$N127,$L127,$J127))</f>
        <v>46290</v>
      </c>
      <c r="AO126" s="179" t="str">
        <f>_xlfn.IFNA(INDEX($J$7:$AM$7,_xlfn.XMATCH(MAX($AM127,$AJ127,$AH127,$AF127,$AD127,$AB127,$Z127,$X127,$V127,$T127,$R127,$P127,$N127,$L127,$J127),$J127:$AM127,0,-1)),"Awaiting DTP")</f>
        <v>PTC Stage</v>
      </c>
      <c r="AP126" s="181" t="s">
        <v>1338</v>
      </c>
      <c r="AR126" s="16">
        <f t="shared" si="47"/>
        <v>39</v>
      </c>
      <c r="AU126" s="16" t="s">
        <v>1338</v>
      </c>
    </row>
    <row r="127" spans="2:47" x14ac:dyDescent="0.25">
      <c r="B127" s="180"/>
      <c r="C127" s="180"/>
      <c r="D127" s="187"/>
      <c r="E127" s="180"/>
      <c r="F127" s="180"/>
      <c r="G127" s="180"/>
      <c r="H127" s="189"/>
      <c r="I127" s="105" t="s">
        <v>168</v>
      </c>
      <c r="J127" s="111">
        <v>46048</v>
      </c>
      <c r="K127" s="105"/>
      <c r="L127" s="111">
        <v>46049</v>
      </c>
      <c r="M127" s="105"/>
      <c r="N127" s="111">
        <v>46049</v>
      </c>
      <c r="O127" s="105"/>
      <c r="P127" s="111">
        <v>46050</v>
      </c>
      <c r="Q127" s="105"/>
      <c r="R127" s="111"/>
      <c r="S127" s="105"/>
      <c r="T127" s="111"/>
      <c r="U127" s="105"/>
      <c r="V127" s="111">
        <v>46261</v>
      </c>
      <c r="W127" s="105"/>
      <c r="X127" s="111">
        <v>46286</v>
      </c>
      <c r="Y127" s="105"/>
      <c r="Z127" s="111">
        <v>46290</v>
      </c>
      <c r="AA127" s="105"/>
      <c r="AB127" s="111"/>
      <c r="AC127" s="105"/>
      <c r="AD127" s="111"/>
      <c r="AE127" s="105"/>
      <c r="AF127" s="111"/>
      <c r="AG127" s="105"/>
      <c r="AH127" s="111"/>
      <c r="AI127" s="105"/>
      <c r="AJ127" s="111"/>
      <c r="AK127" s="105"/>
      <c r="AL127" s="180"/>
      <c r="AM127" s="111"/>
      <c r="AN127" s="191"/>
      <c r="AO127" s="180"/>
      <c r="AP127" s="181"/>
      <c r="AR127" s="16">
        <f t="shared" si="47"/>
        <v>0</v>
      </c>
    </row>
    <row r="128" spans="2:47" x14ac:dyDescent="0.25">
      <c r="B128" s="179">
        <v>79</v>
      </c>
      <c r="C128" s="179" t="s">
        <v>44</v>
      </c>
      <c r="D128" s="186" t="s">
        <v>104</v>
      </c>
      <c r="E128" s="179" t="s">
        <v>250</v>
      </c>
      <c r="F128" s="179" t="str">
        <f>_xlfn.XLOOKUP($B128,'Procurement Strategy'!$B$12:$B$895,'Procurement Strategy'!$P$12:$P$895,"-",0)</f>
        <v/>
      </c>
      <c r="G128" s="179" t="s">
        <v>210</v>
      </c>
      <c r="H128" s="188">
        <v>46022</v>
      </c>
      <c r="I128" s="126" t="s">
        <v>166</v>
      </c>
      <c r="J128" s="103">
        <f>IFERROR(IF(OR(L128="",K128=""),"",L128-K128),"")</f>
        <v>46029</v>
      </c>
      <c r="K128" s="127">
        <f>INDEX('Work Package Master List'!$C$12:$Y$1000, MATCH($E128, 'Work Package Master List'!$B$12:$B$1000, 0), MATCH(J$11, 'Work Package Master List'!$C$13:$Y$13, 0))</f>
        <v>2</v>
      </c>
      <c r="L128" s="103">
        <f>IFERROR(IF(OR(N128="",M128=""),"",N128-M128),"")</f>
        <v>46031</v>
      </c>
      <c r="M128" s="127">
        <f>INDEX('Work Package Master List'!$C$12:$Y$1000, MATCH($E128, 'Work Package Master List'!$B$12:$B$1000, 0), MATCH(L$11, 'Work Package Master List'!$C$13:$Y$13, 0))</f>
        <v>1</v>
      </c>
      <c r="N128" s="103">
        <f>IFERROR(IF(OR(P128="",O128=""),"",P128-O128),"")</f>
        <v>46032</v>
      </c>
      <c r="O128" s="127">
        <f>INDEX('Work Package Master List'!$C$12:$Y$1000, MATCH($E128, 'Work Package Master List'!$B$12:$B$1000, 0), MATCH(N$11, 'Work Package Master List'!$C$13:$Y$13, 0))</f>
        <v>0</v>
      </c>
      <c r="P128" s="103">
        <f>IFERROR(IF(OR(R128="",Q128=""),"",R128-Q128),"")</f>
        <v>46032</v>
      </c>
      <c r="Q128" s="127">
        <f>INDEX('Work Package Master List'!$C$12:$Y$1000, MATCH($E128, 'Work Package Master List'!$B$12:$B$1000, 0), MATCH(P$11, 'Work Package Master List'!$C$13:$Y$13, 0))</f>
        <v>5</v>
      </c>
      <c r="R128" s="103">
        <f>IFERROR(IF(OR(T128="",S128=""),"",T128-S128),"")</f>
        <v>46037</v>
      </c>
      <c r="S128" s="127">
        <f>INDEX('Work Package Master List'!$C$12:$Y$1000, MATCH($E128, 'Work Package Master List'!$B$12:$B$1000, 0), MATCH(R$11, 'Work Package Master List'!$C$13:$Y$13, 0))</f>
        <v>5</v>
      </c>
      <c r="T128" s="103">
        <f>IFERROR(IF(OR(V128="",U128=""),"",V128-U128),"")</f>
        <v>46042</v>
      </c>
      <c r="U128" s="127">
        <f>INDEX('Work Package Master List'!$C$12:$Y$1000, MATCH($E128, 'Work Package Master List'!$B$12:$B$1000, 0), MATCH(T$11, 'Work Package Master List'!$C$13:$Y$13, 0))</f>
        <v>1</v>
      </c>
      <c r="V128" s="103">
        <f>IFERROR(IF(OR(X128="",W128=""),"",X128-W128),"")</f>
        <v>46043</v>
      </c>
      <c r="W128" s="127">
        <f>INDEX('Work Package Master List'!$C$12:$Y$1000, MATCH($E128, 'Work Package Master List'!$B$12:$B$1000, 0), MATCH(V$11, 'Work Package Master List'!$C$13:$Y$13, 0))</f>
        <v>3</v>
      </c>
      <c r="X128" s="103">
        <f>IFERROR(IF(OR(Z128="",Y128=""),"",Z128-Y128),"")</f>
        <v>46046</v>
      </c>
      <c r="Y128" s="127">
        <f>INDEX('Work Package Master List'!$C$12:$Y$1000, MATCH($E128, 'Work Package Master List'!$B$12:$B$1000, 0), MATCH(X$11, 'Work Package Master List'!$C$13:$Y$13, 0))</f>
        <v>2</v>
      </c>
      <c r="Z128" s="103">
        <f>IFERROR(IF(OR(AB128="",AA128=""),"",AB128-AA128),"")</f>
        <v>46048</v>
      </c>
      <c r="AA128" s="127">
        <f>INDEX('Work Package Master List'!$C$12:$Y$1000, MATCH($E128, 'Work Package Master List'!$B$12:$B$1000, 0), MATCH(Z$11, 'Work Package Master List'!$C$13:$Y$13, 0))</f>
        <v>7</v>
      </c>
      <c r="AB128" s="103">
        <f>IFERROR(IF(OR(AD128="",AC128=""),"",AD128-AC128),"")</f>
        <v>46055</v>
      </c>
      <c r="AC128" s="127">
        <f>INDEX('Work Package Master List'!$C$12:$Y$1000, MATCH($E128, 'Work Package Master List'!$B$12:$B$1000, 0), MATCH(AB$11, 'Work Package Master List'!$C$13:$Y$13, 0))</f>
        <v>3</v>
      </c>
      <c r="AD128" s="103">
        <f>IFERROR(IF(OR(AF128="",AE128=""),"",AF128-AE128),"")</f>
        <v>46058</v>
      </c>
      <c r="AE128" s="127">
        <f>INDEX('Work Package Master List'!$C$12:$Y$1000, MATCH($E128, 'Work Package Master List'!$B$12:$B$1000, 0), MATCH(AD$11, 'Work Package Master List'!$C$13:$Y$13, 0))</f>
        <v>1</v>
      </c>
      <c r="AF128" s="103">
        <f>IFERROR(IF(OR(AH128="",AG128=""),"",AH128-AG128),"")</f>
        <v>46059</v>
      </c>
      <c r="AG128" s="127">
        <f>INDEX('Work Package Master List'!$C$12:$Y$1000, MATCH($E128, 'Work Package Master List'!$B$12:$B$1000, 0), MATCH(AF$11, 'Work Package Master List'!$C$13:$Y$13, 0))</f>
        <v>2</v>
      </c>
      <c r="AH128" s="103">
        <f>IFERROR(IF(OR(AJ128="",AI128=""),"",AJ128-AI128),"")</f>
        <v>46061</v>
      </c>
      <c r="AI128" s="127">
        <f>INDEX('Work Package Master List'!$C$12:$Y$1000, MATCH($E128, 'Work Package Master List'!$B$12:$B$1000, 0), MATCH(AH$11, 'Work Package Master List'!$C$13:$Y$13, 0))</f>
        <v>2</v>
      </c>
      <c r="AJ128" s="103">
        <f>IFERROR(IF(OR(AM128="",AK128=""),"",AM128-AK128),"")</f>
        <v>46063</v>
      </c>
      <c r="AK128" s="127">
        <f>INDEX('Work Package Master List'!$C$12:$Y$1000, MATCH($E128, 'Work Package Master List'!$B$12:$B$1000, 0), MATCH(AJ$11, 'Work Package Master List'!$C$13:$Y$13, 0))</f>
        <v>5</v>
      </c>
      <c r="AL128" s="179"/>
      <c r="AM128" s="103">
        <v>46068</v>
      </c>
      <c r="AN128" s="190">
        <f t="shared" ref="AN128" si="55">IF(MAX($H128,$AM129,$AJ129,$AH129,$AF129,$AD129,$AB129,$Z129,$X129,$V129,$T129,$R129,$P129,$N129,$L129,$J129) = 0,"",MAX($H128,$AM129,$AJ129,$AH129,$AF129,$AD129,$AB129,$Z129,$X129,$V129,$T129,$R129,$P129,$N129,$L129,$J129))</f>
        <v>46022</v>
      </c>
      <c r="AO128" s="179" t="str">
        <f>_xlfn.IFNA(INDEX($J$7:$AM$7,_xlfn.XMATCH(MAX($AM129,$AJ129,$AH129,$AF129,$AD129,$AB129,$Z129,$X129,$V129,$T129,$R129,$P129,$N129,$L129,$J129),$J129:$AM129,0,-1)),"Awaiting DTP")</f>
        <v>Awaiting DTP</v>
      </c>
      <c r="AP128" s="181" t="s">
        <v>251</v>
      </c>
      <c r="AR128" s="16">
        <f t="shared" si="47"/>
        <v>39</v>
      </c>
      <c r="AU128" s="16" t="s">
        <v>251</v>
      </c>
    </row>
    <row r="129" spans="2:47" x14ac:dyDescent="0.25">
      <c r="B129" s="180"/>
      <c r="C129" s="180"/>
      <c r="D129" s="187"/>
      <c r="E129" s="180"/>
      <c r="F129" s="180"/>
      <c r="G129" s="180"/>
      <c r="H129" s="189"/>
      <c r="I129" s="105" t="s">
        <v>168</v>
      </c>
      <c r="J129" s="111"/>
      <c r="K129" s="105"/>
      <c r="L129" s="111"/>
      <c r="M129" s="105"/>
      <c r="N129" s="111"/>
      <c r="O129" s="105"/>
      <c r="P129" s="111"/>
      <c r="Q129" s="105"/>
      <c r="R129" s="111"/>
      <c r="S129" s="105"/>
      <c r="T129" s="111"/>
      <c r="U129" s="105"/>
      <c r="V129" s="111"/>
      <c r="W129" s="105"/>
      <c r="X129" s="111"/>
      <c r="Y129" s="105"/>
      <c r="Z129" s="111"/>
      <c r="AA129" s="105"/>
      <c r="AB129" s="111"/>
      <c r="AC129" s="105"/>
      <c r="AD129" s="111"/>
      <c r="AE129" s="105"/>
      <c r="AF129" s="111"/>
      <c r="AG129" s="105"/>
      <c r="AH129" s="111"/>
      <c r="AI129" s="105"/>
      <c r="AJ129" s="111"/>
      <c r="AK129" s="105"/>
      <c r="AL129" s="180"/>
      <c r="AM129" s="111"/>
      <c r="AN129" s="191"/>
      <c r="AO129" s="180"/>
      <c r="AP129" s="181"/>
      <c r="AR129" s="16">
        <f t="shared" si="47"/>
        <v>0</v>
      </c>
    </row>
    <row r="130" spans="2:47" x14ac:dyDescent="0.25">
      <c r="B130" s="179">
        <v>80</v>
      </c>
      <c r="C130" s="179" t="s">
        <v>44</v>
      </c>
      <c r="D130" s="186" t="s">
        <v>105</v>
      </c>
      <c r="E130" s="179" t="s">
        <v>250</v>
      </c>
      <c r="F130" s="179" t="str">
        <f>_xlfn.XLOOKUP($B130,'Procurement Strategy'!$B$12:$B$889,'Procurement Strategy'!$P$12:$P$889,"-",0)</f>
        <v/>
      </c>
      <c r="G130" s="179" t="s">
        <v>210</v>
      </c>
      <c r="H130" s="188">
        <v>46022</v>
      </c>
      <c r="I130" s="126" t="s">
        <v>166</v>
      </c>
      <c r="J130" s="103">
        <f>IFERROR(IF(OR(L130="",K130=""),"",L130-K130),"")</f>
        <v>46029</v>
      </c>
      <c r="K130" s="127">
        <f>INDEX('Work Package Master List'!$C$12:$Y$1000, MATCH($E130, 'Work Package Master List'!$B$12:$B$1000, 0), MATCH(J$11, 'Work Package Master List'!$C$13:$Y$13, 0))</f>
        <v>2</v>
      </c>
      <c r="L130" s="103">
        <f>IFERROR(IF(OR(N130="",M130=""),"",N130-M130),"")</f>
        <v>46031</v>
      </c>
      <c r="M130" s="127">
        <f>INDEX('Work Package Master List'!$C$12:$Y$1000, MATCH($E130, 'Work Package Master List'!$B$12:$B$1000, 0), MATCH(L$11, 'Work Package Master List'!$C$13:$Y$13, 0))</f>
        <v>1</v>
      </c>
      <c r="N130" s="103">
        <f>IFERROR(IF(OR(P130="",O130=""),"",P130-O130),"")</f>
        <v>46032</v>
      </c>
      <c r="O130" s="127">
        <f>INDEX('Work Package Master List'!$C$12:$Y$1000, MATCH($E130, 'Work Package Master List'!$B$12:$B$1000, 0), MATCH(N$11, 'Work Package Master List'!$C$13:$Y$13, 0))</f>
        <v>0</v>
      </c>
      <c r="P130" s="103">
        <f>IFERROR(IF(OR(R130="",Q130=""),"",R130-Q130),"")</f>
        <v>46032</v>
      </c>
      <c r="Q130" s="127">
        <f>INDEX('Work Package Master List'!$C$12:$Y$1000, MATCH($E130, 'Work Package Master List'!$B$12:$B$1000, 0), MATCH(P$11, 'Work Package Master List'!$C$13:$Y$13, 0))</f>
        <v>5</v>
      </c>
      <c r="R130" s="103">
        <f>IFERROR(IF(OR(T130="",S130=""),"",T130-S130),"")</f>
        <v>46037</v>
      </c>
      <c r="S130" s="127">
        <f>INDEX('Work Package Master List'!$C$12:$Y$1000, MATCH($E130, 'Work Package Master List'!$B$12:$B$1000, 0), MATCH(R$11, 'Work Package Master List'!$C$13:$Y$13, 0))</f>
        <v>5</v>
      </c>
      <c r="T130" s="103">
        <f>IFERROR(IF(OR(V130="",U130=""),"",V130-U130),"")</f>
        <v>46042</v>
      </c>
      <c r="U130" s="127">
        <f>INDEX('Work Package Master List'!$C$12:$Y$1000, MATCH($E130, 'Work Package Master List'!$B$12:$B$1000, 0), MATCH(T$11, 'Work Package Master List'!$C$13:$Y$13, 0))</f>
        <v>1</v>
      </c>
      <c r="V130" s="103">
        <f>IFERROR(IF(OR(X130="",W130=""),"",X130-W130),"")</f>
        <v>46043</v>
      </c>
      <c r="W130" s="127">
        <f>INDEX('Work Package Master List'!$C$12:$Y$1000, MATCH($E130, 'Work Package Master List'!$B$12:$B$1000, 0), MATCH(V$11, 'Work Package Master List'!$C$13:$Y$13, 0))</f>
        <v>3</v>
      </c>
      <c r="X130" s="103">
        <f>IFERROR(IF(OR(Z130="",Y130=""),"",Z130-Y130),"")</f>
        <v>46046</v>
      </c>
      <c r="Y130" s="127">
        <f>INDEX('Work Package Master List'!$C$12:$Y$1000, MATCH($E130, 'Work Package Master List'!$B$12:$B$1000, 0), MATCH(X$11, 'Work Package Master List'!$C$13:$Y$13, 0))</f>
        <v>2</v>
      </c>
      <c r="Z130" s="103">
        <f>IFERROR(IF(OR(AB130="",AA130=""),"",AB130-AA130),"")</f>
        <v>46048</v>
      </c>
      <c r="AA130" s="127">
        <f>INDEX('Work Package Master List'!$C$12:$Y$1000, MATCH($E130, 'Work Package Master List'!$B$12:$B$1000, 0), MATCH(Z$11, 'Work Package Master List'!$C$13:$Y$13, 0))</f>
        <v>7</v>
      </c>
      <c r="AB130" s="103">
        <f>IFERROR(IF(OR(AD130="",AC130=""),"",AD130-AC130),"")</f>
        <v>46055</v>
      </c>
      <c r="AC130" s="127">
        <f>INDEX('Work Package Master List'!$C$12:$Y$1000, MATCH($E130, 'Work Package Master List'!$B$12:$B$1000, 0), MATCH(AB$11, 'Work Package Master List'!$C$13:$Y$13, 0))</f>
        <v>3</v>
      </c>
      <c r="AD130" s="103">
        <f>IFERROR(IF(OR(AF130="",AE130=""),"",AF130-AE130),"")</f>
        <v>46058</v>
      </c>
      <c r="AE130" s="127">
        <f>INDEX('Work Package Master List'!$C$12:$Y$1000, MATCH($E130, 'Work Package Master List'!$B$12:$B$1000, 0), MATCH(AD$11, 'Work Package Master List'!$C$13:$Y$13, 0))</f>
        <v>1</v>
      </c>
      <c r="AF130" s="103">
        <f>IFERROR(IF(OR(AH130="",AG130=""),"",AH130-AG130),"")</f>
        <v>46059</v>
      </c>
      <c r="AG130" s="127">
        <f>INDEX('Work Package Master List'!$C$12:$Y$1000, MATCH($E130, 'Work Package Master List'!$B$12:$B$1000, 0), MATCH(AF$11, 'Work Package Master List'!$C$13:$Y$13, 0))</f>
        <v>2</v>
      </c>
      <c r="AH130" s="103">
        <f>IFERROR(IF(OR(AJ130="",AI130=""),"",AJ130-AI130),"")</f>
        <v>46061</v>
      </c>
      <c r="AI130" s="127">
        <f>INDEX('Work Package Master List'!$C$12:$Y$1000, MATCH($E130, 'Work Package Master List'!$B$12:$B$1000, 0), MATCH(AH$11, 'Work Package Master List'!$C$13:$Y$13, 0))</f>
        <v>2</v>
      </c>
      <c r="AJ130" s="103">
        <f>IFERROR(IF(OR(AM130="",AK130=""),"",AM130-AK130),"")</f>
        <v>46063</v>
      </c>
      <c r="AK130" s="127">
        <f>INDEX('Work Package Master List'!$C$12:$Y$1000, MATCH($E130, 'Work Package Master List'!$B$12:$B$1000, 0), MATCH(AJ$11, 'Work Package Master List'!$C$13:$Y$13, 0))</f>
        <v>5</v>
      </c>
      <c r="AL130" s="179"/>
      <c r="AM130" s="103">
        <v>46068</v>
      </c>
      <c r="AN130" s="190">
        <f t="shared" ref="AN130" si="56">IF(MAX($H130,$AM131,$AJ131,$AH131,$AF131,$AD131,$AB131,$Z131,$X131,$V131,$T131,$R131,$P131,$N131,$L131,$J131) = 0,"",MAX($H130,$AM131,$AJ131,$AH131,$AF131,$AD131,$AB131,$Z131,$X131,$V131,$T131,$R131,$P131,$N131,$L131,$J131))</f>
        <v>46022</v>
      </c>
      <c r="AO130" s="179" t="str">
        <f>_xlfn.IFNA(INDEX($J$7:$AM$7,_xlfn.XMATCH(MAX($AM131,$AJ131,$AH131,$AF131,$AD131,$AB131,$Z131,$X131,$V131,$T131,$R131,$P131,$N131,$L131,$J131),$J131:$AM131,0,-1)),"Awaiting DTP")</f>
        <v>Awaiting DTP</v>
      </c>
      <c r="AP130" s="181" t="s">
        <v>251</v>
      </c>
      <c r="AR130" s="16">
        <f t="shared" si="47"/>
        <v>39</v>
      </c>
      <c r="AU130" s="16" t="s">
        <v>251</v>
      </c>
    </row>
    <row r="131" spans="2:47" x14ac:dyDescent="0.25">
      <c r="B131" s="180"/>
      <c r="C131" s="180"/>
      <c r="D131" s="187"/>
      <c r="E131" s="180"/>
      <c r="F131" s="180"/>
      <c r="G131" s="180"/>
      <c r="H131" s="189"/>
      <c r="I131" s="105" t="s">
        <v>168</v>
      </c>
      <c r="J131" s="111"/>
      <c r="K131" s="105"/>
      <c r="L131" s="111"/>
      <c r="M131" s="105"/>
      <c r="N131" s="111"/>
      <c r="O131" s="105"/>
      <c r="P131" s="111"/>
      <c r="Q131" s="105"/>
      <c r="R131" s="111"/>
      <c r="S131" s="105"/>
      <c r="T131" s="111"/>
      <c r="U131" s="105"/>
      <c r="V131" s="111"/>
      <c r="W131" s="105"/>
      <c r="X131" s="111"/>
      <c r="Y131" s="105"/>
      <c r="Z131" s="111"/>
      <c r="AA131" s="105"/>
      <c r="AB131" s="111"/>
      <c r="AC131" s="105"/>
      <c r="AD131" s="111"/>
      <c r="AE131" s="105"/>
      <c r="AF131" s="111"/>
      <c r="AG131" s="105"/>
      <c r="AH131" s="111"/>
      <c r="AI131" s="105"/>
      <c r="AJ131" s="111"/>
      <c r="AK131" s="105"/>
      <c r="AL131" s="180"/>
      <c r="AM131" s="111"/>
      <c r="AN131" s="191"/>
      <c r="AO131" s="180"/>
      <c r="AP131" s="181"/>
      <c r="AR131" s="16">
        <f t="shared" si="47"/>
        <v>0</v>
      </c>
    </row>
    <row r="132" spans="2:47" x14ac:dyDescent="0.25">
      <c r="B132" s="194">
        <v>81</v>
      </c>
      <c r="C132" s="194" t="s">
        <v>44</v>
      </c>
      <c r="D132" s="196" t="s">
        <v>106</v>
      </c>
      <c r="E132" s="179" t="s">
        <v>252</v>
      </c>
      <c r="F132" s="179" t="str">
        <f>_xlfn.XLOOKUP($B132,'Procurement Strategy'!$B$12:$B$881,'Procurement Strategy'!$P$12:$P$881,"-",0)</f>
        <v>Yes</v>
      </c>
      <c r="G132" s="179" t="s">
        <v>176</v>
      </c>
      <c r="H132" s="188">
        <v>46022</v>
      </c>
      <c r="I132" s="126" t="s">
        <v>166</v>
      </c>
      <c r="J132" s="103">
        <f>IFERROR(IF(OR(L132="",K132=""),"",L132-K132),"")</f>
        <v>46118</v>
      </c>
      <c r="K132" s="127">
        <f>INDEX('Work Package Master List'!$C$12:$Y$1000, MATCH($E132, 'Work Package Master List'!$B$12:$B$1000, 0), MATCH(J$11, 'Work Package Master List'!$C$13:$Y$13, 0))</f>
        <v>2</v>
      </c>
      <c r="L132" s="103">
        <f>IFERROR(IF(OR(N132="",M132=""),"",N132-M132),"")</f>
        <v>46120</v>
      </c>
      <c r="M132" s="127">
        <f>INDEX('Work Package Master List'!$C$12:$Y$1000, MATCH($E132, 'Work Package Master List'!$B$12:$B$1000, 0), MATCH(L$11, 'Work Package Master List'!$C$13:$Y$13, 0))</f>
        <v>1</v>
      </c>
      <c r="N132" s="103">
        <f>IFERROR(IF(OR(P132="",O132=""),"",P132-O132),"")</f>
        <v>46121</v>
      </c>
      <c r="O132" s="127">
        <f>INDEX('Work Package Master List'!$C$12:$Y$1000, MATCH($E132, 'Work Package Master List'!$B$12:$B$1000, 0), MATCH(N$11, 'Work Package Master List'!$C$13:$Y$13, 0))</f>
        <v>0</v>
      </c>
      <c r="P132" s="103">
        <f>IFERROR(IF(OR(R132="",Q132=""),"",R132-Q132),"")</f>
        <v>46121</v>
      </c>
      <c r="Q132" s="127">
        <f>INDEX('Work Package Master List'!$C$12:$Y$1000, MATCH($E132, 'Work Package Master List'!$B$12:$B$1000, 0), MATCH(P$11, 'Work Package Master List'!$C$13:$Y$13, 0))</f>
        <v>5</v>
      </c>
      <c r="R132" s="103">
        <f>IFERROR(IF(OR(T132="",S132=""),"",T132-S132),"")</f>
        <v>46126</v>
      </c>
      <c r="S132" s="127">
        <f>INDEX('Work Package Master List'!$C$12:$Y$1000, MATCH($E132, 'Work Package Master List'!$B$12:$B$1000, 0), MATCH(R$11, 'Work Package Master List'!$C$13:$Y$13, 0))</f>
        <v>5</v>
      </c>
      <c r="T132" s="103">
        <f>IFERROR(IF(OR(V132="",U132=""),"",V132-U132),"")</f>
        <v>46131</v>
      </c>
      <c r="U132" s="127">
        <f>INDEX('Work Package Master List'!$C$12:$Y$1000, MATCH($E132, 'Work Package Master List'!$B$12:$B$1000, 0), MATCH(T$11, 'Work Package Master List'!$C$13:$Y$13, 0))</f>
        <v>1</v>
      </c>
      <c r="V132" s="103">
        <f>IFERROR(IF(OR(X132="",W132=""),"",X132-W132),"")</f>
        <v>46132</v>
      </c>
      <c r="W132" s="127">
        <f>INDEX('Work Package Master List'!$C$12:$Y$1000, MATCH($E132, 'Work Package Master List'!$B$12:$B$1000, 0), MATCH(V$11, 'Work Package Master List'!$C$13:$Y$13, 0))</f>
        <v>3</v>
      </c>
      <c r="X132" s="103">
        <f>IFERROR(IF(OR(Z132="",Y132=""),"",Z132-Y132),"")</f>
        <v>46135</v>
      </c>
      <c r="Y132" s="127">
        <f>INDEX('Work Package Master List'!$C$12:$Y$1000, MATCH($E132, 'Work Package Master List'!$B$12:$B$1000, 0), MATCH(X$11, 'Work Package Master List'!$C$13:$Y$13, 0))</f>
        <v>2</v>
      </c>
      <c r="Z132" s="103">
        <f>IFERROR(IF(OR(AB132="",AA132=""),"",AB132-AA132),"")</f>
        <v>46137</v>
      </c>
      <c r="AA132" s="127">
        <f>INDEX('Work Package Master List'!$C$12:$Y$1000, MATCH($E132, 'Work Package Master List'!$B$12:$B$1000, 0), MATCH(Z$11, 'Work Package Master List'!$C$13:$Y$13, 0))</f>
        <v>7</v>
      </c>
      <c r="AB132" s="103">
        <f>IFERROR(IF(OR(AD132="",AC132=""),"",AD132-AC132),"")</f>
        <v>46144</v>
      </c>
      <c r="AC132" s="127">
        <f>INDEX('Work Package Master List'!$C$12:$Y$1000, MATCH($E132, 'Work Package Master List'!$B$12:$B$1000, 0), MATCH(AB$11, 'Work Package Master List'!$C$13:$Y$13, 0))</f>
        <v>3</v>
      </c>
      <c r="AD132" s="103">
        <f>IFERROR(IF(OR(AF132="",AE132=""),"",AF132-AE132),"")</f>
        <v>46147</v>
      </c>
      <c r="AE132" s="127">
        <f>INDEX('Work Package Master List'!$C$12:$Y$1000, MATCH($E132, 'Work Package Master List'!$B$12:$B$1000, 0), MATCH(AD$11, 'Work Package Master List'!$C$13:$Y$13, 0))</f>
        <v>1</v>
      </c>
      <c r="AF132" s="103">
        <f>IFERROR(IF(OR(AH132="",AG132=""),"",AH132-AG132),"")</f>
        <v>46148</v>
      </c>
      <c r="AG132" s="127">
        <f>INDEX('Work Package Master List'!$C$12:$Y$1000, MATCH($E132, 'Work Package Master List'!$B$12:$B$1000, 0), MATCH(AF$11, 'Work Package Master List'!$C$13:$Y$13, 0))</f>
        <v>2</v>
      </c>
      <c r="AH132" s="103">
        <f>IFERROR(IF(OR(AJ132="",AI132=""),"",AJ132-AI132),"")</f>
        <v>46150</v>
      </c>
      <c r="AI132" s="127">
        <f>INDEX('Work Package Master List'!$C$12:$Y$1000, MATCH($E132, 'Work Package Master List'!$B$12:$B$1000, 0), MATCH(AH$11, 'Work Package Master List'!$C$13:$Y$13, 0))</f>
        <v>2</v>
      </c>
      <c r="AJ132" s="103">
        <f>IFERROR(IF(OR(AM132="",AK132=""),"",AM132-AK132),"")</f>
        <v>46152</v>
      </c>
      <c r="AK132" s="127">
        <f>INDEX('Work Package Master List'!$C$12:$Y$1000, MATCH($E132, 'Work Package Master List'!$B$12:$B$1000, 0), MATCH(AJ$11, 'Work Package Master List'!$C$13:$Y$13, 0))</f>
        <v>5</v>
      </c>
      <c r="AL132" s="179">
        <v>14995</v>
      </c>
      <c r="AM132" s="103">
        <v>46157</v>
      </c>
      <c r="AN132" s="190">
        <f t="shared" ref="AN132" si="57">IF(MAX($H132,$AM133,$AJ133,$AH133,$AF133,$AD133,$AB133,$Z133,$X133,$V133,$T133,$R133,$P133,$N133,$L133,$J133) = 0,"",MAX($H132,$AM133,$AJ133,$AH133,$AF133,$AD133,$AB133,$Z133,$X133,$V133,$T133,$R133,$P133,$N133,$L133,$J133))</f>
        <v>46114</v>
      </c>
      <c r="AO132" s="179" t="str">
        <f>_xlfn.IFNA(INDEX($J$7:$AM$7,_xlfn.XMATCH(MAX($AM133,$AJ133,$AH133,$AF133,$AD133,$AB133,$Z133,$X133,$V133,$T133,$R133,$P133,$N133,$L133,$J133),$J133:$AM133,0,-1)),"Awaiting DTP")</f>
        <v>Awarded</v>
      </c>
      <c r="AP132" s="203" t="s">
        <v>1323</v>
      </c>
      <c r="AR132" s="16">
        <f t="shared" si="47"/>
        <v>39</v>
      </c>
      <c r="AU132" s="16" t="s">
        <v>1323</v>
      </c>
    </row>
    <row r="133" spans="2:47" x14ac:dyDescent="0.25">
      <c r="B133" s="195"/>
      <c r="C133" s="195"/>
      <c r="D133" s="197"/>
      <c r="E133" s="180"/>
      <c r="F133" s="180"/>
      <c r="G133" s="180"/>
      <c r="H133" s="189"/>
      <c r="I133" s="105" t="s">
        <v>168</v>
      </c>
      <c r="J133" s="111">
        <v>46050</v>
      </c>
      <c r="K133" s="105"/>
      <c r="L133" s="111">
        <v>46051</v>
      </c>
      <c r="M133" s="105"/>
      <c r="N133" s="111">
        <v>46052</v>
      </c>
      <c r="O133" s="105"/>
      <c r="P133" s="111">
        <v>46052</v>
      </c>
      <c r="Q133" s="105"/>
      <c r="R133" s="111"/>
      <c r="S133" s="105"/>
      <c r="T133" s="111"/>
      <c r="U133" s="105"/>
      <c r="V133" s="111">
        <v>46052</v>
      </c>
      <c r="W133" s="105"/>
      <c r="X133" s="111">
        <v>46062</v>
      </c>
      <c r="Y133" s="105"/>
      <c r="Z133" s="111">
        <v>46062</v>
      </c>
      <c r="AA133" s="105"/>
      <c r="AB133" s="111"/>
      <c r="AC133" s="105"/>
      <c r="AD133" s="111"/>
      <c r="AE133" s="105"/>
      <c r="AF133" s="111"/>
      <c r="AG133" s="105"/>
      <c r="AH133" s="111"/>
      <c r="AI133" s="105"/>
      <c r="AJ133" s="111"/>
      <c r="AK133" s="105"/>
      <c r="AL133" s="180"/>
      <c r="AM133" s="111">
        <v>46114</v>
      </c>
      <c r="AN133" s="191"/>
      <c r="AO133" s="180"/>
      <c r="AP133" s="204"/>
      <c r="AR133" s="16">
        <f t="shared" si="47"/>
        <v>0</v>
      </c>
    </row>
    <row r="134" spans="2:47" x14ac:dyDescent="0.25">
      <c r="B134" s="194">
        <v>82</v>
      </c>
      <c r="C134" s="194" t="s">
        <v>44</v>
      </c>
      <c r="D134" s="196" t="s">
        <v>107</v>
      </c>
      <c r="E134" s="179" t="s">
        <v>253</v>
      </c>
      <c r="F134" s="179" t="str">
        <f>_xlfn.XLOOKUP($B134,'Procurement Strategy'!$B$12:$B$876,'Procurement Strategy'!$P$12:$P$876,"-",0)</f>
        <v/>
      </c>
      <c r="G134" s="179" t="s">
        <v>176</v>
      </c>
      <c r="H134" s="188">
        <v>46022</v>
      </c>
      <c r="I134" s="126" t="s">
        <v>166</v>
      </c>
      <c r="J134" s="103">
        <f>IFERROR(IF(OR(L134="",K134=""),"",L134-K134),"")</f>
        <v>46120</v>
      </c>
      <c r="K134" s="127">
        <f>INDEX('Work Package Master List'!$C$12:$Y$1000, MATCH($E134, 'Work Package Master List'!$B$12:$B$1000, 0), MATCH(J$11, 'Work Package Master List'!$C$13:$Y$13, 0))</f>
        <v>2</v>
      </c>
      <c r="L134" s="103">
        <f>IFERROR(IF(OR(N134="",M134=""),"",N134-M134),"")</f>
        <v>46122</v>
      </c>
      <c r="M134" s="127">
        <f>INDEX('Work Package Master List'!$C$12:$Y$1000, MATCH($E134, 'Work Package Master List'!$B$12:$B$1000, 0), MATCH(L$11, 'Work Package Master List'!$C$13:$Y$13, 0))</f>
        <v>1</v>
      </c>
      <c r="N134" s="103">
        <f>IFERROR(IF(OR(P134="",O134=""),"",P134-O134),"")</f>
        <v>46123</v>
      </c>
      <c r="O134" s="127">
        <f>INDEX('Work Package Master List'!$C$12:$Y$1000, MATCH($E134, 'Work Package Master List'!$B$12:$B$1000, 0), MATCH(N$11, 'Work Package Master List'!$C$13:$Y$13, 0))</f>
        <v>0</v>
      </c>
      <c r="P134" s="103">
        <f>IFERROR(IF(OR(R134="",Q134=""),"",R134-Q134),"")</f>
        <v>46123</v>
      </c>
      <c r="Q134" s="127">
        <f>INDEX('Work Package Master List'!$C$12:$Y$1000, MATCH($E134, 'Work Package Master List'!$B$12:$B$1000, 0), MATCH(P$11, 'Work Package Master List'!$C$13:$Y$13, 0))</f>
        <v>7</v>
      </c>
      <c r="R134" s="103">
        <f>IFERROR(IF(OR(T134="",S134=""),"",T134-S134),"")</f>
        <v>46130</v>
      </c>
      <c r="S134" s="127">
        <f>INDEX('Work Package Master List'!$C$12:$Y$1000, MATCH($E134, 'Work Package Master List'!$B$12:$B$1000, 0), MATCH(R$11, 'Work Package Master List'!$C$13:$Y$13, 0))</f>
        <v>5</v>
      </c>
      <c r="T134" s="103">
        <f>IFERROR(IF(OR(V134="",U134=""),"",V134-U134),"")</f>
        <v>46135</v>
      </c>
      <c r="U134" s="127">
        <f>INDEX('Work Package Master List'!$C$12:$Y$1000, MATCH($E134, 'Work Package Master List'!$B$12:$B$1000, 0), MATCH(T$11, 'Work Package Master List'!$C$13:$Y$13, 0))</f>
        <v>1</v>
      </c>
      <c r="V134" s="103">
        <f>IFERROR(IF(OR(X134="",W134=""),"",X134-W134),"")</f>
        <v>46136</v>
      </c>
      <c r="W134" s="127">
        <f>INDEX('Work Package Master List'!$C$12:$Y$1000, MATCH($E134, 'Work Package Master List'!$B$12:$B$1000, 0), MATCH(V$11, 'Work Package Master List'!$C$13:$Y$13, 0))</f>
        <v>3</v>
      </c>
      <c r="X134" s="103">
        <f>IFERROR(IF(OR(Z134="",Y134=""),"",Z134-Y134),"")</f>
        <v>46139</v>
      </c>
      <c r="Y134" s="127">
        <f>INDEX('Work Package Master List'!$C$12:$Y$1000, MATCH($E134, 'Work Package Master List'!$B$12:$B$1000, 0), MATCH(X$11, 'Work Package Master List'!$C$13:$Y$13, 0))</f>
        <v>2</v>
      </c>
      <c r="Z134" s="103">
        <f>IFERROR(IF(OR(AB134="",AA134=""),"",AB134-AA134),"")</f>
        <v>46141</v>
      </c>
      <c r="AA134" s="127">
        <f>INDEX('Work Package Master List'!$C$12:$Y$1000, MATCH($E134, 'Work Package Master List'!$B$12:$B$1000, 0), MATCH(Z$11, 'Work Package Master List'!$C$13:$Y$13, 0))</f>
        <v>3</v>
      </c>
      <c r="AB134" s="103">
        <f>IFERROR(IF(OR(AD134="",AC134=""),"",AD134-AC134),"")</f>
        <v>46144</v>
      </c>
      <c r="AC134" s="127">
        <f>INDEX('Work Package Master List'!$C$12:$Y$1000, MATCH($E134, 'Work Package Master List'!$B$12:$B$1000, 0), MATCH(AB$11, 'Work Package Master List'!$C$13:$Y$13, 0))</f>
        <v>3</v>
      </c>
      <c r="AD134" s="103">
        <f>IFERROR(IF(OR(AF134="",AE134=""),"",AF134-AE134),"")</f>
        <v>46147</v>
      </c>
      <c r="AE134" s="127">
        <f>INDEX('Work Package Master List'!$C$12:$Y$1000, MATCH($E134, 'Work Package Master List'!$B$12:$B$1000, 0), MATCH(AD$11, 'Work Package Master List'!$C$13:$Y$13, 0))</f>
        <v>1</v>
      </c>
      <c r="AF134" s="103">
        <f>IFERROR(IF(OR(AH134="",AG134=""),"",AH134-AG134),"")</f>
        <v>46148</v>
      </c>
      <c r="AG134" s="127">
        <f>INDEX('Work Package Master List'!$C$12:$Y$1000, MATCH($E134, 'Work Package Master List'!$B$12:$B$1000, 0), MATCH(AF$11, 'Work Package Master List'!$C$13:$Y$13, 0))</f>
        <v>2</v>
      </c>
      <c r="AH134" s="103">
        <f>IFERROR(IF(OR(AJ134="",AI134=""),"",AJ134-AI134),"")</f>
        <v>46150</v>
      </c>
      <c r="AI134" s="127">
        <f>INDEX('Work Package Master List'!$C$12:$Y$1000, MATCH($E134, 'Work Package Master List'!$B$12:$B$1000, 0), MATCH(AH$11, 'Work Package Master List'!$C$13:$Y$13, 0))</f>
        <v>2</v>
      </c>
      <c r="AJ134" s="103">
        <f>IFERROR(IF(OR(AM134="",AK134=""),"",AM134-AK134),"")</f>
        <v>46152</v>
      </c>
      <c r="AK134" s="127">
        <f>INDEX('Work Package Master List'!$C$12:$Y$1000, MATCH($E134, 'Work Package Master List'!$B$12:$B$1000, 0), MATCH(AJ$11, 'Work Package Master List'!$C$13:$Y$13, 0))</f>
        <v>5</v>
      </c>
      <c r="AL134" s="179">
        <v>16471</v>
      </c>
      <c r="AM134" s="103">
        <v>46157</v>
      </c>
      <c r="AN134" s="190">
        <f t="shared" ref="AN134" si="58">IF(MAX($H134,$AM135,$AJ135,$AH135,$AF135,$AD135,$AB135,$Z135,$X135,$V135,$T135,$R135,$P135,$N135,$L135,$J135) = 0,"",MAX($H134,$AM135,$AJ135,$AH135,$AF135,$AD135,$AB135,$Z135,$X135,$V135,$T135,$R135,$P135,$N135,$L135,$J135))</f>
        <v>46197</v>
      </c>
      <c r="AO134" s="179" t="str">
        <f>_xlfn.IFNA(INDEX($J$7:$AM$7,_xlfn.XMATCH(MAX($AM135,$AJ135,$AH135,$AF135,$AD135,$AB135,$Z135,$X135,$V135,$T135,$R135,$P135,$N135,$L135,$J135),$J135:$AM135,0,-1)),"Awaiting DTP")</f>
        <v>Awarded</v>
      </c>
      <c r="AP134" s="203" t="s">
        <v>1324</v>
      </c>
      <c r="AR134" s="16">
        <f t="shared" si="47"/>
        <v>37</v>
      </c>
      <c r="AU134" s="16" t="s">
        <v>1324</v>
      </c>
    </row>
    <row r="135" spans="2:47" x14ac:dyDescent="0.25">
      <c r="B135" s="195"/>
      <c r="C135" s="195"/>
      <c r="D135" s="197"/>
      <c r="E135" s="180"/>
      <c r="F135" s="180"/>
      <c r="G135" s="180"/>
      <c r="H135" s="189"/>
      <c r="I135" s="105" t="s">
        <v>168</v>
      </c>
      <c r="J135" s="111">
        <v>46050</v>
      </c>
      <c r="K135" s="105"/>
      <c r="L135" s="111">
        <v>46051</v>
      </c>
      <c r="M135" s="105"/>
      <c r="N135" s="111">
        <v>46052</v>
      </c>
      <c r="O135" s="105"/>
      <c r="P135" s="111">
        <v>46052</v>
      </c>
      <c r="Q135" s="105"/>
      <c r="R135" s="111"/>
      <c r="S135" s="105"/>
      <c r="T135" s="111"/>
      <c r="U135" s="105"/>
      <c r="V135" s="111">
        <v>46122</v>
      </c>
      <c r="W135" s="105"/>
      <c r="X135" s="111">
        <v>46134</v>
      </c>
      <c r="Y135" s="105"/>
      <c r="Z135" s="111">
        <v>46188</v>
      </c>
      <c r="AA135" s="105"/>
      <c r="AB135" s="111">
        <v>46188</v>
      </c>
      <c r="AC135" s="105"/>
      <c r="AD135" s="111">
        <v>46183</v>
      </c>
      <c r="AE135" s="105"/>
      <c r="AF135" s="111">
        <v>46183</v>
      </c>
      <c r="AG135" s="105"/>
      <c r="AH135" s="111">
        <v>46188</v>
      </c>
      <c r="AI135" s="105"/>
      <c r="AJ135" s="111">
        <v>46197</v>
      </c>
      <c r="AK135" s="105"/>
      <c r="AL135" s="180"/>
      <c r="AM135" s="111">
        <v>46197</v>
      </c>
      <c r="AN135" s="191"/>
      <c r="AO135" s="180"/>
      <c r="AP135" s="204"/>
      <c r="AR135" s="16">
        <f t="shared" si="47"/>
        <v>0</v>
      </c>
    </row>
    <row r="136" spans="2:47" x14ac:dyDescent="0.25">
      <c r="B136" s="194">
        <v>83</v>
      </c>
      <c r="C136" s="194" t="s">
        <v>44</v>
      </c>
      <c r="D136" s="196" t="s">
        <v>108</v>
      </c>
      <c r="E136" s="179" t="s">
        <v>254</v>
      </c>
      <c r="F136" s="179" t="str">
        <f>_xlfn.XLOOKUP($B136,'Procurement Strategy'!$B$12:$B$866,'Procurement Strategy'!$P$12:$P$866,"-",0)</f>
        <v/>
      </c>
      <c r="G136" s="179" t="s">
        <v>176</v>
      </c>
      <c r="H136" s="188">
        <v>46022</v>
      </c>
      <c r="I136" s="126" t="s">
        <v>166</v>
      </c>
      <c r="J136" s="103">
        <f>IFERROR(IF(OR(L136="",K136=""),"",L136-K136),"")</f>
        <v>46105</v>
      </c>
      <c r="K136" s="127">
        <f>INDEX('Work Package Master List'!$C$12:$Y$1000, MATCH($E136, 'Work Package Master List'!$B$12:$B$1000, 0), MATCH(J$11, 'Work Package Master List'!$C$13:$Y$13, 0))</f>
        <v>2</v>
      </c>
      <c r="L136" s="103">
        <f>IFERROR(IF(OR(N136="",M136=""),"",N136-M136),"")</f>
        <v>46107</v>
      </c>
      <c r="M136" s="127">
        <f>INDEX('Work Package Master List'!$C$12:$Y$1000, MATCH($E136, 'Work Package Master List'!$B$12:$B$1000, 0), MATCH(L$11, 'Work Package Master List'!$C$13:$Y$13, 0))</f>
        <v>1</v>
      </c>
      <c r="N136" s="103">
        <f>IFERROR(IF(OR(P136="",O136=""),"",P136-O136),"")</f>
        <v>46108</v>
      </c>
      <c r="O136" s="127">
        <f>INDEX('Work Package Master List'!$C$12:$Y$1000, MATCH($E136, 'Work Package Master List'!$B$12:$B$1000, 0), MATCH(N$11, 'Work Package Master List'!$C$13:$Y$13, 0))</f>
        <v>0</v>
      </c>
      <c r="P136" s="103">
        <f>IFERROR(IF(OR(R136="",Q136=""),"",R136-Q136),"")</f>
        <v>46108</v>
      </c>
      <c r="Q136" s="127">
        <f>INDEX('Work Package Master List'!$C$12:$Y$1000, MATCH($E136, 'Work Package Master List'!$B$12:$B$1000, 0), MATCH(P$11, 'Work Package Master List'!$C$13:$Y$13, 0))</f>
        <v>7</v>
      </c>
      <c r="R136" s="103">
        <f>IFERROR(IF(OR(T136="",S136=""),"",T136-S136),"")</f>
        <v>46115</v>
      </c>
      <c r="S136" s="127">
        <f>INDEX('Work Package Master List'!$C$12:$Y$1000, MATCH($E136, 'Work Package Master List'!$B$12:$B$1000, 0), MATCH(R$11, 'Work Package Master List'!$C$13:$Y$13, 0))</f>
        <v>5</v>
      </c>
      <c r="T136" s="103">
        <f>IFERROR(IF(OR(V136="",U136=""),"",V136-U136),"")</f>
        <v>46120</v>
      </c>
      <c r="U136" s="127">
        <f>INDEX('Work Package Master List'!$C$12:$Y$1000, MATCH($E136, 'Work Package Master List'!$B$12:$B$1000, 0), MATCH(T$11, 'Work Package Master List'!$C$13:$Y$13, 0))</f>
        <v>1</v>
      </c>
      <c r="V136" s="103">
        <f>IFERROR(IF(OR(X136="",W136=""),"",X136-W136),"")</f>
        <v>46121</v>
      </c>
      <c r="W136" s="127">
        <f>INDEX('Work Package Master List'!$C$12:$Y$1000, MATCH($E136, 'Work Package Master List'!$B$12:$B$1000, 0), MATCH(V$11, 'Work Package Master List'!$C$13:$Y$13, 0))</f>
        <v>3</v>
      </c>
      <c r="X136" s="103">
        <f>IFERROR(IF(OR(Z136="",Y136=""),"",Z136-Y136),"")</f>
        <v>46124</v>
      </c>
      <c r="Y136" s="127">
        <f>INDEX('Work Package Master List'!$C$12:$Y$1000, MATCH($E136, 'Work Package Master List'!$B$12:$B$1000, 0), MATCH(X$11, 'Work Package Master List'!$C$13:$Y$13, 0))</f>
        <v>2</v>
      </c>
      <c r="Z136" s="103">
        <f>IFERROR(IF(OR(AB136="",AA136=""),"",AB136-AA136),"")</f>
        <v>46126</v>
      </c>
      <c r="AA136" s="127">
        <f>INDEX('Work Package Master List'!$C$12:$Y$1000, MATCH($E136, 'Work Package Master List'!$B$12:$B$1000, 0), MATCH(Z$11, 'Work Package Master List'!$C$13:$Y$13, 0))</f>
        <v>3</v>
      </c>
      <c r="AB136" s="103">
        <f>IFERROR(IF(OR(AD136="",AC136=""),"",AD136-AC136),"")</f>
        <v>46129</v>
      </c>
      <c r="AC136" s="127">
        <f>INDEX('Work Package Master List'!$C$12:$Y$1000, MATCH($E136, 'Work Package Master List'!$B$12:$B$1000, 0), MATCH(AB$11, 'Work Package Master List'!$C$13:$Y$13, 0))</f>
        <v>3</v>
      </c>
      <c r="AD136" s="103">
        <f>IFERROR(IF(OR(AF136="",AE136=""),"",AF136-AE136),"")</f>
        <v>46132</v>
      </c>
      <c r="AE136" s="127">
        <f>INDEX('Work Package Master List'!$C$12:$Y$1000, MATCH($E136, 'Work Package Master List'!$B$12:$B$1000, 0), MATCH(AD$11, 'Work Package Master List'!$C$13:$Y$13, 0))</f>
        <v>1</v>
      </c>
      <c r="AF136" s="103">
        <f>IFERROR(IF(OR(AH136="",AG136=""),"",AH136-AG136),"")</f>
        <v>46133</v>
      </c>
      <c r="AG136" s="127">
        <f>INDEX('Work Package Master List'!$C$12:$Y$1000, MATCH($E136, 'Work Package Master List'!$B$12:$B$1000, 0), MATCH(AF$11, 'Work Package Master List'!$C$13:$Y$13, 0))</f>
        <v>2</v>
      </c>
      <c r="AH136" s="103">
        <f>IFERROR(IF(OR(AJ136="",AI136=""),"",AJ136-AI136),"")</f>
        <v>46135</v>
      </c>
      <c r="AI136" s="127">
        <f>INDEX('Work Package Master List'!$C$12:$Y$1000, MATCH($E136, 'Work Package Master List'!$B$12:$B$1000, 0), MATCH(AH$11, 'Work Package Master List'!$C$13:$Y$13, 0))</f>
        <v>2</v>
      </c>
      <c r="AJ136" s="103">
        <f>IFERROR(IF(OR(AM136="",AK136=""),"",AM136-AK136),"")</f>
        <v>46137</v>
      </c>
      <c r="AK136" s="127">
        <f>INDEX('Work Package Master List'!$C$12:$Y$1000, MATCH($E136, 'Work Package Master List'!$B$12:$B$1000, 0), MATCH(AJ$11, 'Work Package Master List'!$C$13:$Y$13, 0))</f>
        <v>5</v>
      </c>
      <c r="AL136" s="179">
        <v>15898</v>
      </c>
      <c r="AM136" s="103">
        <v>46142</v>
      </c>
      <c r="AN136" s="190">
        <f t="shared" ref="AN136" si="59">IF(MAX($H136,$AM137,$AJ137,$AH137,$AF137,$AD137,$AB137,$Z137,$X137,$V137,$T137,$R137,$P137,$N137,$L137,$J137) = 0,"",MAX($H136,$AM137,$AJ137,$AH137,$AF137,$AD137,$AB137,$Z137,$X137,$V137,$T137,$R137,$P137,$N137,$L137,$J137))</f>
        <v>46163</v>
      </c>
      <c r="AO136" s="179" t="str">
        <f>_xlfn.IFNA(INDEX($J$7:$AM$7,_xlfn.XMATCH(MAX($AM137,$AJ137,$AH137,$AF137,$AD137,$AB137,$Z137,$X137,$V137,$T137,$R137,$P137,$N137,$L137,$J137),$J137:$AM137,0,-1)),"Awaiting DTP")</f>
        <v>Awarded</v>
      </c>
      <c r="AP136" s="203" t="s">
        <v>255</v>
      </c>
      <c r="AR136" s="16">
        <f t="shared" si="47"/>
        <v>37</v>
      </c>
      <c r="AU136" s="16" t="s">
        <v>255</v>
      </c>
    </row>
    <row r="137" spans="2:47" x14ac:dyDescent="0.25">
      <c r="B137" s="195"/>
      <c r="C137" s="195"/>
      <c r="D137" s="197"/>
      <c r="E137" s="180"/>
      <c r="F137" s="180"/>
      <c r="G137" s="180"/>
      <c r="H137" s="189"/>
      <c r="I137" s="105" t="s">
        <v>168</v>
      </c>
      <c r="J137" s="111">
        <v>46042</v>
      </c>
      <c r="K137" s="105"/>
      <c r="L137" s="111">
        <v>46042</v>
      </c>
      <c r="M137" s="105"/>
      <c r="N137" s="111">
        <v>46042</v>
      </c>
      <c r="O137" s="105"/>
      <c r="P137" s="111">
        <v>46042</v>
      </c>
      <c r="Q137" s="105"/>
      <c r="R137" s="111"/>
      <c r="S137" s="105"/>
      <c r="T137" s="111"/>
      <c r="U137" s="105"/>
      <c r="V137" s="111">
        <v>46043</v>
      </c>
      <c r="W137" s="105"/>
      <c r="X137" s="111">
        <v>46049</v>
      </c>
      <c r="Y137" s="105"/>
      <c r="Z137" s="111"/>
      <c r="AA137" s="105"/>
      <c r="AB137" s="111"/>
      <c r="AC137" s="105"/>
      <c r="AD137" s="111"/>
      <c r="AE137" s="105"/>
      <c r="AF137" s="111"/>
      <c r="AG137" s="105"/>
      <c r="AH137" s="111"/>
      <c r="AI137" s="105"/>
      <c r="AJ137" s="111"/>
      <c r="AK137" s="105"/>
      <c r="AL137" s="180"/>
      <c r="AM137" s="111">
        <v>46163</v>
      </c>
      <c r="AN137" s="191"/>
      <c r="AO137" s="180"/>
      <c r="AP137" s="204"/>
      <c r="AR137" s="16">
        <f t="shared" si="47"/>
        <v>0</v>
      </c>
    </row>
    <row r="138" spans="2:47" x14ac:dyDescent="0.25">
      <c r="B138" s="195">
        <v>84</v>
      </c>
      <c r="C138" s="195" t="s">
        <v>44</v>
      </c>
      <c r="D138" s="197" t="s">
        <v>109</v>
      </c>
      <c r="E138" s="180" t="s">
        <v>256</v>
      </c>
      <c r="F138" s="180" t="str">
        <f>_xlfn.XLOOKUP($B138,'Procurement Strategy'!$B$12:$B$859,'Procurement Strategy'!$P$12:$P$859,"-",0)</f>
        <v/>
      </c>
      <c r="G138" s="179" t="s">
        <v>210</v>
      </c>
      <c r="H138" s="189">
        <v>46022</v>
      </c>
      <c r="I138" s="125" t="s">
        <v>166</v>
      </c>
      <c r="J138" s="115">
        <f>IFERROR(IF(OR(L138="",K138=""),"",L138-K138),"")</f>
        <v>46087</v>
      </c>
      <c r="K138" s="128">
        <f>INDEX('Work Package Master List'!$C$12:$Y$1000, MATCH($E138, 'Work Package Master List'!$B$12:$B$1000, 0), MATCH(J$11, 'Work Package Master List'!$C$13:$Y$13, 0))</f>
        <v>2</v>
      </c>
      <c r="L138" s="115">
        <f>IFERROR(IF(OR(N138="",M138=""),"",N138-M138),"")</f>
        <v>46089</v>
      </c>
      <c r="M138" s="128">
        <f>INDEX('Work Package Master List'!$C$12:$Y$1000, MATCH($E138, 'Work Package Master List'!$B$12:$B$1000, 0), MATCH(L$11, 'Work Package Master List'!$C$13:$Y$13, 0))</f>
        <v>1</v>
      </c>
      <c r="N138" s="115">
        <f>IFERROR(IF(OR(P138="",O138=""),"",P138-O138),"")</f>
        <v>46090</v>
      </c>
      <c r="O138" s="128">
        <f>INDEX('Work Package Master List'!$C$12:$Y$1000, MATCH($E138, 'Work Package Master List'!$B$12:$B$1000, 0), MATCH(N$11, 'Work Package Master List'!$C$13:$Y$13, 0))</f>
        <v>0</v>
      </c>
      <c r="P138" s="115">
        <f>IFERROR(IF(OR(R138="",Q138=""),"",R138-Q138),"")</f>
        <v>46090</v>
      </c>
      <c r="Q138" s="128">
        <f>INDEX('Work Package Master List'!$C$12:$Y$1000, MATCH($E138, 'Work Package Master List'!$B$12:$B$1000, 0), MATCH(P$11, 'Work Package Master List'!$C$13:$Y$13, 0))</f>
        <v>10</v>
      </c>
      <c r="R138" s="115">
        <f>IFERROR(IF(OR(T138="",S138=""),"",T138-S138),"")</f>
        <v>46100</v>
      </c>
      <c r="S138" s="128">
        <f>INDEX('Work Package Master List'!$C$12:$Y$1000, MATCH($E138, 'Work Package Master List'!$B$12:$B$1000, 0), MATCH(R$11, 'Work Package Master List'!$C$13:$Y$13, 0))</f>
        <v>5</v>
      </c>
      <c r="T138" s="115">
        <f>IFERROR(IF(OR(V138="",U138=""),"",V138-U138),"")</f>
        <v>46105</v>
      </c>
      <c r="U138" s="128">
        <f>INDEX('Work Package Master List'!$C$12:$Y$1000, MATCH($E138, 'Work Package Master List'!$B$12:$B$1000, 0), MATCH(T$11, 'Work Package Master List'!$C$13:$Y$13, 0))</f>
        <v>1</v>
      </c>
      <c r="V138" s="115">
        <f>IFERROR(IF(OR(X138="",W138=""),"",X138-W138),"")</f>
        <v>46106</v>
      </c>
      <c r="W138" s="128">
        <f>INDEX('Work Package Master List'!$C$12:$Y$1000, MATCH($E138, 'Work Package Master List'!$B$12:$B$1000, 0), MATCH(V$11, 'Work Package Master List'!$C$13:$Y$13, 0))</f>
        <v>3</v>
      </c>
      <c r="X138" s="115">
        <f>IFERROR(IF(OR(Z138="",Y138=""),"",Z138-Y138),"")</f>
        <v>46109</v>
      </c>
      <c r="Y138" s="128">
        <f>INDEX('Work Package Master List'!$C$12:$Y$1000, MATCH($E138, 'Work Package Master List'!$B$12:$B$1000, 0), MATCH(X$11, 'Work Package Master List'!$C$13:$Y$13, 0))</f>
        <v>2</v>
      </c>
      <c r="Z138" s="115">
        <f>IFERROR(IF(OR(AB138="",AA138=""),"",AB138-AA138),"")</f>
        <v>46111</v>
      </c>
      <c r="AA138" s="128">
        <f>INDEX('Work Package Master List'!$C$12:$Y$1000, MATCH($E138, 'Work Package Master List'!$B$12:$B$1000, 0), MATCH(Z$11, 'Work Package Master List'!$C$13:$Y$13, 0))</f>
        <v>3</v>
      </c>
      <c r="AB138" s="115">
        <f>IFERROR(IF(OR(AD138="",AC138=""),"",AD138-AC138),"")</f>
        <v>46114</v>
      </c>
      <c r="AC138" s="128">
        <f>INDEX('Work Package Master List'!$C$12:$Y$1000, MATCH($E138, 'Work Package Master List'!$B$12:$B$1000, 0), MATCH(AB$11, 'Work Package Master List'!$C$13:$Y$13, 0))</f>
        <v>3</v>
      </c>
      <c r="AD138" s="115">
        <f>IFERROR(IF(OR(AF138="",AE138=""),"",AF138-AE138),"")</f>
        <v>46117</v>
      </c>
      <c r="AE138" s="128">
        <f>INDEX('Work Package Master List'!$C$12:$Y$1000, MATCH($E138, 'Work Package Master List'!$B$12:$B$1000, 0), MATCH(AD$11, 'Work Package Master List'!$C$13:$Y$13, 0))</f>
        <v>1</v>
      </c>
      <c r="AF138" s="115">
        <f>IFERROR(IF(OR(AH138="",AG138=""),"",AH138-AG138),"")</f>
        <v>46118</v>
      </c>
      <c r="AG138" s="128">
        <f>INDEX('Work Package Master List'!$C$12:$Y$1000, MATCH($E138, 'Work Package Master List'!$B$12:$B$1000, 0), MATCH(AF$11, 'Work Package Master List'!$C$13:$Y$13, 0))</f>
        <v>2</v>
      </c>
      <c r="AH138" s="115">
        <f>IFERROR(IF(OR(AJ138="",AI138=""),"",AJ138-AI138),"")</f>
        <v>46120</v>
      </c>
      <c r="AI138" s="128">
        <f>INDEX('Work Package Master List'!$C$12:$Y$1000, MATCH($E138, 'Work Package Master List'!$B$12:$B$1000, 0), MATCH(AH$11, 'Work Package Master List'!$C$13:$Y$13, 0))</f>
        <v>2</v>
      </c>
      <c r="AJ138" s="115">
        <f>IFERROR(IF(OR(AM138="",AK138=""),"",AM138-AK138),"")</f>
        <v>46122</v>
      </c>
      <c r="AK138" s="128">
        <f>INDEX('Work Package Master List'!$C$12:$Y$1000, MATCH($E138, 'Work Package Master List'!$B$12:$B$1000, 0), MATCH(AJ$11, 'Work Package Master List'!$C$13:$Y$13, 0))</f>
        <v>5</v>
      </c>
      <c r="AL138" s="180"/>
      <c r="AM138" s="115">
        <v>46127</v>
      </c>
      <c r="AN138" s="191">
        <f t="shared" ref="AN138" si="60">IF(MAX($H138,$AM139,$AJ139,$AH139,$AF139,$AD139,$AB139,$Z139,$X139,$V139,$T139,$R139,$P139,$N139,$L139,$J139) = 0,"",MAX($H138,$AM139,$AJ139,$AH139,$AF139,$AD139,$AB139,$Z139,$X139,$V139,$T139,$R139,$P139,$N139,$L139,$J139))</f>
        <v>46291</v>
      </c>
      <c r="AO138" s="180" t="str">
        <f>_xlfn.IFNA(INDEX($J$7:$AM$7,_xlfn.XMATCH(MAX($AM139,$AJ139,$AH139,$AF139,$AD139,$AB139,$Z139,$X139,$V139,$T139,$R139,$P139,$N139,$L139,$J139),$J139:$AM139,0,-1)),"Awaiting DTP")</f>
        <v>PTC Stage</v>
      </c>
      <c r="AP138" s="181" t="s">
        <v>1337</v>
      </c>
      <c r="AR138" s="16">
        <f t="shared" si="47"/>
        <v>40</v>
      </c>
      <c r="AU138" s="16" t="s">
        <v>1337</v>
      </c>
    </row>
    <row r="139" spans="2:47" x14ac:dyDescent="0.25">
      <c r="B139" s="194"/>
      <c r="C139" s="194"/>
      <c r="D139" s="196"/>
      <c r="E139" s="179"/>
      <c r="F139" s="179"/>
      <c r="G139" s="180"/>
      <c r="H139" s="188"/>
      <c r="I139" s="91" t="s">
        <v>168</v>
      </c>
      <c r="J139" s="106"/>
      <c r="K139" s="91"/>
      <c r="L139" s="106"/>
      <c r="M139" s="91"/>
      <c r="N139" s="106"/>
      <c r="O139" s="91"/>
      <c r="P139" s="106"/>
      <c r="Q139" s="91"/>
      <c r="R139" s="106"/>
      <c r="S139" s="91"/>
      <c r="T139" s="106"/>
      <c r="U139" s="91"/>
      <c r="V139" s="106">
        <v>46255</v>
      </c>
      <c r="W139" s="91"/>
      <c r="X139" s="106">
        <v>46255</v>
      </c>
      <c r="Y139" s="91"/>
      <c r="Z139" s="106">
        <v>46291</v>
      </c>
      <c r="AA139" s="91"/>
      <c r="AB139" s="106"/>
      <c r="AC139" s="91"/>
      <c r="AD139" s="106"/>
      <c r="AE139" s="91"/>
      <c r="AF139" s="106"/>
      <c r="AG139" s="91"/>
      <c r="AH139" s="106"/>
      <c r="AI139" s="91"/>
      <c r="AJ139" s="106"/>
      <c r="AK139" s="91"/>
      <c r="AL139" s="179"/>
      <c r="AM139" s="106"/>
      <c r="AN139" s="190"/>
      <c r="AO139" s="179"/>
      <c r="AP139" s="181"/>
      <c r="AR139" s="16">
        <f t="shared" si="47"/>
        <v>0</v>
      </c>
    </row>
    <row r="140" spans="2:47" ht="14.65" customHeight="1" x14ac:dyDescent="0.25">
      <c r="B140" s="201">
        <v>87</v>
      </c>
      <c r="C140" s="201" t="s">
        <v>44</v>
      </c>
      <c r="D140" s="202" t="s">
        <v>110</v>
      </c>
      <c r="E140" s="199" t="s">
        <v>257</v>
      </c>
      <c r="F140" s="199" t="str">
        <f>_xlfn.XLOOKUP($B140,'Procurement Strategy'!$B$12:$B$845,'Procurement Strategy'!$P$12:$P$845,"-",0)</f>
        <v/>
      </c>
      <c r="G140" s="179" t="s">
        <v>210</v>
      </c>
      <c r="H140" s="198">
        <v>46022</v>
      </c>
      <c r="I140" s="129" t="s">
        <v>166</v>
      </c>
      <c r="J140" s="116">
        <f>IFERROR(IF(OR(L140="",K140=""),"",L140-K140),"")</f>
        <v>46348</v>
      </c>
      <c r="K140" s="130">
        <f>INDEX('Work Package Master List'!$C$12:$Y$1000, MATCH($E140, 'Work Package Master List'!$B$12:$B$1000, 0), MATCH(J$11, 'Work Package Master List'!$C$13:$Y$13, 0))</f>
        <v>2</v>
      </c>
      <c r="L140" s="116">
        <f>IFERROR(IF(OR(N140="",M140=""),"",N140-M140),"")</f>
        <v>46350</v>
      </c>
      <c r="M140" s="130">
        <f>INDEX('Work Package Master List'!$C$12:$Y$1000, MATCH($E140, 'Work Package Master List'!$B$12:$B$1000, 0), MATCH(L$11, 'Work Package Master List'!$C$13:$Y$13, 0))</f>
        <v>1</v>
      </c>
      <c r="N140" s="116">
        <f>IFERROR(IF(OR(P140="",O140=""),"",P140-O140),"")</f>
        <v>46351</v>
      </c>
      <c r="O140" s="130">
        <f>INDEX('Work Package Master List'!$C$12:$Y$1000, MATCH($E140, 'Work Package Master List'!$B$12:$B$1000, 0), MATCH(N$11, 'Work Package Master List'!$C$13:$Y$13, 0))</f>
        <v>0</v>
      </c>
      <c r="P140" s="116">
        <f>IFERROR(IF(OR(R140="",Q140=""),"",R140-Q140),"")</f>
        <v>46351</v>
      </c>
      <c r="Q140" s="130">
        <f>INDEX('Work Package Master List'!$C$12:$Y$1000, MATCH($E140, 'Work Package Master List'!$B$12:$B$1000, 0), MATCH(P$11, 'Work Package Master List'!$C$13:$Y$13, 0))</f>
        <v>5</v>
      </c>
      <c r="R140" s="116">
        <f>IFERROR(IF(OR(T140="",S140=""),"",T140-S140),"")</f>
        <v>46356</v>
      </c>
      <c r="S140" s="130">
        <f>INDEX('Work Package Master List'!$C$12:$Y$1000, MATCH($E140, 'Work Package Master List'!$B$12:$B$1000, 0), MATCH(R$11, 'Work Package Master List'!$C$13:$Y$13, 0))</f>
        <v>5</v>
      </c>
      <c r="T140" s="116">
        <f>IFERROR(IF(OR(V140="",U140=""),"",V140-U140),"")</f>
        <v>46361</v>
      </c>
      <c r="U140" s="130">
        <f>INDEX('Work Package Master List'!$C$12:$Y$1000, MATCH($E140, 'Work Package Master List'!$B$12:$B$1000, 0), MATCH(T$11, 'Work Package Master List'!$C$13:$Y$13, 0))</f>
        <v>1</v>
      </c>
      <c r="V140" s="116">
        <f>IFERROR(IF(OR(X140="",W140=""),"",X140-W140),"")</f>
        <v>46362</v>
      </c>
      <c r="W140" s="130">
        <f>INDEX('Work Package Master List'!$C$12:$Y$1000, MATCH($E140, 'Work Package Master List'!$B$12:$B$1000, 0), MATCH(V$11, 'Work Package Master List'!$C$13:$Y$13, 0))</f>
        <v>3</v>
      </c>
      <c r="X140" s="116">
        <f>IFERROR(IF(OR(Z140="",Y140=""),"",Z140-Y140),"")</f>
        <v>46365</v>
      </c>
      <c r="Y140" s="130">
        <f>INDEX('Work Package Master List'!$C$12:$Y$1000, MATCH($E140, 'Work Package Master List'!$B$12:$B$1000, 0), MATCH(X$11, 'Work Package Master List'!$C$13:$Y$13, 0))</f>
        <v>2</v>
      </c>
      <c r="Z140" s="116">
        <f>IFERROR(IF(OR(AB140="",AA140=""),"",AB140-AA140),"")</f>
        <v>46367</v>
      </c>
      <c r="AA140" s="130">
        <f>INDEX('Work Package Master List'!$C$12:$Y$1000, MATCH($E140, 'Work Package Master List'!$B$12:$B$1000, 0), MATCH(Z$11, 'Work Package Master List'!$C$13:$Y$13, 0))</f>
        <v>7</v>
      </c>
      <c r="AB140" s="116">
        <f>IFERROR(IF(OR(AD140="",AC140=""),"",AD140-AC140),"")</f>
        <v>46374</v>
      </c>
      <c r="AC140" s="130">
        <f>INDEX('Work Package Master List'!$C$12:$Y$1000, MATCH($E140, 'Work Package Master List'!$B$12:$B$1000, 0), MATCH(AB$11, 'Work Package Master List'!$C$13:$Y$13, 0))</f>
        <v>3</v>
      </c>
      <c r="AD140" s="116">
        <f>IFERROR(IF(OR(AF140="",AE140=""),"",AF140-AE140),"")</f>
        <v>46377</v>
      </c>
      <c r="AE140" s="130">
        <f>INDEX('Work Package Master List'!$C$12:$Y$1000, MATCH($E140, 'Work Package Master List'!$B$12:$B$1000, 0), MATCH(AD$11, 'Work Package Master List'!$C$13:$Y$13, 0))</f>
        <v>1</v>
      </c>
      <c r="AF140" s="116">
        <f>IFERROR(IF(OR(AH140="",AG140=""),"",AH140-AG140),"")</f>
        <v>46378</v>
      </c>
      <c r="AG140" s="130">
        <f>INDEX('Work Package Master List'!$C$12:$Y$1000, MATCH($E140, 'Work Package Master List'!$B$12:$B$1000, 0), MATCH(AF$11, 'Work Package Master List'!$C$13:$Y$13, 0))</f>
        <v>2</v>
      </c>
      <c r="AH140" s="116">
        <f>IFERROR(IF(OR(AJ140="",AI140=""),"",AJ140-AI140),"")</f>
        <v>46380</v>
      </c>
      <c r="AI140" s="130">
        <f>INDEX('Work Package Master List'!$C$12:$Y$1000, MATCH($E140, 'Work Package Master List'!$B$12:$B$1000, 0), MATCH(AH$11, 'Work Package Master List'!$C$13:$Y$13, 0))</f>
        <v>2</v>
      </c>
      <c r="AJ140" s="116">
        <f>IFERROR(IF(OR(AM140="",AK140=""),"",AM140-AK140),"")</f>
        <v>46382</v>
      </c>
      <c r="AK140" s="130">
        <f>INDEX('Work Package Master List'!$C$12:$Y$1000, MATCH($E140, 'Work Package Master List'!$B$12:$B$1000, 0), MATCH(AJ$11, 'Work Package Master List'!$C$13:$Y$13, 0))</f>
        <v>5</v>
      </c>
      <c r="AL140" s="199"/>
      <c r="AM140" s="103">
        <v>46387</v>
      </c>
      <c r="AN140" s="200">
        <f t="shared" ref="AN140" si="61">IF(MAX($H140,$AM141,$AJ141,$AH141,$AF141,$AD141,$AB141,$Z141,$X141,$V141,$T141,$R141,$P141,$N141,$L141,$J141) = 0,"",MAX($H140,$AM141,$AJ141,$AH141,$AF141,$AD141,$AB141,$Z141,$X141,$V141,$T141,$R141,$P141,$N141,$L141,$J141))</f>
        <v>46022</v>
      </c>
      <c r="AO140" s="199" t="str">
        <f>_xlfn.IFNA(INDEX($J$7:$AM$7,_xlfn.XMATCH(MAX($AM141,$AJ141,$AH141,$AF141,$AD141,$AB141,$Z141,$X141,$V141,$T141,$R141,$P141,$N141,$L141,$J141),$J141:$AM141,0,-1)),"Awaiting DTP")</f>
        <v>Awaiting DTP</v>
      </c>
      <c r="AP140" s="181" t="s">
        <v>251</v>
      </c>
      <c r="AR140" s="16">
        <f t="shared" si="47"/>
        <v>39</v>
      </c>
      <c r="AU140" s="16" t="s">
        <v>251</v>
      </c>
    </row>
    <row r="141" spans="2:47" x14ac:dyDescent="0.25">
      <c r="B141" s="195"/>
      <c r="C141" s="195"/>
      <c r="D141" s="197"/>
      <c r="E141" s="180"/>
      <c r="F141" s="180"/>
      <c r="G141" s="180"/>
      <c r="H141" s="189"/>
      <c r="I141" s="105" t="s">
        <v>168</v>
      </c>
      <c r="J141" s="111"/>
      <c r="K141" s="105"/>
      <c r="L141" s="111"/>
      <c r="M141" s="105"/>
      <c r="N141" s="111"/>
      <c r="O141" s="105"/>
      <c r="P141" s="111"/>
      <c r="Q141" s="105"/>
      <c r="R141" s="111"/>
      <c r="S141" s="105"/>
      <c r="T141" s="111"/>
      <c r="U141" s="105"/>
      <c r="V141" s="111"/>
      <c r="W141" s="105"/>
      <c r="X141" s="111"/>
      <c r="Y141" s="105"/>
      <c r="Z141" s="111"/>
      <c r="AA141" s="105"/>
      <c r="AB141" s="111"/>
      <c r="AC141" s="105"/>
      <c r="AD141" s="111"/>
      <c r="AE141" s="105"/>
      <c r="AF141" s="111"/>
      <c r="AG141" s="105"/>
      <c r="AH141" s="111"/>
      <c r="AI141" s="105"/>
      <c r="AJ141" s="111"/>
      <c r="AK141" s="105"/>
      <c r="AL141" s="180"/>
      <c r="AM141" s="111"/>
      <c r="AN141" s="191"/>
      <c r="AO141" s="180"/>
      <c r="AP141" s="181"/>
      <c r="AR141" s="16">
        <f t="shared" si="47"/>
        <v>0</v>
      </c>
    </row>
    <row r="142" spans="2:47" ht="15" customHeight="1" x14ac:dyDescent="0.25">
      <c r="B142" s="194">
        <v>88</v>
      </c>
      <c r="C142" s="194" t="s">
        <v>44</v>
      </c>
      <c r="D142" s="196" t="s">
        <v>111</v>
      </c>
      <c r="E142" s="179" t="s">
        <v>257</v>
      </c>
      <c r="F142" s="179" t="str">
        <f>_xlfn.XLOOKUP($B142,'Procurement Strategy'!$B$12:$B$838,'Procurement Strategy'!$P$12:$P$838,"-",0)</f>
        <v/>
      </c>
      <c r="G142" s="179" t="s">
        <v>210</v>
      </c>
      <c r="H142" s="188">
        <v>46022</v>
      </c>
      <c r="I142" s="126" t="s">
        <v>166</v>
      </c>
      <c r="J142" s="103">
        <f>IFERROR(IF(OR(L142="",K142=""),"",L142-K142),"")</f>
        <v>46348</v>
      </c>
      <c r="K142" s="127">
        <f>INDEX('Work Package Master List'!$C$12:$Y$1000, MATCH($E142, 'Work Package Master List'!$B$12:$B$1000, 0), MATCH(J$11, 'Work Package Master List'!$C$13:$Y$13, 0))</f>
        <v>2</v>
      </c>
      <c r="L142" s="103">
        <f>IFERROR(IF(OR(N142="",M142=""),"",N142-M142),"")</f>
        <v>46350</v>
      </c>
      <c r="M142" s="127">
        <f>INDEX('Work Package Master List'!$C$12:$Y$1000, MATCH($E142, 'Work Package Master List'!$B$12:$B$1000, 0), MATCH(L$11, 'Work Package Master List'!$C$13:$Y$13, 0))</f>
        <v>1</v>
      </c>
      <c r="N142" s="103">
        <f>IFERROR(IF(OR(P142="",O142=""),"",P142-O142),"")</f>
        <v>46351</v>
      </c>
      <c r="O142" s="127">
        <f>INDEX('Work Package Master List'!$C$12:$Y$1000, MATCH($E142, 'Work Package Master List'!$B$12:$B$1000, 0), MATCH(N$11, 'Work Package Master List'!$C$13:$Y$13, 0))</f>
        <v>0</v>
      </c>
      <c r="P142" s="103">
        <f>IFERROR(IF(OR(R142="",Q142=""),"",R142-Q142),"")</f>
        <v>46351</v>
      </c>
      <c r="Q142" s="127">
        <f>INDEX('Work Package Master List'!$C$12:$Y$1000, MATCH($E142, 'Work Package Master List'!$B$12:$B$1000, 0), MATCH(P$11, 'Work Package Master List'!$C$13:$Y$13, 0))</f>
        <v>5</v>
      </c>
      <c r="R142" s="103">
        <f>IFERROR(IF(OR(T142="",S142=""),"",T142-S142),"")</f>
        <v>46356</v>
      </c>
      <c r="S142" s="127">
        <f>INDEX('Work Package Master List'!$C$12:$Y$1000, MATCH($E142, 'Work Package Master List'!$B$12:$B$1000, 0), MATCH(R$11, 'Work Package Master List'!$C$13:$Y$13, 0))</f>
        <v>5</v>
      </c>
      <c r="T142" s="103">
        <f>IFERROR(IF(OR(V142="",U142=""),"",V142-U142),"")</f>
        <v>46361</v>
      </c>
      <c r="U142" s="127">
        <f>INDEX('Work Package Master List'!$C$12:$Y$1000, MATCH($E142, 'Work Package Master List'!$B$12:$B$1000, 0), MATCH(T$11, 'Work Package Master List'!$C$13:$Y$13, 0))</f>
        <v>1</v>
      </c>
      <c r="V142" s="103">
        <f>IFERROR(IF(OR(X142="",W142=""),"",X142-W142),"")</f>
        <v>46362</v>
      </c>
      <c r="W142" s="127">
        <f>INDEX('Work Package Master List'!$C$12:$Y$1000, MATCH($E142, 'Work Package Master List'!$B$12:$B$1000, 0), MATCH(V$11, 'Work Package Master List'!$C$13:$Y$13, 0))</f>
        <v>3</v>
      </c>
      <c r="X142" s="103">
        <f>IFERROR(IF(OR(Z142="",Y142=""),"",Z142-Y142),"")</f>
        <v>46365</v>
      </c>
      <c r="Y142" s="127">
        <f>INDEX('Work Package Master List'!$C$12:$Y$1000, MATCH($E142, 'Work Package Master List'!$B$12:$B$1000, 0), MATCH(X$11, 'Work Package Master List'!$C$13:$Y$13, 0))</f>
        <v>2</v>
      </c>
      <c r="Z142" s="103">
        <f>IFERROR(IF(OR(AB142="",AA142=""),"",AB142-AA142),"")</f>
        <v>46367</v>
      </c>
      <c r="AA142" s="127">
        <f>INDEX('Work Package Master List'!$C$12:$Y$1000, MATCH($E142, 'Work Package Master List'!$B$12:$B$1000, 0), MATCH(Z$11, 'Work Package Master List'!$C$13:$Y$13, 0))</f>
        <v>7</v>
      </c>
      <c r="AB142" s="103">
        <f>IFERROR(IF(OR(AD142="",AC142=""),"",AD142-AC142),"")</f>
        <v>46374</v>
      </c>
      <c r="AC142" s="127">
        <f>INDEX('Work Package Master List'!$C$12:$Y$1000, MATCH($E142, 'Work Package Master List'!$B$12:$B$1000, 0), MATCH(AB$11, 'Work Package Master List'!$C$13:$Y$13, 0))</f>
        <v>3</v>
      </c>
      <c r="AD142" s="103">
        <f>IFERROR(IF(OR(AF142="",AE142=""),"",AF142-AE142),"")</f>
        <v>46377</v>
      </c>
      <c r="AE142" s="127">
        <f>INDEX('Work Package Master List'!$C$12:$Y$1000, MATCH($E142, 'Work Package Master List'!$B$12:$B$1000, 0), MATCH(AD$11, 'Work Package Master List'!$C$13:$Y$13, 0))</f>
        <v>1</v>
      </c>
      <c r="AF142" s="103">
        <f>IFERROR(IF(OR(AH142="",AG142=""),"",AH142-AG142),"")</f>
        <v>46378</v>
      </c>
      <c r="AG142" s="127">
        <f>INDEX('Work Package Master List'!$C$12:$Y$1000, MATCH($E142, 'Work Package Master List'!$B$12:$B$1000, 0), MATCH(AF$11, 'Work Package Master List'!$C$13:$Y$13, 0))</f>
        <v>2</v>
      </c>
      <c r="AH142" s="103">
        <f>IFERROR(IF(OR(AJ142="",AI142=""),"",AJ142-AI142),"")</f>
        <v>46380</v>
      </c>
      <c r="AI142" s="127">
        <f>INDEX('Work Package Master List'!$C$12:$Y$1000, MATCH($E142, 'Work Package Master List'!$B$12:$B$1000, 0), MATCH(AH$11, 'Work Package Master List'!$C$13:$Y$13, 0))</f>
        <v>2</v>
      </c>
      <c r="AJ142" s="103">
        <f>IFERROR(IF(OR(AM142="",AK142=""),"",AM142-AK142),"")</f>
        <v>46382</v>
      </c>
      <c r="AK142" s="127">
        <f>INDEX('Work Package Master List'!$C$12:$Y$1000, MATCH($E142, 'Work Package Master List'!$B$12:$B$1000, 0), MATCH(AJ$11, 'Work Package Master List'!$C$13:$Y$13, 0))</f>
        <v>5</v>
      </c>
      <c r="AL142" s="179"/>
      <c r="AM142" s="103">
        <v>46387</v>
      </c>
      <c r="AN142" s="190">
        <f t="shared" ref="AN142" si="62">IF(MAX($H142,$AM143,$AJ143,$AH143,$AF143,$AD143,$AB143,$Z143,$X143,$V143,$T143,$R143,$P143,$N143,$L143,$J143) = 0,"",MAX($H142,$AM143,$AJ143,$AH143,$AF143,$AD143,$AB143,$Z143,$X143,$V143,$T143,$R143,$P143,$N143,$L143,$J143))</f>
        <v>46022</v>
      </c>
      <c r="AO142" s="179" t="str">
        <f>_xlfn.IFNA(INDEX($J$7:$AM$7,_xlfn.XMATCH(MAX($AM143,$AJ143,$AH143,$AF143,$AD143,$AB143,$Z143,$X143,$V143,$T143,$R143,$P143,$N143,$L143,$J143),$J143:$AM143,0,-1)),"Awaiting DTP")</f>
        <v>Awaiting DTP</v>
      </c>
      <c r="AP142" s="181" t="s">
        <v>251</v>
      </c>
      <c r="AR142" s="16">
        <f t="shared" si="47"/>
        <v>39</v>
      </c>
      <c r="AU142" s="16" t="s">
        <v>251</v>
      </c>
    </row>
    <row r="143" spans="2:47" x14ac:dyDescent="0.25">
      <c r="B143" s="195"/>
      <c r="C143" s="195"/>
      <c r="D143" s="197"/>
      <c r="E143" s="180"/>
      <c r="F143" s="180"/>
      <c r="G143" s="180"/>
      <c r="H143" s="189"/>
      <c r="I143" s="105" t="s">
        <v>168</v>
      </c>
      <c r="J143" s="111"/>
      <c r="K143" s="105"/>
      <c r="L143" s="111"/>
      <c r="M143" s="105"/>
      <c r="N143" s="111"/>
      <c r="O143" s="105"/>
      <c r="P143" s="111"/>
      <c r="Q143" s="105"/>
      <c r="R143" s="111"/>
      <c r="S143" s="105"/>
      <c r="T143" s="111"/>
      <c r="U143" s="105"/>
      <c r="V143" s="111"/>
      <c r="W143" s="105"/>
      <c r="X143" s="111"/>
      <c r="Y143" s="105"/>
      <c r="Z143" s="111"/>
      <c r="AA143" s="105"/>
      <c r="AB143" s="111"/>
      <c r="AC143" s="105"/>
      <c r="AD143" s="111"/>
      <c r="AE143" s="105"/>
      <c r="AF143" s="111"/>
      <c r="AG143" s="105"/>
      <c r="AH143" s="111"/>
      <c r="AI143" s="105"/>
      <c r="AJ143" s="111"/>
      <c r="AK143" s="105"/>
      <c r="AL143" s="180"/>
      <c r="AM143" s="111"/>
      <c r="AN143" s="191"/>
      <c r="AO143" s="180"/>
      <c r="AP143" s="181"/>
      <c r="AR143" s="16">
        <f t="shared" si="47"/>
        <v>0</v>
      </c>
    </row>
    <row r="144" spans="2:47" x14ac:dyDescent="0.25">
      <c r="B144" s="194">
        <v>89</v>
      </c>
      <c r="C144" s="194" t="s">
        <v>53</v>
      </c>
      <c r="D144" s="196" t="s">
        <v>112</v>
      </c>
      <c r="E144" s="179" t="s">
        <v>258</v>
      </c>
      <c r="F144" s="179" t="str">
        <f>_xlfn.XLOOKUP($B144,'Procurement Strategy'!$B$12:$B$982,'Procurement Strategy'!$P$12:$P$982,"-",0)</f>
        <v>Yes</v>
      </c>
      <c r="G144" s="179" t="s">
        <v>176</v>
      </c>
      <c r="H144" s="188">
        <v>46184</v>
      </c>
      <c r="I144" s="126" t="s">
        <v>166</v>
      </c>
      <c r="J144" s="103">
        <f>IFERROR(IF(OR(L144="",K144=""),"",L144-K144),"")</f>
        <v>46022</v>
      </c>
      <c r="K144" s="127">
        <f>INDEX('Work Package Master List'!$C$12:$Y$1000, MATCH($E144, 'Work Package Master List'!$B$12:$B$1000, 0), MATCH(J$11, 'Work Package Master List'!$C$13:$Y$13, 0))</f>
        <v>2</v>
      </c>
      <c r="L144" s="103">
        <f>IFERROR(IF(OR(N144="",M144=""),"",N144-M144),"")</f>
        <v>46024</v>
      </c>
      <c r="M144" s="127">
        <f>INDEX('Work Package Master List'!$C$12:$Y$1000, MATCH($E144, 'Work Package Master List'!$B$12:$B$1000, 0), MATCH(L$11, 'Work Package Master List'!$C$13:$Y$13, 0))</f>
        <v>1</v>
      </c>
      <c r="N144" s="103">
        <f>IFERROR(IF(OR(P144="",O144=""),"",P144-O144),"")</f>
        <v>46025</v>
      </c>
      <c r="O144" s="127">
        <f>INDEX('Work Package Master List'!$C$12:$Y$1000, MATCH($E144, 'Work Package Master List'!$B$12:$B$1000, 0), MATCH(N$11, 'Work Package Master List'!$C$13:$Y$13, 0))</f>
        <v>0</v>
      </c>
      <c r="P144" s="103">
        <f>IFERROR(IF(OR(R144="",Q144=""),"",R144-Q144),"")</f>
        <v>46025</v>
      </c>
      <c r="Q144" s="127">
        <f>INDEX('Work Package Master List'!$C$12:$Y$1000, MATCH($E144, 'Work Package Master List'!$B$12:$B$1000, 0), MATCH(P$11, 'Work Package Master List'!$C$13:$Y$13, 0))</f>
        <v>5</v>
      </c>
      <c r="R144" s="103">
        <f>IFERROR(IF(OR(T144="",S144=""),"",T144-S144),"")</f>
        <v>46030</v>
      </c>
      <c r="S144" s="127">
        <f>INDEX('Work Package Master List'!$C$12:$Y$1000, MATCH($E144, 'Work Package Master List'!$B$12:$B$1000, 0), MATCH(R$11, 'Work Package Master List'!$C$13:$Y$13, 0))</f>
        <v>5</v>
      </c>
      <c r="T144" s="103">
        <f>IFERROR(IF(OR(V144="",U144=""),"",V144-U144),"")</f>
        <v>46035</v>
      </c>
      <c r="U144" s="127">
        <f>INDEX('Work Package Master List'!$C$12:$Y$1000, MATCH($E144, 'Work Package Master List'!$B$12:$B$1000, 0), MATCH(T$11, 'Work Package Master List'!$C$13:$Y$13, 0))</f>
        <v>1</v>
      </c>
      <c r="V144" s="103">
        <f>IFERROR(IF(OR(X144="",W144=""),"",X144-W144),"")</f>
        <v>46036</v>
      </c>
      <c r="W144" s="127">
        <f>INDEX('Work Package Master List'!$C$12:$Y$1000, MATCH($E144, 'Work Package Master List'!$B$12:$B$1000, 0), MATCH(V$11, 'Work Package Master List'!$C$13:$Y$13, 0))</f>
        <v>3</v>
      </c>
      <c r="X144" s="103">
        <f>IFERROR(IF(OR(Z144="",Y144=""),"",Z144-Y144),"")</f>
        <v>46039</v>
      </c>
      <c r="Y144" s="127">
        <f>INDEX('Work Package Master List'!$C$12:$Y$1000, MATCH($E144, 'Work Package Master List'!$B$12:$B$1000, 0), MATCH(X$11, 'Work Package Master List'!$C$13:$Y$13, 0))</f>
        <v>2</v>
      </c>
      <c r="Z144" s="103">
        <f>IFERROR(IF(OR(AB144="",AA144=""),"",AB144-AA144),"")</f>
        <v>46041</v>
      </c>
      <c r="AA144" s="127">
        <f>INDEX('Work Package Master List'!$C$12:$Y$1000, MATCH($E144, 'Work Package Master List'!$B$12:$B$1000, 0), MATCH(Z$11, 'Work Package Master List'!$C$13:$Y$13, 0))</f>
        <v>7</v>
      </c>
      <c r="AB144" s="103">
        <f>IFERROR(IF(OR(AD144="",AC144=""),"",AD144-AC144),"")</f>
        <v>46048</v>
      </c>
      <c r="AC144" s="127">
        <f>INDEX('Work Package Master List'!$C$12:$Y$1000, MATCH($E144, 'Work Package Master List'!$B$12:$B$1000, 0), MATCH(AB$11, 'Work Package Master List'!$C$13:$Y$13, 0))</f>
        <v>10</v>
      </c>
      <c r="AD144" s="103">
        <f>IFERROR(IF(OR(AF144="",AE144=""),"",AF144-AE144),"")</f>
        <v>46058</v>
      </c>
      <c r="AE144" s="127">
        <f>INDEX('Work Package Master List'!$C$12:$Y$1000, MATCH($E144, 'Work Package Master List'!$B$12:$B$1000, 0), MATCH(AD$11, 'Work Package Master List'!$C$13:$Y$13, 0))</f>
        <v>1</v>
      </c>
      <c r="AF144" s="103">
        <f>IFERROR(IF(OR(AH144="",AG144=""),"",AH144-AG144),"")</f>
        <v>46059</v>
      </c>
      <c r="AG144" s="127">
        <f>INDEX('Work Package Master List'!$C$12:$Y$1000, MATCH($E144, 'Work Package Master List'!$B$12:$B$1000, 0), MATCH(AF$11, 'Work Package Master List'!$C$13:$Y$13, 0))</f>
        <v>2</v>
      </c>
      <c r="AH144" s="103">
        <f>IFERROR(IF(OR(AJ144="",AI144=""),"",AJ144-AI144),"")</f>
        <v>46061</v>
      </c>
      <c r="AI144" s="127">
        <f>INDEX('Work Package Master List'!$C$12:$Y$1000, MATCH($E144, 'Work Package Master List'!$B$12:$B$1000, 0), MATCH(AH$11, 'Work Package Master List'!$C$13:$Y$13, 0))</f>
        <v>2</v>
      </c>
      <c r="AJ144" s="103">
        <f>IFERROR(IF(OR(AM144="",AK144=""),"",AM144-AK144),"")</f>
        <v>46063</v>
      </c>
      <c r="AK144" s="127">
        <f>INDEX('Work Package Master List'!$C$12:$Y$1000, MATCH($E144, 'Work Package Master List'!$B$12:$B$1000, 0), MATCH(AJ$11, 'Work Package Master List'!$C$13:$Y$13, 0))</f>
        <v>5</v>
      </c>
      <c r="AL144" s="179" t="s">
        <v>259</v>
      </c>
      <c r="AM144" s="103">
        <v>46068</v>
      </c>
      <c r="AN144" s="190">
        <f>IF(MAX($AM145,$AJ145,$AH145,$AF145,$AD145,$AB145,$Z145,$X145,$V145,$T145,$R145,$P145,$N145,$L145,$J145) = 0,"",MAX($AM145,$AJ145,$AH145,$AF145,$AD145,$AB145,$Z145,$X145,$V145,$T145,$R145,$P145,$N145,$L145,$J145))</f>
        <v>46178</v>
      </c>
      <c r="AO144" s="179" t="str">
        <f>_xlfn.IFNA(INDEX($J$7:$AM$7,_xlfn.XMATCH(MAX($AM145,$AJ145,$AH145,$AF145,$AD145,$AB145,$Z145,$X145,$V145,$T145,$R145,$P145,$N145,$L145,$J145),$J145:$AM145,0,-1)),"Awaiting DTP")</f>
        <v>Awarded</v>
      </c>
      <c r="AP144" s="192" t="s">
        <v>260</v>
      </c>
      <c r="AU144" s="16" t="s">
        <v>260</v>
      </c>
    </row>
    <row r="145" spans="2:47" x14ac:dyDescent="0.25">
      <c r="B145" s="195"/>
      <c r="C145" s="195"/>
      <c r="D145" s="197"/>
      <c r="E145" s="180"/>
      <c r="F145" s="180"/>
      <c r="G145" s="180"/>
      <c r="H145" s="189"/>
      <c r="I145" s="105" t="s">
        <v>168</v>
      </c>
      <c r="J145" s="111">
        <v>46070</v>
      </c>
      <c r="K145" s="105"/>
      <c r="L145" s="111"/>
      <c r="M145" s="105"/>
      <c r="N145" s="111"/>
      <c r="O145" s="105"/>
      <c r="P145" s="111"/>
      <c r="Q145" s="105"/>
      <c r="R145" s="111"/>
      <c r="S145" s="105"/>
      <c r="T145" s="111"/>
      <c r="U145" s="105"/>
      <c r="V145" s="111"/>
      <c r="W145" s="105"/>
      <c r="X145" s="111"/>
      <c r="Y145" s="105"/>
      <c r="Z145" s="111"/>
      <c r="AA145" s="105"/>
      <c r="AB145" s="111"/>
      <c r="AC145" s="105"/>
      <c r="AD145" s="111"/>
      <c r="AE145" s="105"/>
      <c r="AF145" s="111"/>
      <c r="AG145" s="105"/>
      <c r="AH145" s="111"/>
      <c r="AI145" s="105"/>
      <c r="AJ145" s="111"/>
      <c r="AK145" s="105"/>
      <c r="AL145" s="180"/>
      <c r="AM145" s="111">
        <v>46178</v>
      </c>
      <c r="AN145" s="191"/>
      <c r="AO145" s="180"/>
      <c r="AP145" s="193"/>
    </row>
    <row r="146" spans="2:47" x14ac:dyDescent="0.25">
      <c r="B146" s="194">
        <v>90</v>
      </c>
      <c r="C146" s="194" t="s">
        <v>44</v>
      </c>
      <c r="D146" s="196" t="s">
        <v>113</v>
      </c>
      <c r="E146" s="179" t="s">
        <v>261</v>
      </c>
      <c r="F146" s="179" t="str">
        <f>_xlfn.XLOOKUP($B146,'Procurement Strategy'!$B$12:$B$978,'Procurement Strategy'!$P$12:$P$978,"-",0)</f>
        <v>Yes</v>
      </c>
      <c r="G146" s="179" t="s">
        <v>176</v>
      </c>
      <c r="H146" s="188">
        <v>46184</v>
      </c>
      <c r="I146" s="126" t="s">
        <v>166</v>
      </c>
      <c r="J146" s="103">
        <f>IFERROR(IF(OR(L146="",K146=""),"",L146-K146),"")</f>
        <v>45981</v>
      </c>
      <c r="K146" s="127">
        <f>INDEX('Work Package Master List'!$C$12:$Y$1000, MATCH($E146, 'Work Package Master List'!$B$12:$B$1000, 0), MATCH(J$11, 'Work Package Master List'!$C$13:$Y$13, 0))</f>
        <v>2</v>
      </c>
      <c r="L146" s="103">
        <f>IFERROR(IF(OR(N146="",M146=""),"",N146-M146),"")</f>
        <v>45983</v>
      </c>
      <c r="M146" s="127">
        <f>INDEX('Work Package Master List'!$C$12:$Y$1000, MATCH($E146, 'Work Package Master List'!$B$12:$B$1000, 0), MATCH(L$11, 'Work Package Master List'!$C$13:$Y$13, 0))</f>
        <v>1</v>
      </c>
      <c r="N146" s="103">
        <f>IFERROR(IF(OR(P146="",O146=""),"",P146-O146),"")</f>
        <v>45984</v>
      </c>
      <c r="O146" s="127">
        <f>INDEX('Work Package Master List'!$C$12:$Y$1000, MATCH($E146, 'Work Package Master List'!$B$12:$B$1000, 0), MATCH(N$11, 'Work Package Master List'!$C$13:$Y$13, 0))</f>
        <v>0</v>
      </c>
      <c r="P146" s="103">
        <f>IFERROR(IF(OR(R146="",Q146=""),"",R146-Q146),"")</f>
        <v>45984</v>
      </c>
      <c r="Q146" s="127">
        <f>INDEX('Work Package Master List'!$C$12:$Y$1000, MATCH($E146, 'Work Package Master List'!$B$12:$B$1000, 0), MATCH(P$11, 'Work Package Master List'!$C$13:$Y$13, 0))</f>
        <v>10</v>
      </c>
      <c r="R146" s="103">
        <f>IFERROR(IF(OR(T146="",S146=""),"",T146-S146),"")</f>
        <v>45994</v>
      </c>
      <c r="S146" s="127">
        <f>INDEX('Work Package Master List'!$C$12:$Y$1000, MATCH($E146, 'Work Package Master List'!$B$12:$B$1000, 0), MATCH(R$11, 'Work Package Master List'!$C$13:$Y$13, 0))</f>
        <v>5</v>
      </c>
      <c r="T146" s="103">
        <f>IFERROR(IF(OR(V146="",U146=""),"",V146-U146),"")</f>
        <v>45999</v>
      </c>
      <c r="U146" s="127">
        <f>INDEX('Work Package Master List'!$C$12:$Y$1000, MATCH($E146, 'Work Package Master List'!$B$12:$B$1000, 0), MATCH(T$11, 'Work Package Master List'!$C$13:$Y$13, 0))</f>
        <v>1</v>
      </c>
      <c r="V146" s="103">
        <f>IFERROR(IF(OR(X146="",W146=""),"",X146-W146),"")</f>
        <v>46000</v>
      </c>
      <c r="W146" s="127">
        <f>INDEX('Work Package Master List'!$C$12:$Y$1000, MATCH($E146, 'Work Package Master List'!$B$12:$B$1000, 0), MATCH(V$11, 'Work Package Master List'!$C$13:$Y$13, 0))</f>
        <v>3</v>
      </c>
      <c r="X146" s="103">
        <f>IFERROR(IF(OR(Z146="",Y146=""),"",Z146-Y146),"")</f>
        <v>46003</v>
      </c>
      <c r="Y146" s="127">
        <f>INDEX('Work Package Master List'!$C$12:$Y$1000, MATCH($E146, 'Work Package Master List'!$B$12:$B$1000, 0), MATCH(X$11, 'Work Package Master List'!$C$13:$Y$13, 0))</f>
        <v>2</v>
      </c>
      <c r="Z146" s="103">
        <f>IFERROR(IF(OR(AB146="",AA146=""),"",AB146-AA146),"")</f>
        <v>46005</v>
      </c>
      <c r="AA146" s="127">
        <f>INDEX('Work Package Master List'!$C$12:$Y$1000, MATCH($E146, 'Work Package Master List'!$B$12:$B$1000, 0), MATCH(Z$11, 'Work Package Master List'!$C$13:$Y$13, 0))</f>
        <v>3</v>
      </c>
      <c r="AB146" s="103">
        <f>IFERROR(IF(OR(AD146="",AC146=""),"",AD146-AC146),"")</f>
        <v>46008</v>
      </c>
      <c r="AC146" s="127">
        <f>INDEX('Work Package Master List'!$C$12:$Y$1000, MATCH($E146, 'Work Package Master List'!$B$12:$B$1000, 0), MATCH(AB$11, 'Work Package Master List'!$C$13:$Y$13, 0))</f>
        <v>3</v>
      </c>
      <c r="AD146" s="103">
        <f>IFERROR(IF(OR(AF146="",AE146=""),"",AF146-AE146),"")</f>
        <v>46011</v>
      </c>
      <c r="AE146" s="127">
        <f>INDEX('Work Package Master List'!$C$12:$Y$1000, MATCH($E146, 'Work Package Master List'!$B$12:$B$1000, 0), MATCH(AD$11, 'Work Package Master List'!$C$13:$Y$13, 0))</f>
        <v>1</v>
      </c>
      <c r="AF146" s="103">
        <f>IFERROR(IF(OR(AH146="",AG146=""),"",AH146-AG146),"")</f>
        <v>46012</v>
      </c>
      <c r="AG146" s="127">
        <f>INDEX('Work Package Master List'!$C$12:$Y$1000, MATCH($E146, 'Work Package Master List'!$B$12:$B$1000, 0), MATCH(AF$11, 'Work Package Master List'!$C$13:$Y$13, 0))</f>
        <v>2</v>
      </c>
      <c r="AH146" s="103">
        <f>IFERROR(IF(OR(AJ146="",AI146=""),"",AJ146-AI146),"")</f>
        <v>46014</v>
      </c>
      <c r="AI146" s="127">
        <f>INDEX('Work Package Master List'!$C$12:$Y$1000, MATCH($E146, 'Work Package Master List'!$B$12:$B$1000, 0), MATCH(AH$11, 'Work Package Master List'!$C$13:$Y$13, 0))</f>
        <v>2</v>
      </c>
      <c r="AJ146" s="103">
        <f>IFERROR(IF(OR(AM146="",AK146=""),"",AM146-AK146),"")</f>
        <v>46016</v>
      </c>
      <c r="AK146" s="127">
        <f>INDEX('Work Package Master List'!$C$12:$Y$1000, MATCH($E146, 'Work Package Master List'!$B$12:$B$1000, 0), MATCH(AJ$11, 'Work Package Master List'!$C$13:$Y$13, 0))</f>
        <v>5</v>
      </c>
      <c r="AL146" s="179">
        <v>15389</v>
      </c>
      <c r="AM146" s="103">
        <v>46021</v>
      </c>
      <c r="AN146" s="190">
        <f>IF(MAX($AM147,$AJ147,$AH147,$AF147,$AD147,$AB147,$Z147,$X147,$V147,$T147,$R147,$P147,$N147,$L147,$J147) = 0,"",MAX($AM147,$AJ147,$AH147,$AF147,$AD147,$AB147,$Z147,$X147,$V147,$T147,$R147,$P147,$N147,$L147,$J147))</f>
        <v>46136</v>
      </c>
      <c r="AO146" s="179" t="str">
        <f>_xlfn.IFNA(INDEX($J$7:$AM$7,_xlfn.XMATCH(MAX($AM147,$AJ147,$AH147,$AF147,$AD147,$AB147,$Z147,$X147,$V147,$T147,$R147,$P147,$N147,$L147,$J147),$J147:$AM147,0,-1)),"Awaiting DTP")</f>
        <v>Awarded</v>
      </c>
      <c r="AP146" s="192" t="s">
        <v>177</v>
      </c>
      <c r="AU146" s="16" t="s">
        <v>177</v>
      </c>
    </row>
    <row r="147" spans="2:47" x14ac:dyDescent="0.25">
      <c r="B147" s="195"/>
      <c r="C147" s="195"/>
      <c r="D147" s="197"/>
      <c r="E147" s="180"/>
      <c r="F147" s="180"/>
      <c r="G147" s="180"/>
      <c r="H147" s="189"/>
      <c r="I147" s="105" t="s">
        <v>168</v>
      </c>
      <c r="J147" s="111">
        <v>46042</v>
      </c>
      <c r="K147" s="105"/>
      <c r="L147" s="111"/>
      <c r="M147" s="105"/>
      <c r="N147" s="111"/>
      <c r="O147" s="105"/>
      <c r="P147" s="111"/>
      <c r="Q147" s="105"/>
      <c r="R147" s="111"/>
      <c r="S147" s="105"/>
      <c r="T147" s="111"/>
      <c r="U147" s="105"/>
      <c r="V147" s="111"/>
      <c r="W147" s="105"/>
      <c r="X147" s="111"/>
      <c r="Y147" s="105"/>
      <c r="Z147" s="111"/>
      <c r="AA147" s="105"/>
      <c r="AB147" s="111"/>
      <c r="AC147" s="105"/>
      <c r="AD147" s="111"/>
      <c r="AE147" s="105"/>
      <c r="AF147" s="111"/>
      <c r="AG147" s="105"/>
      <c r="AH147" s="111"/>
      <c r="AI147" s="105"/>
      <c r="AJ147" s="111"/>
      <c r="AK147" s="105"/>
      <c r="AL147" s="180"/>
      <c r="AM147" s="111">
        <v>46136</v>
      </c>
      <c r="AN147" s="191"/>
      <c r="AO147" s="180"/>
      <c r="AP147" s="193"/>
    </row>
    <row r="148" spans="2:47" x14ac:dyDescent="0.25">
      <c r="B148" s="179">
        <v>91</v>
      </c>
      <c r="C148" s="179" t="s">
        <v>44</v>
      </c>
      <c r="D148" s="186" t="s">
        <v>113</v>
      </c>
      <c r="E148" s="179" t="s">
        <v>261</v>
      </c>
      <c r="F148" s="179" t="str">
        <f>_xlfn.XLOOKUP($B148,'Procurement Strategy'!$B$12:$B$975,'Procurement Strategy'!$P$12:$P$975,"-",0)</f>
        <v>Yes</v>
      </c>
      <c r="G148" s="179" t="s">
        <v>176</v>
      </c>
      <c r="H148" s="188">
        <v>46184</v>
      </c>
      <c r="I148" s="126" t="s">
        <v>166</v>
      </c>
      <c r="J148" s="103">
        <f>IFERROR(IF(OR(L148="",K148=""),"",L148-K148),"")</f>
        <v>45981</v>
      </c>
      <c r="K148" s="127">
        <f>INDEX('Work Package Master List'!$C$12:$Y$1000, MATCH($E148, 'Work Package Master List'!$B$12:$B$1000, 0), MATCH(J$11, 'Work Package Master List'!$C$13:$Y$13, 0))</f>
        <v>2</v>
      </c>
      <c r="L148" s="103">
        <f>IFERROR(IF(OR(N148="",M148=""),"",N148-M148),"")</f>
        <v>45983</v>
      </c>
      <c r="M148" s="127">
        <f>INDEX('Work Package Master List'!$C$12:$Y$1000, MATCH($E148, 'Work Package Master List'!$B$12:$B$1000, 0), MATCH(L$11, 'Work Package Master List'!$C$13:$Y$13, 0))</f>
        <v>1</v>
      </c>
      <c r="N148" s="103">
        <f>IFERROR(IF(OR(P148="",O148=""),"",P148-O148),"")</f>
        <v>45984</v>
      </c>
      <c r="O148" s="127">
        <f>INDEX('Work Package Master List'!$C$12:$Y$1000, MATCH($E148, 'Work Package Master List'!$B$12:$B$1000, 0), MATCH(N$11, 'Work Package Master List'!$C$13:$Y$13, 0))</f>
        <v>0</v>
      </c>
      <c r="P148" s="103">
        <f>IFERROR(IF(OR(R148="",Q148=""),"",R148-Q148),"")</f>
        <v>45984</v>
      </c>
      <c r="Q148" s="127">
        <f>INDEX('Work Package Master List'!$C$12:$Y$1000, MATCH($E148, 'Work Package Master List'!$B$12:$B$1000, 0), MATCH(P$11, 'Work Package Master List'!$C$13:$Y$13, 0))</f>
        <v>10</v>
      </c>
      <c r="R148" s="103">
        <f>IFERROR(IF(OR(T148="",S148=""),"",T148-S148),"")</f>
        <v>45994</v>
      </c>
      <c r="S148" s="127">
        <f>INDEX('Work Package Master List'!$C$12:$Y$1000, MATCH($E148, 'Work Package Master List'!$B$12:$B$1000, 0), MATCH(R$11, 'Work Package Master List'!$C$13:$Y$13, 0))</f>
        <v>5</v>
      </c>
      <c r="T148" s="103">
        <f>IFERROR(IF(OR(V148="",U148=""),"",V148-U148),"")</f>
        <v>45999</v>
      </c>
      <c r="U148" s="127">
        <f>INDEX('Work Package Master List'!$C$12:$Y$1000, MATCH($E148, 'Work Package Master List'!$B$12:$B$1000, 0), MATCH(T$11, 'Work Package Master List'!$C$13:$Y$13, 0))</f>
        <v>1</v>
      </c>
      <c r="V148" s="103">
        <f>IFERROR(IF(OR(X148="",W148=""),"",X148-W148),"")</f>
        <v>46000</v>
      </c>
      <c r="W148" s="127">
        <f>INDEX('Work Package Master List'!$C$12:$Y$1000, MATCH($E148, 'Work Package Master List'!$B$12:$B$1000, 0), MATCH(V$11, 'Work Package Master List'!$C$13:$Y$13, 0))</f>
        <v>3</v>
      </c>
      <c r="X148" s="103">
        <f>IFERROR(IF(OR(Z148="",Y148=""),"",Z148-Y148),"")</f>
        <v>46003</v>
      </c>
      <c r="Y148" s="127">
        <f>INDEX('Work Package Master List'!$C$12:$Y$1000, MATCH($E148, 'Work Package Master List'!$B$12:$B$1000, 0), MATCH(X$11, 'Work Package Master List'!$C$13:$Y$13, 0))</f>
        <v>2</v>
      </c>
      <c r="Z148" s="103">
        <f>IFERROR(IF(OR(AB148="",AA148=""),"",AB148-AA148),"")</f>
        <v>46005</v>
      </c>
      <c r="AA148" s="127">
        <f>INDEX('Work Package Master List'!$C$12:$Y$1000, MATCH($E148, 'Work Package Master List'!$B$12:$B$1000, 0), MATCH(Z$11, 'Work Package Master List'!$C$13:$Y$13, 0))</f>
        <v>3</v>
      </c>
      <c r="AB148" s="103">
        <f>IFERROR(IF(OR(AD148="",AC148=""),"",AD148-AC148),"")</f>
        <v>46008</v>
      </c>
      <c r="AC148" s="127">
        <f>INDEX('Work Package Master List'!$C$12:$Y$1000, MATCH($E148, 'Work Package Master List'!$B$12:$B$1000, 0), MATCH(AB$11, 'Work Package Master List'!$C$13:$Y$13, 0))</f>
        <v>3</v>
      </c>
      <c r="AD148" s="103">
        <f>IFERROR(IF(OR(AF148="",AE148=""),"",AF148-AE148),"")</f>
        <v>46011</v>
      </c>
      <c r="AE148" s="127">
        <f>INDEX('Work Package Master List'!$C$12:$Y$1000, MATCH($E148, 'Work Package Master List'!$B$12:$B$1000, 0), MATCH(AD$11, 'Work Package Master List'!$C$13:$Y$13, 0))</f>
        <v>1</v>
      </c>
      <c r="AF148" s="103">
        <f>IFERROR(IF(OR(AH148="",AG148=""),"",AH148-AG148),"")</f>
        <v>46012</v>
      </c>
      <c r="AG148" s="127">
        <f>INDEX('Work Package Master List'!$C$12:$Y$1000, MATCH($E148, 'Work Package Master List'!$B$12:$B$1000, 0), MATCH(AF$11, 'Work Package Master List'!$C$13:$Y$13, 0))</f>
        <v>2</v>
      </c>
      <c r="AH148" s="103">
        <f>IFERROR(IF(OR(AJ148="",AI148=""),"",AJ148-AI148),"")</f>
        <v>46014</v>
      </c>
      <c r="AI148" s="127">
        <f>INDEX('Work Package Master List'!$C$12:$Y$1000, MATCH($E148, 'Work Package Master List'!$B$12:$B$1000, 0), MATCH(AH$11, 'Work Package Master List'!$C$13:$Y$13, 0))</f>
        <v>2</v>
      </c>
      <c r="AJ148" s="103">
        <f>IFERROR(IF(OR(AM148="",AK148=""),"",AM148-AK148),"")</f>
        <v>46016</v>
      </c>
      <c r="AK148" s="127">
        <f>INDEX('Work Package Master List'!$C$12:$Y$1000, MATCH($E148, 'Work Package Master List'!$B$12:$B$1000, 0), MATCH(AJ$11, 'Work Package Master List'!$C$13:$Y$13, 0))</f>
        <v>5</v>
      </c>
      <c r="AL148" s="179">
        <v>15391</v>
      </c>
      <c r="AM148" s="103">
        <v>46021</v>
      </c>
      <c r="AN148" s="190">
        <f>IF(MAX($AM149,$AJ149,$AH149,$AF149,$AD149,$AB149,$Z149,$X149,$V149,$T149,$R149,$P149,$N149,$L149,$J149) = 0,"",MAX($AM149,$AJ149,$AH149,$AF149,$AD149,$AB149,$Z149,$X149,$V149,$T149,$R149,$P149,$N149,$L149,$J149))</f>
        <v>46136</v>
      </c>
      <c r="AO148" s="179" t="str">
        <f>_xlfn.IFNA(INDEX($J$7:$AM$7,_xlfn.XMATCH(MAX($AM149,$AJ149,$AH149,$AF149,$AD149,$AB149,$Z149,$X149,$V149,$T149,$R149,$P149,$N149,$L149,$J149),$J149:$AM149,0,-1)),"Awaiting DTP")</f>
        <v>Awarded</v>
      </c>
      <c r="AP148" s="192" t="s">
        <v>179</v>
      </c>
      <c r="AU148" s="16" t="s">
        <v>179</v>
      </c>
    </row>
    <row r="149" spans="2:47" x14ac:dyDescent="0.25">
      <c r="B149" s="180"/>
      <c r="C149" s="180"/>
      <c r="D149" s="187"/>
      <c r="E149" s="180"/>
      <c r="F149" s="180"/>
      <c r="G149" s="180"/>
      <c r="H149" s="189"/>
      <c r="I149" s="105" t="s">
        <v>168</v>
      </c>
      <c r="J149" s="111">
        <v>46042</v>
      </c>
      <c r="K149" s="105"/>
      <c r="L149" s="111"/>
      <c r="M149" s="105"/>
      <c r="N149" s="111"/>
      <c r="O149" s="105"/>
      <c r="P149" s="111"/>
      <c r="Q149" s="105"/>
      <c r="R149" s="111"/>
      <c r="S149" s="105"/>
      <c r="T149" s="111"/>
      <c r="U149" s="105"/>
      <c r="V149" s="111"/>
      <c r="W149" s="105"/>
      <c r="X149" s="111"/>
      <c r="Y149" s="105"/>
      <c r="Z149" s="111"/>
      <c r="AA149" s="105"/>
      <c r="AB149" s="111"/>
      <c r="AC149" s="105"/>
      <c r="AD149" s="111"/>
      <c r="AE149" s="105"/>
      <c r="AF149" s="111"/>
      <c r="AG149" s="105"/>
      <c r="AH149" s="111"/>
      <c r="AI149" s="105"/>
      <c r="AJ149" s="111"/>
      <c r="AK149" s="105"/>
      <c r="AL149" s="180"/>
      <c r="AM149" s="111">
        <v>46136</v>
      </c>
      <c r="AN149" s="191"/>
      <c r="AO149" s="180"/>
      <c r="AP149" s="193"/>
    </row>
    <row r="150" spans="2:47" x14ac:dyDescent="0.25">
      <c r="B150" s="179">
        <v>92</v>
      </c>
      <c r="C150" s="179" t="s">
        <v>44</v>
      </c>
      <c r="D150" s="186" t="s">
        <v>115</v>
      </c>
      <c r="E150" s="179" t="s">
        <v>188</v>
      </c>
      <c r="F150" s="179" t="str">
        <f>_xlfn.XLOOKUP($B150,'Procurement Strategy'!$B$12:$B$972,'Procurement Strategy'!$P$12:$P$972,"-",0)</f>
        <v>Yes</v>
      </c>
      <c r="G150" s="179" t="s">
        <v>204</v>
      </c>
      <c r="H150" s="188">
        <v>46184</v>
      </c>
      <c r="I150" s="126" t="s">
        <v>166</v>
      </c>
      <c r="J150" s="103">
        <f>IFERROR(IF(OR(L150="",K150=""),"",L150-K150),"")</f>
        <v>45981</v>
      </c>
      <c r="K150" s="127">
        <f>INDEX('Work Package Master List'!$C$12:$Y$1000, MATCH($E150, 'Work Package Master List'!$B$12:$B$1000, 0), MATCH(J$11, 'Work Package Master List'!$C$13:$Y$13, 0))</f>
        <v>2</v>
      </c>
      <c r="L150" s="103">
        <f>IFERROR(IF(OR(N150="",M150=""),"",N150-M150),"")</f>
        <v>45983</v>
      </c>
      <c r="M150" s="127">
        <f>INDEX('Work Package Master List'!$C$12:$Y$1000, MATCH($E150, 'Work Package Master List'!$B$12:$B$1000, 0), MATCH(L$11, 'Work Package Master List'!$C$13:$Y$13, 0))</f>
        <v>1</v>
      </c>
      <c r="N150" s="103">
        <f>IFERROR(IF(OR(P150="",O150=""),"",P150-O150),"")</f>
        <v>45984</v>
      </c>
      <c r="O150" s="127">
        <f>INDEX('Work Package Master List'!$C$12:$Y$1000, MATCH($E150, 'Work Package Master List'!$B$12:$B$1000, 0), MATCH(N$11, 'Work Package Master List'!$C$13:$Y$13, 0))</f>
        <v>0</v>
      </c>
      <c r="P150" s="103">
        <f>IFERROR(IF(OR(R150="",Q150=""),"",R150-Q150),"")</f>
        <v>45984</v>
      </c>
      <c r="Q150" s="127">
        <f>INDEX('Work Package Master List'!$C$12:$Y$1000, MATCH($E150, 'Work Package Master List'!$B$12:$B$1000, 0), MATCH(P$11, 'Work Package Master List'!$C$13:$Y$13, 0))</f>
        <v>10</v>
      </c>
      <c r="R150" s="103">
        <f>IFERROR(IF(OR(T150="",S150=""),"",T150-S150),"")</f>
        <v>45994</v>
      </c>
      <c r="S150" s="127">
        <f>INDEX('Work Package Master List'!$C$12:$Y$1000, MATCH($E150, 'Work Package Master List'!$B$12:$B$1000, 0), MATCH(R$11, 'Work Package Master List'!$C$13:$Y$13, 0))</f>
        <v>5</v>
      </c>
      <c r="T150" s="103">
        <f>IFERROR(IF(OR(V150="",U150=""),"",V150-U150),"")</f>
        <v>45999</v>
      </c>
      <c r="U150" s="127">
        <f>INDEX('Work Package Master List'!$C$12:$Y$1000, MATCH($E150, 'Work Package Master List'!$B$12:$B$1000, 0), MATCH(T$11, 'Work Package Master List'!$C$13:$Y$13, 0))</f>
        <v>1</v>
      </c>
      <c r="V150" s="103">
        <f>IFERROR(IF(OR(X150="",W150=""),"",X150-W150),"")</f>
        <v>46000</v>
      </c>
      <c r="W150" s="127">
        <f>INDEX('Work Package Master List'!$C$12:$Y$1000, MATCH($E150, 'Work Package Master List'!$B$12:$B$1000, 0), MATCH(V$11, 'Work Package Master List'!$C$13:$Y$13, 0))</f>
        <v>3</v>
      </c>
      <c r="X150" s="103">
        <f>IFERROR(IF(OR(Z150="",Y150=""),"",Z150-Y150),"")</f>
        <v>46003</v>
      </c>
      <c r="Y150" s="127">
        <f>INDEX('Work Package Master List'!$C$12:$Y$1000, MATCH($E150, 'Work Package Master List'!$B$12:$B$1000, 0), MATCH(X$11, 'Work Package Master List'!$C$13:$Y$13, 0))</f>
        <v>2</v>
      </c>
      <c r="Z150" s="103">
        <f>IFERROR(IF(OR(AB150="",AA150=""),"",AB150-AA150),"")</f>
        <v>46005</v>
      </c>
      <c r="AA150" s="127">
        <f>INDEX('Work Package Master List'!$C$12:$Y$1000, MATCH($E150, 'Work Package Master List'!$B$12:$B$1000, 0), MATCH(Z$11, 'Work Package Master List'!$C$13:$Y$13, 0))</f>
        <v>3</v>
      </c>
      <c r="AB150" s="103">
        <f>IFERROR(IF(OR(AD150="",AC150=""),"",AD150-AC150),"")</f>
        <v>46008</v>
      </c>
      <c r="AC150" s="127">
        <f>INDEX('Work Package Master List'!$C$12:$Y$1000, MATCH($E150, 'Work Package Master List'!$B$12:$B$1000, 0), MATCH(AB$11, 'Work Package Master List'!$C$13:$Y$13, 0))</f>
        <v>3</v>
      </c>
      <c r="AD150" s="103">
        <f>IFERROR(IF(OR(AF150="",AE150=""),"",AF150-AE150),"")</f>
        <v>46011</v>
      </c>
      <c r="AE150" s="127">
        <f>INDEX('Work Package Master List'!$C$12:$Y$1000, MATCH($E150, 'Work Package Master List'!$B$12:$B$1000, 0), MATCH(AD$11, 'Work Package Master List'!$C$13:$Y$13, 0))</f>
        <v>1</v>
      </c>
      <c r="AF150" s="103">
        <f>IFERROR(IF(OR(AH150="",AG150=""),"",AH150-AG150),"")</f>
        <v>46012</v>
      </c>
      <c r="AG150" s="127">
        <f>INDEX('Work Package Master List'!$C$12:$Y$1000, MATCH($E150, 'Work Package Master List'!$B$12:$B$1000, 0), MATCH(AF$11, 'Work Package Master List'!$C$13:$Y$13, 0))</f>
        <v>2</v>
      </c>
      <c r="AH150" s="103">
        <f>IFERROR(IF(OR(AJ150="",AI150=""),"",AJ150-AI150),"")</f>
        <v>46014</v>
      </c>
      <c r="AI150" s="127">
        <f>INDEX('Work Package Master List'!$C$12:$Y$1000, MATCH($E150, 'Work Package Master List'!$B$12:$B$1000, 0), MATCH(AH$11, 'Work Package Master List'!$C$13:$Y$13, 0))</f>
        <v>2</v>
      </c>
      <c r="AJ150" s="103">
        <f>IFERROR(IF(OR(AM150="",AK150=""),"",AM150-AK150),"")</f>
        <v>46016</v>
      </c>
      <c r="AK150" s="127">
        <f>INDEX('Work Package Master List'!$C$12:$Y$1000, MATCH($E150, 'Work Package Master List'!$B$12:$B$1000, 0), MATCH(AJ$11, 'Work Package Master List'!$C$13:$Y$13, 0))</f>
        <v>5</v>
      </c>
      <c r="AL150" s="179">
        <v>15368</v>
      </c>
      <c r="AM150" s="103">
        <v>46021</v>
      </c>
      <c r="AN150" s="190">
        <f>IF(MAX($AM151,$AJ151,$AH151,$AF151,$AD151,$AB151,$Z151,$X151,$V151,$T151,$R151,$P151,$N151,$L151,$J151) = 0,"",MAX($AM151,$AJ151,$AH151,$AF151,$AD151,$AB151,$Z151,$X151,$V151,$T151,$R151,$P151,$N151,$L151,$J151))</f>
        <v>46136</v>
      </c>
      <c r="AO150" s="179" t="str">
        <f>_xlfn.IFNA(INDEX($J$7:$AM$7,_xlfn.XMATCH(MAX($AM151,$AJ151,$AH151,$AF151,$AD151,$AB151,$Z151,$X151,$V151,$T151,$R151,$P151,$N151,$L151,$J151),$J151:$AM151,0,-1)),"Awaiting DTP")</f>
        <v>Awarded</v>
      </c>
      <c r="AP150" s="192" t="s">
        <v>262</v>
      </c>
      <c r="AU150" s="16" t="s">
        <v>262</v>
      </c>
    </row>
    <row r="151" spans="2:47" x14ac:dyDescent="0.25">
      <c r="B151" s="180"/>
      <c r="C151" s="180"/>
      <c r="D151" s="187"/>
      <c r="E151" s="180"/>
      <c r="F151" s="180"/>
      <c r="G151" s="180"/>
      <c r="H151" s="189"/>
      <c r="I151" s="105" t="s">
        <v>168</v>
      </c>
      <c r="J151" s="111">
        <v>46012</v>
      </c>
      <c r="K151" s="105"/>
      <c r="L151" s="111"/>
      <c r="M151" s="105"/>
      <c r="N151" s="111"/>
      <c r="O151" s="105"/>
      <c r="P151" s="111"/>
      <c r="Q151" s="105"/>
      <c r="R151" s="111"/>
      <c r="S151" s="105"/>
      <c r="T151" s="111"/>
      <c r="U151" s="105"/>
      <c r="V151" s="111"/>
      <c r="W151" s="105"/>
      <c r="X151" s="111"/>
      <c r="Y151" s="105"/>
      <c r="Z151" s="111"/>
      <c r="AA151" s="105"/>
      <c r="AB151" s="111"/>
      <c r="AC151" s="105"/>
      <c r="AD151" s="111"/>
      <c r="AE151" s="105"/>
      <c r="AF151" s="111"/>
      <c r="AG151" s="105"/>
      <c r="AH151" s="111"/>
      <c r="AI151" s="105"/>
      <c r="AJ151" s="111"/>
      <c r="AK151" s="105"/>
      <c r="AL151" s="180"/>
      <c r="AM151" s="111">
        <v>46136</v>
      </c>
      <c r="AN151" s="191"/>
      <c r="AO151" s="180"/>
      <c r="AP151" s="193"/>
    </row>
    <row r="152" spans="2:47" x14ac:dyDescent="0.25">
      <c r="B152" s="179">
        <v>93</v>
      </c>
      <c r="C152" s="179" t="s">
        <v>44</v>
      </c>
      <c r="D152" s="186" t="s">
        <v>116</v>
      </c>
      <c r="E152" s="179" t="s">
        <v>263</v>
      </c>
      <c r="F152" s="179" t="str">
        <f>_xlfn.XLOOKUP($B152,'Procurement Strategy'!$B$12:$B$968,'Procurement Strategy'!$P$12:$P$968,"-",0)</f>
        <v>Yes</v>
      </c>
      <c r="G152" s="179" t="s">
        <v>176</v>
      </c>
      <c r="H152" s="188">
        <v>46225</v>
      </c>
      <c r="I152" s="126" t="s">
        <v>166</v>
      </c>
      <c r="J152" s="103">
        <f>IFERROR(IF(OR(L152="",K152=""),"",L152-K152),"")</f>
        <v>46023</v>
      </c>
      <c r="K152" s="127">
        <f>INDEX('Work Package Master List'!$C$12:$Y$1000, MATCH($E152, 'Work Package Master List'!$B$12:$B$1000, 0), MATCH(J$11, 'Work Package Master List'!$C$13:$Y$13, 0))</f>
        <v>2</v>
      </c>
      <c r="L152" s="103">
        <f>IFERROR(IF(OR(N152="",M152=""),"",N152-M152),"")</f>
        <v>46025</v>
      </c>
      <c r="M152" s="127">
        <f>INDEX('Work Package Master List'!$C$12:$Y$1000, MATCH($E152, 'Work Package Master List'!$B$12:$B$1000, 0), MATCH(L$11, 'Work Package Master List'!$C$13:$Y$13, 0))</f>
        <v>1</v>
      </c>
      <c r="N152" s="103">
        <f>IFERROR(IF(OR(P152="",O152=""),"",P152-O152),"")</f>
        <v>46026</v>
      </c>
      <c r="O152" s="127">
        <f>INDEX('Work Package Master List'!$C$12:$Y$1000, MATCH($E152, 'Work Package Master List'!$B$12:$B$1000, 0), MATCH(N$11, 'Work Package Master List'!$C$13:$Y$13, 0))</f>
        <v>0</v>
      </c>
      <c r="P152" s="103">
        <f>IFERROR(IF(OR(R152="",Q152=""),"",R152-Q152),"")</f>
        <v>46026</v>
      </c>
      <c r="Q152" s="127">
        <f>INDEX('Work Package Master List'!$C$12:$Y$1000, MATCH($E152, 'Work Package Master List'!$B$12:$B$1000, 0), MATCH(P$11, 'Work Package Master List'!$C$13:$Y$13, 0))</f>
        <v>5</v>
      </c>
      <c r="R152" s="103">
        <f>IFERROR(IF(OR(T152="",S152=""),"",T152-S152),"")</f>
        <v>46031</v>
      </c>
      <c r="S152" s="127">
        <f>INDEX('Work Package Master List'!$C$12:$Y$1000, MATCH($E152, 'Work Package Master List'!$B$12:$B$1000, 0), MATCH(R$11, 'Work Package Master List'!$C$13:$Y$13, 0))</f>
        <v>5</v>
      </c>
      <c r="T152" s="103">
        <f>IFERROR(IF(OR(V152="",U152=""),"",V152-U152),"")</f>
        <v>46036</v>
      </c>
      <c r="U152" s="127">
        <f>INDEX('Work Package Master List'!$C$12:$Y$1000, MATCH($E152, 'Work Package Master List'!$B$12:$B$1000, 0), MATCH(T$11, 'Work Package Master List'!$C$13:$Y$13, 0))</f>
        <v>5</v>
      </c>
      <c r="V152" s="103">
        <f>IFERROR(IF(OR(X152="",W152=""),"",X152-W152),"")</f>
        <v>46041</v>
      </c>
      <c r="W152" s="127">
        <f>INDEX('Work Package Master List'!$C$12:$Y$1000, MATCH($E152, 'Work Package Master List'!$B$12:$B$1000, 0), MATCH(V$11, 'Work Package Master List'!$C$13:$Y$13, 0))</f>
        <v>3</v>
      </c>
      <c r="X152" s="103">
        <f>IFERROR(IF(OR(Z152="",Y152=""),"",Z152-Y152),"")</f>
        <v>46044</v>
      </c>
      <c r="Y152" s="127">
        <f>INDEX('Work Package Master List'!$C$12:$Y$1000, MATCH($E152, 'Work Package Master List'!$B$12:$B$1000, 0), MATCH(X$11, 'Work Package Master List'!$C$13:$Y$13, 0))</f>
        <v>2</v>
      </c>
      <c r="Z152" s="103">
        <f>IFERROR(IF(OR(AB152="",AA152=""),"",AB152-AA152),"")</f>
        <v>46046</v>
      </c>
      <c r="AA152" s="127">
        <f>INDEX('Work Package Master List'!$C$12:$Y$1000, MATCH($E152, 'Work Package Master List'!$B$12:$B$1000, 0), MATCH(Z$11, 'Work Package Master List'!$C$13:$Y$13, 0))</f>
        <v>7</v>
      </c>
      <c r="AB152" s="103">
        <f>IFERROR(IF(OR(AD152="",AC152=""),"",AD152-AC152),"")</f>
        <v>46053</v>
      </c>
      <c r="AC152" s="127">
        <f>INDEX('Work Package Master List'!$C$12:$Y$1000, MATCH($E152, 'Work Package Master List'!$B$12:$B$1000, 0), MATCH(AB$11, 'Work Package Master List'!$C$13:$Y$13, 0))</f>
        <v>5</v>
      </c>
      <c r="AD152" s="103">
        <f>IFERROR(IF(OR(AF152="",AE152=""),"",AF152-AE152),"")</f>
        <v>46058</v>
      </c>
      <c r="AE152" s="127">
        <f>INDEX('Work Package Master List'!$C$12:$Y$1000, MATCH($E152, 'Work Package Master List'!$B$12:$B$1000, 0), MATCH(AD$11, 'Work Package Master List'!$C$13:$Y$13, 0))</f>
        <v>1</v>
      </c>
      <c r="AF152" s="103">
        <f>IFERROR(IF(OR(AH152="",AG152=""),"",AH152-AG152),"")</f>
        <v>46059</v>
      </c>
      <c r="AG152" s="127">
        <f>INDEX('Work Package Master List'!$C$12:$Y$1000, MATCH($E152, 'Work Package Master List'!$B$12:$B$1000, 0), MATCH(AF$11, 'Work Package Master List'!$C$13:$Y$13, 0))</f>
        <v>2</v>
      </c>
      <c r="AH152" s="103">
        <f>IFERROR(IF(OR(AJ152="",AI152=""),"",AJ152-AI152),"")</f>
        <v>46061</v>
      </c>
      <c r="AI152" s="127">
        <f>INDEX('Work Package Master List'!$C$12:$Y$1000, MATCH($E152, 'Work Package Master List'!$B$12:$B$1000, 0), MATCH(AH$11, 'Work Package Master List'!$C$13:$Y$13, 0))</f>
        <v>2</v>
      </c>
      <c r="AJ152" s="103">
        <f>IFERROR(IF(OR(AM152="",AK152=""),"",AM152-AK152),"")</f>
        <v>46063</v>
      </c>
      <c r="AK152" s="127">
        <f>INDEX('Work Package Master List'!$C$12:$Y$1000, MATCH($E152, 'Work Package Master List'!$B$12:$B$1000, 0), MATCH(AJ$11, 'Work Package Master List'!$C$13:$Y$13, 0))</f>
        <v>5</v>
      </c>
      <c r="AL152" s="179">
        <v>16903</v>
      </c>
      <c r="AM152" s="103">
        <v>46068</v>
      </c>
      <c r="AN152" s="190">
        <f>IF(MAX($AM153,$AJ153,$AH153,$AF153,$AD153,$AB153,$Z153,$X153,$V153,$T153,$R153,$P153,$N153,$L153,$J153) = 0,"",MAX($AM153,$AJ153,$AH153,$AF153,$AD153,$AB153,$Z153,$X153,$V153,$T153,$R153,$P153,$N153,$L153,$J153))</f>
        <v>46231</v>
      </c>
      <c r="AO152" s="179" t="str">
        <f>_xlfn.IFNA(INDEX($J$7:$AM$7,_xlfn.XMATCH(MAX($AM153,$AJ153,$AH153,$AF153,$AD153,$AB153,$Z153,$X153,$V153,$T153,$R153,$P153,$N153,$L153,$J153),$J153:$AM153,0,-1)),"Awaiting DTP")</f>
        <v>Awarded</v>
      </c>
      <c r="AP152" s="192" t="s">
        <v>1325</v>
      </c>
      <c r="AU152" s="16" t="s">
        <v>1325</v>
      </c>
    </row>
    <row r="153" spans="2:47" x14ac:dyDescent="0.25">
      <c r="B153" s="180"/>
      <c r="C153" s="180"/>
      <c r="D153" s="187"/>
      <c r="E153" s="180"/>
      <c r="F153" s="180"/>
      <c r="G153" s="180"/>
      <c r="H153" s="189"/>
      <c r="I153" s="105" t="s">
        <v>168</v>
      </c>
      <c r="J153" s="139">
        <v>46028</v>
      </c>
      <c r="K153" s="140"/>
      <c r="L153" s="139">
        <v>46030</v>
      </c>
      <c r="M153" s="140"/>
      <c r="N153" s="139">
        <v>46030</v>
      </c>
      <c r="O153" s="140"/>
      <c r="P153" s="139">
        <v>46030</v>
      </c>
      <c r="Q153" s="140"/>
      <c r="R153" s="139">
        <v>46032</v>
      </c>
      <c r="S153" s="140"/>
      <c r="T153" s="139">
        <v>45668</v>
      </c>
      <c r="U153" s="133"/>
      <c r="V153" s="141">
        <v>45736</v>
      </c>
      <c r="W153" s="177"/>
      <c r="X153" s="141">
        <v>46137</v>
      </c>
      <c r="Y153" s="177"/>
      <c r="Z153" s="141">
        <v>46203</v>
      </c>
      <c r="AA153" s="105"/>
      <c r="AB153" s="111">
        <v>46213</v>
      </c>
      <c r="AC153" s="105"/>
      <c r="AD153" s="111">
        <v>46213</v>
      </c>
      <c r="AE153" s="105"/>
      <c r="AF153" s="111">
        <v>46218</v>
      </c>
      <c r="AG153" s="105"/>
      <c r="AH153" s="111">
        <v>46223</v>
      </c>
      <c r="AI153" s="105"/>
      <c r="AJ153" s="111">
        <v>46231</v>
      </c>
      <c r="AK153" s="105"/>
      <c r="AL153" s="180"/>
      <c r="AM153" s="111">
        <v>46231</v>
      </c>
      <c r="AN153" s="191"/>
      <c r="AO153" s="180"/>
      <c r="AP153" s="192"/>
    </row>
    <row r="154" spans="2:47" ht="14.65" customHeight="1" x14ac:dyDescent="0.25">
      <c r="B154" s="179">
        <v>94</v>
      </c>
      <c r="C154" s="179" t="s">
        <v>44</v>
      </c>
      <c r="D154" s="186" t="s">
        <v>117</v>
      </c>
      <c r="E154" s="179" t="s">
        <v>263</v>
      </c>
      <c r="F154" s="179" t="str">
        <f>_xlfn.XLOOKUP($B154,'Procurement Strategy'!$B$12:$B$964,'Procurement Strategy'!$P$12:$P$964,"-",0)</f>
        <v>Yes</v>
      </c>
      <c r="G154" s="179" t="s">
        <v>176</v>
      </c>
      <c r="H154" s="188">
        <v>46225</v>
      </c>
      <c r="I154" s="126" t="s">
        <v>166</v>
      </c>
      <c r="J154" s="103">
        <f>IFERROR(IF(OR(L154="",K154=""),"",L154-K154),"")</f>
        <v>46023</v>
      </c>
      <c r="K154" s="127">
        <f>INDEX('Work Package Master List'!$C$12:$Y$1000, MATCH($E154, 'Work Package Master List'!$B$12:$B$1000, 0), MATCH(J$11, 'Work Package Master List'!$C$13:$Y$13, 0))</f>
        <v>2</v>
      </c>
      <c r="L154" s="103">
        <f>IFERROR(IF(OR(N154="",M154=""),"",N154-M154),"")</f>
        <v>46025</v>
      </c>
      <c r="M154" s="127">
        <f>INDEX('Work Package Master List'!$C$12:$Y$1000, MATCH($E154, 'Work Package Master List'!$B$12:$B$1000, 0), MATCH(L$11, 'Work Package Master List'!$C$13:$Y$13, 0))</f>
        <v>1</v>
      </c>
      <c r="N154" s="103">
        <f>IFERROR(IF(OR(P154="",O154=""),"",P154-O154),"")</f>
        <v>46026</v>
      </c>
      <c r="O154" s="127">
        <f>INDEX('Work Package Master List'!$C$12:$Y$1000, MATCH($E154, 'Work Package Master List'!$B$12:$B$1000, 0), MATCH(N$11, 'Work Package Master List'!$C$13:$Y$13, 0))</f>
        <v>0</v>
      </c>
      <c r="P154" s="103">
        <f>IFERROR(IF(OR(R154="",Q154=""),"",R154-Q154),"")</f>
        <v>46026</v>
      </c>
      <c r="Q154" s="127">
        <f>INDEX('Work Package Master List'!$C$12:$Y$1000, MATCH($E154, 'Work Package Master List'!$B$12:$B$1000, 0), MATCH(P$11, 'Work Package Master List'!$C$13:$Y$13, 0))</f>
        <v>5</v>
      </c>
      <c r="R154" s="103">
        <f>IFERROR(IF(OR(T154="",S154=""),"",T154-S154),"")</f>
        <v>46031</v>
      </c>
      <c r="S154" s="127">
        <f>INDEX('Work Package Master List'!$C$12:$Y$1000, MATCH($E154, 'Work Package Master List'!$B$12:$B$1000, 0), MATCH(R$11, 'Work Package Master List'!$C$13:$Y$13, 0))</f>
        <v>5</v>
      </c>
      <c r="T154" s="103">
        <f>IFERROR(IF(OR(V154="",U154=""),"",V154-U154),"")</f>
        <v>46036</v>
      </c>
      <c r="U154" s="127">
        <f>INDEX('Work Package Master List'!$C$12:$Y$1000, MATCH($E154, 'Work Package Master List'!$B$12:$B$1000, 0), MATCH(T$11, 'Work Package Master List'!$C$13:$Y$13, 0))</f>
        <v>5</v>
      </c>
      <c r="V154" s="103">
        <f>IFERROR(IF(OR(X154="",W154=""),"",X154-W154),"")</f>
        <v>46041</v>
      </c>
      <c r="W154" s="127">
        <f>INDEX('Work Package Master List'!$C$12:$Y$1000, MATCH($E154, 'Work Package Master List'!$B$12:$B$1000, 0), MATCH(V$11, 'Work Package Master List'!$C$13:$Y$13, 0))</f>
        <v>3</v>
      </c>
      <c r="X154" s="103">
        <f>IFERROR(IF(OR(Z154="",Y154=""),"",Z154-Y154),"")</f>
        <v>46044</v>
      </c>
      <c r="Y154" s="127">
        <f>INDEX('Work Package Master List'!$C$12:$Y$1000, MATCH($E154, 'Work Package Master List'!$B$12:$B$1000, 0), MATCH(X$11, 'Work Package Master List'!$C$13:$Y$13, 0))</f>
        <v>2</v>
      </c>
      <c r="Z154" s="103">
        <f>IFERROR(IF(OR(AB154="",AA154=""),"",AB154-AA154),"")</f>
        <v>46046</v>
      </c>
      <c r="AA154" s="127">
        <f>INDEX('Work Package Master List'!$C$12:$Y$1000, MATCH($E154, 'Work Package Master List'!$B$12:$B$1000, 0), MATCH(Z$11, 'Work Package Master List'!$C$13:$Y$13, 0))</f>
        <v>7</v>
      </c>
      <c r="AB154" s="103">
        <f>IFERROR(IF(OR(AD154="",AC154=""),"",AD154-AC154),"")</f>
        <v>46053</v>
      </c>
      <c r="AC154" s="127">
        <f>INDEX('Work Package Master List'!$C$12:$Y$1000, MATCH($E154, 'Work Package Master List'!$B$12:$B$1000, 0), MATCH(AB$11, 'Work Package Master List'!$C$13:$Y$13, 0))</f>
        <v>5</v>
      </c>
      <c r="AD154" s="103">
        <f>IFERROR(IF(OR(AF154="",AE154=""),"",AF154-AE154),"")</f>
        <v>46058</v>
      </c>
      <c r="AE154" s="127">
        <f>INDEX('Work Package Master List'!$C$12:$Y$1000, MATCH($E154, 'Work Package Master List'!$B$12:$B$1000, 0), MATCH(AD$11, 'Work Package Master List'!$C$13:$Y$13, 0))</f>
        <v>1</v>
      </c>
      <c r="AF154" s="103">
        <f>IFERROR(IF(OR(AH154="",AG154=""),"",AH154-AG154),"")</f>
        <v>46059</v>
      </c>
      <c r="AG154" s="127">
        <f>INDEX('Work Package Master List'!$C$12:$Y$1000, MATCH($E154, 'Work Package Master List'!$B$12:$B$1000, 0), MATCH(AF$11, 'Work Package Master List'!$C$13:$Y$13, 0))</f>
        <v>2</v>
      </c>
      <c r="AH154" s="103">
        <f>IFERROR(IF(OR(AJ154="",AI154=""),"",AJ154-AI154),"")</f>
        <v>46061</v>
      </c>
      <c r="AI154" s="127">
        <f>INDEX('Work Package Master List'!$C$12:$Y$1000, MATCH($E154, 'Work Package Master List'!$B$12:$B$1000, 0), MATCH(AH$11, 'Work Package Master List'!$C$13:$Y$13, 0))</f>
        <v>2</v>
      </c>
      <c r="AJ154" s="103">
        <f>IFERROR(IF(OR(AM154="",AK154=""),"",AM154-AK154),"")</f>
        <v>46063</v>
      </c>
      <c r="AK154" s="127">
        <f>INDEX('Work Package Master List'!$C$12:$Y$1000, MATCH($E154, 'Work Package Master List'!$B$12:$B$1000, 0), MATCH(AJ$11, 'Work Package Master List'!$C$13:$Y$13, 0))</f>
        <v>5</v>
      </c>
      <c r="AL154" s="179">
        <v>17266</v>
      </c>
      <c r="AM154" s="103">
        <v>46068</v>
      </c>
      <c r="AN154" s="190">
        <f>IF(MAX($AM155,$AJ155,$AH155,$AF155,$AD155,$AB155,$Z155,$X155,$V155,$T155,$R155,$P155,$N155,$L155,$J155) = 0,"",MAX($AM155,$AJ155,$AH155,$AF155,$AD155,$AB155,$Z155,$X155,$V155,$T155,$R155,$P155,$N155,$L155,$J155))</f>
        <v>46246</v>
      </c>
      <c r="AO154" s="179" t="str">
        <f>_xlfn.IFNA(INDEX($J$7:$AM$7,_xlfn.XMATCH(MAX($AM155,$AJ155,$AH155,$AF155,$AD155,$AB155,$Z155,$X155,$V155,$T155,$R155,$P155,$N155,$L155,$J155),$J155:$AM155,0,-1)),"Awaiting DTP")</f>
        <v>Awarded</v>
      </c>
      <c r="AP154" s="192" t="s">
        <v>1328</v>
      </c>
      <c r="AU154" s="16" t="s">
        <v>1328</v>
      </c>
    </row>
    <row r="155" spans="2:47" x14ac:dyDescent="0.25">
      <c r="B155" s="180"/>
      <c r="C155" s="180"/>
      <c r="D155" s="187"/>
      <c r="E155" s="180"/>
      <c r="F155" s="180"/>
      <c r="G155" s="180"/>
      <c r="H155" s="189"/>
      <c r="I155" s="105" t="s">
        <v>168</v>
      </c>
      <c r="J155" s="111">
        <v>46028</v>
      </c>
      <c r="K155" s="105"/>
      <c r="L155" s="111">
        <v>46030</v>
      </c>
      <c r="M155" s="105"/>
      <c r="N155" s="111">
        <v>46030</v>
      </c>
      <c r="O155" s="105"/>
      <c r="P155" s="111">
        <v>46030</v>
      </c>
      <c r="Q155" s="105"/>
      <c r="R155" s="111">
        <v>46032</v>
      </c>
      <c r="S155" s="105"/>
      <c r="T155" s="111">
        <v>45668</v>
      </c>
      <c r="U155" s="105"/>
      <c r="V155" s="111">
        <v>45736</v>
      </c>
      <c r="W155" s="105"/>
      <c r="X155" s="111">
        <v>46137</v>
      </c>
      <c r="Y155" s="105"/>
      <c r="Z155" s="111">
        <v>46203</v>
      </c>
      <c r="AA155" s="105"/>
      <c r="AB155" s="111">
        <v>46213</v>
      </c>
      <c r="AC155" s="105"/>
      <c r="AD155" s="111">
        <v>46213</v>
      </c>
      <c r="AE155" s="105"/>
      <c r="AF155" s="111">
        <v>46218</v>
      </c>
      <c r="AG155" s="105"/>
      <c r="AH155" s="111">
        <v>46223</v>
      </c>
      <c r="AI155" s="105"/>
      <c r="AJ155" s="111">
        <v>46246</v>
      </c>
      <c r="AK155" s="105"/>
      <c r="AL155" s="180"/>
      <c r="AM155" s="111">
        <v>46246</v>
      </c>
      <c r="AN155" s="191"/>
      <c r="AO155" s="180"/>
      <c r="AP155" s="192"/>
    </row>
    <row r="156" spans="2:47" x14ac:dyDescent="0.25">
      <c r="B156" s="179">
        <v>95</v>
      </c>
      <c r="C156" s="179" t="s">
        <v>44</v>
      </c>
      <c r="D156" s="186" t="s">
        <v>1326</v>
      </c>
      <c r="E156" s="179" t="s">
        <v>234</v>
      </c>
      <c r="F156" s="179" t="str">
        <f>_xlfn.XLOOKUP($B156,'Procurement Strategy'!$B$12:$B$998,'Procurement Strategy'!$P$12:$P$998,"-",0)</f>
        <v/>
      </c>
      <c r="G156" s="179" t="s">
        <v>210</v>
      </c>
      <c r="H156" s="188">
        <v>46244</v>
      </c>
      <c r="I156" s="126" t="s">
        <v>166</v>
      </c>
      <c r="J156" s="103">
        <f>IFERROR(IF(OR(L156="",K156=""),"",L156-K156),"")</f>
        <v>46031</v>
      </c>
      <c r="K156" s="127">
        <f>INDEX('Work Package Master List'!$C$12:$Y$1000, MATCH($E156, 'Work Package Master List'!$B$12:$B$1000, 0), MATCH(J$11, 'Work Package Master List'!$C$13:$Y$13, 0))</f>
        <v>2</v>
      </c>
      <c r="L156" s="103">
        <f>IFERROR(IF(OR(N156="",M156=""),"",N156-M156),"")</f>
        <v>46033</v>
      </c>
      <c r="M156" s="127">
        <f>INDEX('Work Package Master List'!$C$12:$Y$1000, MATCH($E156, 'Work Package Master List'!$B$12:$B$1000, 0), MATCH(L$11, 'Work Package Master List'!$C$13:$Y$13, 0))</f>
        <v>1</v>
      </c>
      <c r="N156" s="103">
        <f>IFERROR(IF(OR(P156="",O156=""),"",P156-O156),"")</f>
        <v>46034</v>
      </c>
      <c r="O156" s="127">
        <f>INDEX('Work Package Master List'!$C$12:$Y$1000, MATCH($E156, 'Work Package Master List'!$B$12:$B$1000, 0), MATCH(N$11, 'Work Package Master List'!$C$13:$Y$13, 0))</f>
        <v>0</v>
      </c>
      <c r="P156" s="103">
        <f>IFERROR(IF(OR(R156="",Q156=""),"",R156-Q156),"")</f>
        <v>46034</v>
      </c>
      <c r="Q156" s="127">
        <f>INDEX('Work Package Master List'!$C$12:$Y$1000, MATCH($E156, 'Work Package Master List'!$B$12:$B$1000, 0), MATCH(P$11, 'Work Package Master List'!$C$13:$Y$13, 0))</f>
        <v>14</v>
      </c>
      <c r="R156" s="103">
        <f>IFERROR(IF(OR(T156="",S156=""),"",T156-S156),"")</f>
        <v>46048</v>
      </c>
      <c r="S156" s="127">
        <f>INDEX('Work Package Master List'!$C$12:$Y$1000, MATCH($E156, 'Work Package Master List'!$B$12:$B$1000, 0), MATCH(R$11, 'Work Package Master List'!$C$13:$Y$13, 0))</f>
        <v>10</v>
      </c>
      <c r="T156" s="103">
        <f>IFERROR(IF(OR(V156="",U156=""),"",V156-U156),"")</f>
        <v>46058</v>
      </c>
      <c r="U156" s="127">
        <f>INDEX('Work Package Master List'!$C$12:$Y$1000, MATCH($E156, 'Work Package Master List'!$B$12:$B$1000, 0), MATCH(T$11, 'Work Package Master List'!$C$13:$Y$13, 0))</f>
        <v>1</v>
      </c>
      <c r="V156" s="103">
        <f>IFERROR(IF(OR(X156="",W156=""),"",X156-W156),"")</f>
        <v>46059</v>
      </c>
      <c r="W156" s="127">
        <f>INDEX('Work Package Master List'!$C$12:$Y$1000, MATCH($E156, 'Work Package Master List'!$B$12:$B$1000, 0), MATCH(V$11, 'Work Package Master List'!$C$13:$Y$13, 0))</f>
        <v>3</v>
      </c>
      <c r="X156" s="103">
        <f>IFERROR(IF(OR(Z156="",Y156=""),"",Z156-Y156),"")</f>
        <v>46062</v>
      </c>
      <c r="Y156" s="127">
        <f>INDEX('Work Package Master List'!$C$12:$Y$1000, MATCH($E156, 'Work Package Master List'!$B$12:$B$1000, 0), MATCH(X$11, 'Work Package Master List'!$C$13:$Y$13, 0))</f>
        <v>2</v>
      </c>
      <c r="Z156" s="103">
        <f>IFERROR(IF(OR(AB156="",AA156=""),"",AB156-AA156),"")</f>
        <v>46064</v>
      </c>
      <c r="AA156" s="127">
        <f>INDEX('Work Package Master List'!$C$12:$Y$1000, MATCH($E156, 'Work Package Master List'!$B$12:$B$1000, 0), MATCH(Z$11, 'Work Package Master List'!$C$13:$Y$13, 0))</f>
        <v>5</v>
      </c>
      <c r="AB156" s="103">
        <f>IFERROR(IF(OR(AD156="",AC156=""),"",AD156-AC156),"")</f>
        <v>46069</v>
      </c>
      <c r="AC156" s="127">
        <f>INDEX('Work Package Master List'!$C$12:$Y$1000, MATCH($E156, 'Work Package Master List'!$B$12:$B$1000, 0), MATCH(AB$11, 'Work Package Master List'!$C$13:$Y$13, 0))</f>
        <v>5</v>
      </c>
      <c r="AD156" s="103">
        <f>IFERROR(IF(OR(AF156="",AE156=""),"",AF156-AE156),"")</f>
        <v>46074</v>
      </c>
      <c r="AE156" s="127">
        <f>INDEX('Work Package Master List'!$C$12:$Y$1000, MATCH($E156, 'Work Package Master List'!$B$12:$B$1000, 0), MATCH(AD$11, 'Work Package Master List'!$C$13:$Y$13, 0))</f>
        <v>1</v>
      </c>
      <c r="AF156" s="103">
        <f>IFERROR(IF(OR(AH156="",AG156=""),"",AH156-AG156),"")</f>
        <v>46075</v>
      </c>
      <c r="AG156" s="127">
        <f>INDEX('Work Package Master List'!$C$12:$Y$1000, MATCH($E156, 'Work Package Master List'!$B$12:$B$1000, 0), MATCH(AF$11, 'Work Package Master List'!$C$13:$Y$13, 0))</f>
        <v>2</v>
      </c>
      <c r="AH156" s="103">
        <f>IFERROR(IF(OR(AJ156="",AI156=""),"",AJ156-AI156),"")</f>
        <v>46077</v>
      </c>
      <c r="AI156" s="127">
        <f>INDEX('Work Package Master List'!$C$12:$Y$1000, MATCH($E156, 'Work Package Master List'!$B$12:$B$1000, 0), MATCH(AH$11, 'Work Package Master List'!$C$13:$Y$13, 0))</f>
        <v>2</v>
      </c>
      <c r="AJ156" s="103">
        <f>IFERROR(IF(OR(AM156="",AK156=""),"",AM156-AK156),"")</f>
        <v>46079</v>
      </c>
      <c r="AK156" s="127">
        <f>INDEX('Work Package Master List'!$C$12:$Y$1000, MATCH($E156, 'Work Package Master List'!$B$12:$B$1000, 0), MATCH(AJ$11, 'Work Package Master List'!$C$13:$Y$13, 0))</f>
        <v>5</v>
      </c>
      <c r="AL156" s="179"/>
      <c r="AM156" s="103">
        <v>46084</v>
      </c>
      <c r="AN156" s="190">
        <f>IF(MAX($AM157,$AJ157,$AH157,$AF157,$AD157,$AB157,$Z157,$X157,$V157,$T157,$R157,$P157,$N157,$L157,$J157) = 0,"",MAX($AM157,$AJ157,$AH157,$AF157,$AD157,$AB157,$Z157,$X157,$V157,$T157,$R157,$P157,$N157,$L157,$J157))</f>
        <v>46289</v>
      </c>
      <c r="AO156" s="179" t="str">
        <f>_xlfn.IFNA(INDEX($J$7:$AM$7,_xlfn.XMATCH(MAX($AM157,$AJ157,$AH157,$AF157,$AD157,$AB157,$Z157,$X157,$V157,$T157,$R157,$P157,$N157,$L157,$J157),$J157:$AM157,0,-1)),"Awaiting DTP")</f>
        <v>Final Negotiations</v>
      </c>
      <c r="AP156" s="181" t="s">
        <v>1336</v>
      </c>
      <c r="AU156" s="16" t="s">
        <v>1336</v>
      </c>
    </row>
    <row r="157" spans="2:47" x14ac:dyDescent="0.25">
      <c r="B157" s="180"/>
      <c r="C157" s="180"/>
      <c r="D157" s="187"/>
      <c r="E157" s="180"/>
      <c r="F157" s="180"/>
      <c r="G157" s="180"/>
      <c r="H157" s="189"/>
      <c r="I157" s="105" t="s">
        <v>168</v>
      </c>
      <c r="J157" s="111">
        <v>46048</v>
      </c>
      <c r="K157" s="105"/>
      <c r="L157" s="111">
        <v>46049</v>
      </c>
      <c r="M157" s="105"/>
      <c r="N157" s="111">
        <v>46049</v>
      </c>
      <c r="O157" s="105"/>
      <c r="P157" s="111">
        <v>46049</v>
      </c>
      <c r="Q157" s="105"/>
      <c r="R157" s="111"/>
      <c r="S157" s="105"/>
      <c r="T157" s="111"/>
      <c r="U157" s="105"/>
      <c r="V157" s="111">
        <v>46148</v>
      </c>
      <c r="W157" s="105"/>
      <c r="X157" s="111">
        <v>46263</v>
      </c>
      <c r="Y157" s="105"/>
      <c r="Z157" s="111">
        <v>46289</v>
      </c>
      <c r="AA157" s="105"/>
      <c r="AB157" s="111"/>
      <c r="AC157" s="105"/>
      <c r="AD157" s="111"/>
      <c r="AE157" s="105"/>
      <c r="AF157" s="111"/>
      <c r="AG157" s="105"/>
      <c r="AH157" s="111">
        <v>46289</v>
      </c>
      <c r="AI157" s="105"/>
      <c r="AJ157" s="111"/>
      <c r="AK157" s="105"/>
      <c r="AL157" s="180"/>
      <c r="AM157" s="111"/>
      <c r="AN157" s="191"/>
      <c r="AO157" s="180"/>
      <c r="AP157" s="181"/>
    </row>
    <row r="158" spans="2:47" x14ac:dyDescent="0.25">
      <c r="B158" s="182">
        <v>96</v>
      </c>
      <c r="C158" s="182" t="s">
        <v>44</v>
      </c>
      <c r="D158" s="183" t="s">
        <v>119</v>
      </c>
      <c r="E158" s="182" t="s">
        <v>264</v>
      </c>
      <c r="F158" s="182" t="str">
        <f>_xlfn.XLOOKUP($B158,'Procurement Strategy'!$B$12:$B$995,'Procurement Strategy'!$P$12:$P$995,"-",0)</f>
        <v/>
      </c>
      <c r="G158" s="179" t="s">
        <v>210</v>
      </c>
      <c r="H158" s="184">
        <v>46244</v>
      </c>
      <c r="I158" s="97" t="s">
        <v>166</v>
      </c>
      <c r="J158" s="101">
        <f>IFERROR(IF(OR(L158="",K158=""),"",L158-K158),"")</f>
        <v>46103</v>
      </c>
      <c r="K158" s="102">
        <f>INDEX('Work Package Master List'!$C$12:$Y$1000, MATCH($E158, 'Work Package Master List'!$B$12:$B$1000, 0), MATCH(J$11, 'Work Package Master List'!$C$13:$Y$13, 0))</f>
        <v>2</v>
      </c>
      <c r="L158" s="101">
        <f>IFERROR(IF(OR(N158="",M158=""),"",N158-M158),"")</f>
        <v>46105</v>
      </c>
      <c r="M158" s="102">
        <f>INDEX('Work Package Master List'!$C$12:$Y$1000, MATCH($E158, 'Work Package Master List'!$B$12:$B$1000, 0), MATCH(L$11, 'Work Package Master List'!$C$13:$Y$13, 0))</f>
        <v>1</v>
      </c>
      <c r="N158" s="101">
        <f>IFERROR(IF(OR(P158="",O158=""),"",P158-O158),"")</f>
        <v>46106</v>
      </c>
      <c r="O158" s="102">
        <f>INDEX('Work Package Master List'!$C$12:$Y$1000, MATCH($E158, 'Work Package Master List'!$B$12:$B$1000, 0), MATCH(N$11, 'Work Package Master List'!$C$13:$Y$13, 0))</f>
        <v>0</v>
      </c>
      <c r="P158" s="101">
        <f>IFERROR(IF(OR(R158="",Q158=""),"",R158-Q158),"")</f>
        <v>46106</v>
      </c>
      <c r="Q158" s="102">
        <f>INDEX('Work Package Master List'!$C$12:$Y$1000, MATCH($E158, 'Work Package Master List'!$B$12:$B$1000, 0), MATCH(P$11, 'Work Package Master List'!$C$13:$Y$13, 0))</f>
        <v>5</v>
      </c>
      <c r="R158" s="101">
        <f>IFERROR(IF(OR(T158="",S158=""),"",T158-S158),"")</f>
        <v>46111</v>
      </c>
      <c r="S158" s="102">
        <f>INDEX('Work Package Master List'!$C$12:$Y$1000, MATCH($E158, 'Work Package Master List'!$B$12:$B$1000, 0), MATCH(R$11, 'Work Package Master List'!$C$13:$Y$13, 0))</f>
        <v>5</v>
      </c>
      <c r="T158" s="101">
        <f>IFERROR(IF(OR(V158="",U158=""),"",V158-U158),"")</f>
        <v>46116</v>
      </c>
      <c r="U158" s="102">
        <f>INDEX('Work Package Master List'!$C$12:$Y$1000, MATCH($E158, 'Work Package Master List'!$B$12:$B$1000, 0), MATCH(T$11, 'Work Package Master List'!$C$13:$Y$13, 0))</f>
        <v>1</v>
      </c>
      <c r="V158" s="101">
        <f>IFERROR(IF(OR(X158="",W158=""),"",X158-W158),"")</f>
        <v>46117</v>
      </c>
      <c r="W158" s="102">
        <f>INDEX('Work Package Master List'!$C$12:$Y$1000, MATCH($E158, 'Work Package Master List'!$B$12:$B$1000, 0), MATCH(V$11, 'Work Package Master List'!$C$13:$Y$13, 0))</f>
        <v>3</v>
      </c>
      <c r="X158" s="101">
        <f>IFERROR(IF(OR(Z158="",Y158=""),"",Z158-Y158),"")</f>
        <v>46120</v>
      </c>
      <c r="Y158" s="102">
        <f>INDEX('Work Package Master List'!$C$12:$Y$1000, MATCH($E158, 'Work Package Master List'!$B$12:$B$1000, 0), MATCH(X$11, 'Work Package Master List'!$C$13:$Y$13, 0))</f>
        <v>2</v>
      </c>
      <c r="Z158" s="101">
        <f>IFERROR(IF(OR(AB158="",AA158=""),"",AB158-AA158),"")</f>
        <v>46122</v>
      </c>
      <c r="AA158" s="102">
        <f>INDEX('Work Package Master List'!$C$12:$Y$1000, MATCH($E158, 'Work Package Master List'!$B$12:$B$1000, 0), MATCH(Z$11, 'Work Package Master List'!$C$13:$Y$13, 0))</f>
        <v>7</v>
      </c>
      <c r="AB158" s="101">
        <f>IFERROR(IF(OR(AD158="",AC158=""),"",AD158-AC158),"")</f>
        <v>46129</v>
      </c>
      <c r="AC158" s="102">
        <f>INDEX('Work Package Master List'!$C$12:$Y$1000, MATCH($E158, 'Work Package Master List'!$B$12:$B$1000, 0), MATCH(AB$11, 'Work Package Master List'!$C$13:$Y$13, 0))</f>
        <v>3</v>
      </c>
      <c r="AD158" s="101">
        <f>IFERROR(IF(OR(AF158="",AE158=""),"",AF158-AE158),"")</f>
        <v>46132</v>
      </c>
      <c r="AE158" s="102">
        <f>INDEX('Work Package Master List'!$C$12:$Y$1000, MATCH($E158, 'Work Package Master List'!$B$12:$B$1000, 0), MATCH(AD$11, 'Work Package Master List'!$C$13:$Y$13, 0))</f>
        <v>1</v>
      </c>
      <c r="AF158" s="101">
        <f>IFERROR(IF(OR(AH158="",AG158=""),"",AH158-AG158),"")</f>
        <v>46133</v>
      </c>
      <c r="AG158" s="102">
        <f>INDEX('Work Package Master List'!$C$12:$Y$1000, MATCH($E158, 'Work Package Master List'!$B$12:$B$1000, 0), MATCH(AF$11, 'Work Package Master List'!$C$13:$Y$13, 0))</f>
        <v>2</v>
      </c>
      <c r="AH158" s="101">
        <f>IFERROR(IF(OR(AJ158="",AI158=""),"",AJ158-AI158),"")</f>
        <v>46135</v>
      </c>
      <c r="AI158" s="102">
        <f>INDEX('Work Package Master List'!$C$12:$Y$1000, MATCH($E158, 'Work Package Master List'!$B$12:$B$1000, 0), MATCH(AH$11, 'Work Package Master List'!$C$13:$Y$13, 0))</f>
        <v>2</v>
      </c>
      <c r="AJ158" s="101">
        <f>IFERROR(IF(OR(AM158="",AK158=""),"",AM158-AK158),"")</f>
        <v>46137</v>
      </c>
      <c r="AK158" s="102">
        <f>INDEX('Work Package Master List'!$C$12:$Y$1000, MATCH($E158, 'Work Package Master List'!$B$12:$B$1000, 0), MATCH(AJ$11, 'Work Package Master List'!$C$13:$Y$13, 0))</f>
        <v>5</v>
      </c>
      <c r="AL158" s="179"/>
      <c r="AM158" s="103">
        <v>46142</v>
      </c>
      <c r="AN158" s="185">
        <f>IF(MAX($AM159,$AJ159,$AH159,$AF159,$AD159,$AB159,$Z159,$X159,$V159,$T159,$R159,$P159,$N159,$L159,$J159) = 0,"",MAX($AM159,$AJ159,$AH159,$AF159,$AD159,$AB159,$Z159,$X159,$V159,$T159,$R159,$P159,$N159,$L159,$J159))</f>
        <v>46170</v>
      </c>
      <c r="AO158" s="182" t="str">
        <f>_xlfn.IFNA(INDEX($J$7:$AM$7,_xlfn.XMATCH(MAX($AM159,$AJ159,$AH159,$AF159,$AD159,$AB159,$Z159,$X159,$V159,$T159,$R159,$P159,$N159,$L159,$J159),$J159:$AM159,0,-1)),"Awaiting DTP")</f>
        <v>PTC Stage</v>
      </c>
      <c r="AP158" s="181" t="s">
        <v>251</v>
      </c>
      <c r="AU158" s="16" t="s">
        <v>251</v>
      </c>
    </row>
    <row r="159" spans="2:47" x14ac:dyDescent="0.25">
      <c r="B159" s="182"/>
      <c r="C159" s="182"/>
      <c r="D159" s="183"/>
      <c r="E159" s="182"/>
      <c r="F159" s="182"/>
      <c r="G159" s="179"/>
      <c r="H159" s="184"/>
      <c r="I159" s="100" t="s">
        <v>168</v>
      </c>
      <c r="J159" s="106">
        <v>46024</v>
      </c>
      <c r="K159" s="91"/>
      <c r="L159" s="106">
        <v>46025</v>
      </c>
      <c r="M159" s="91"/>
      <c r="N159" s="106">
        <v>46025</v>
      </c>
      <c r="O159" s="91"/>
      <c r="P159" s="106">
        <v>46025</v>
      </c>
      <c r="Q159" s="91"/>
      <c r="R159" s="106">
        <v>46025</v>
      </c>
      <c r="S159" s="91"/>
      <c r="T159" s="106"/>
      <c r="U159" s="91"/>
      <c r="V159" s="106">
        <v>46029</v>
      </c>
      <c r="W159" s="91"/>
      <c r="X159" s="106">
        <v>46030</v>
      </c>
      <c r="Y159" s="91"/>
      <c r="Z159" s="106">
        <v>46170</v>
      </c>
      <c r="AA159" s="91"/>
      <c r="AB159" s="106"/>
      <c r="AC159" s="91"/>
      <c r="AD159" s="106"/>
      <c r="AE159" s="91"/>
      <c r="AF159" s="106"/>
      <c r="AG159" s="91"/>
      <c r="AH159" s="106"/>
      <c r="AI159" s="91"/>
      <c r="AJ159" s="106"/>
      <c r="AK159" s="91"/>
      <c r="AL159" s="179"/>
      <c r="AM159" s="106"/>
      <c r="AN159" s="185"/>
      <c r="AO159" s="182"/>
      <c r="AP159" s="181"/>
    </row>
  </sheetData>
  <sheetProtection algorithmName="SHA-512" hashValue="x1uJay/BkYriSlN8oLNNcxKG1bhMROYe01CX2jGtegwecBHmZ1vGgVclKTYJw3N9jkv5+o2Ky4QpxXkUJFWYOw==" saltValue="Rdg4niNEQ1DYc+QNC9apAA==" spinCount="100000" sheet="1" objects="1" scenarios="1"/>
  <autoFilter ref="B11:AP159" xr:uid="{15BDDC17-B7F6-4D1A-98B3-242080CCA322}"/>
  <mergeCells count="827">
    <mergeCell ref="AO152:AO153"/>
    <mergeCell ref="AP152:AP153"/>
    <mergeCell ref="B154:B155"/>
    <mergeCell ref="C154:C155"/>
    <mergeCell ref="D154:D155"/>
    <mergeCell ref="E154:E155"/>
    <mergeCell ref="F154:F155"/>
    <mergeCell ref="G154:G155"/>
    <mergeCell ref="H154:H155"/>
    <mergeCell ref="AL154:AL155"/>
    <mergeCell ref="AN154:AN155"/>
    <mergeCell ref="AO154:AO155"/>
    <mergeCell ref="AP154:AP155"/>
    <mergeCell ref="B152:B153"/>
    <mergeCell ref="C152:C153"/>
    <mergeCell ref="D152:D153"/>
    <mergeCell ref="E152:E153"/>
    <mergeCell ref="F152:F153"/>
    <mergeCell ref="G152:G153"/>
    <mergeCell ref="H152:H153"/>
    <mergeCell ref="AL152:AL153"/>
    <mergeCell ref="AN152:AN153"/>
    <mergeCell ref="A1:D3"/>
    <mergeCell ref="C5:E5"/>
    <mergeCell ref="C7:E7"/>
    <mergeCell ref="C8:E8"/>
    <mergeCell ref="X8:AL8"/>
    <mergeCell ref="Z10:AC10"/>
    <mergeCell ref="AD10:AI10"/>
    <mergeCell ref="AJ10:AL10"/>
    <mergeCell ref="J8:O8"/>
    <mergeCell ref="P8:W8"/>
    <mergeCell ref="J10:O10"/>
    <mergeCell ref="P10:U10"/>
    <mergeCell ref="V10:Y10"/>
    <mergeCell ref="AP12:AP13"/>
    <mergeCell ref="B14:B15"/>
    <mergeCell ref="C14:C15"/>
    <mergeCell ref="D14:D15"/>
    <mergeCell ref="E14:E15"/>
    <mergeCell ref="F14:F15"/>
    <mergeCell ref="G14:G15"/>
    <mergeCell ref="H14:H15"/>
    <mergeCell ref="AL14:AL15"/>
    <mergeCell ref="AN14:AN15"/>
    <mergeCell ref="AO14:AO15"/>
    <mergeCell ref="AP14:AP15"/>
    <mergeCell ref="G12:G13"/>
    <mergeCell ref="H12:H13"/>
    <mergeCell ref="AL12:AL13"/>
    <mergeCell ref="AN12:AN13"/>
    <mergeCell ref="AO12:AO13"/>
    <mergeCell ref="B12:B13"/>
    <mergeCell ref="C12:C13"/>
    <mergeCell ref="D12:D13"/>
    <mergeCell ref="E12:E13"/>
    <mergeCell ref="F12:F13"/>
    <mergeCell ref="AP16:AP17"/>
    <mergeCell ref="B18:B19"/>
    <mergeCell ref="C18:C19"/>
    <mergeCell ref="D18:D19"/>
    <mergeCell ref="E18:E19"/>
    <mergeCell ref="F18:F19"/>
    <mergeCell ref="G18:G19"/>
    <mergeCell ref="H18:H19"/>
    <mergeCell ref="AL18:AL19"/>
    <mergeCell ref="AN18:AN19"/>
    <mergeCell ref="AO18:AO19"/>
    <mergeCell ref="AP18:AP19"/>
    <mergeCell ref="G16:G17"/>
    <mergeCell ref="H16:H17"/>
    <mergeCell ref="AL16:AL17"/>
    <mergeCell ref="AN16:AN17"/>
    <mergeCell ref="AO16:AO17"/>
    <mergeCell ref="B16:B17"/>
    <mergeCell ref="C16:C17"/>
    <mergeCell ref="D16:D17"/>
    <mergeCell ref="E16:E17"/>
    <mergeCell ref="F16:F17"/>
    <mergeCell ref="AP20:AP21"/>
    <mergeCell ref="B22:B23"/>
    <mergeCell ref="C22:C23"/>
    <mergeCell ref="D22:D23"/>
    <mergeCell ref="E22:E23"/>
    <mergeCell ref="F22:F23"/>
    <mergeCell ref="G22:G23"/>
    <mergeCell ref="H22:H23"/>
    <mergeCell ref="AL22:AL23"/>
    <mergeCell ref="AN22:AN23"/>
    <mergeCell ref="AO22:AO23"/>
    <mergeCell ref="AP22:AP23"/>
    <mergeCell ref="G20:G21"/>
    <mergeCell ref="H20:H21"/>
    <mergeCell ref="AL20:AL21"/>
    <mergeCell ref="AN20:AN21"/>
    <mergeCell ref="AO20:AO21"/>
    <mergeCell ref="B20:B21"/>
    <mergeCell ref="C20:C21"/>
    <mergeCell ref="D20:D21"/>
    <mergeCell ref="E20:E21"/>
    <mergeCell ref="F20:F21"/>
    <mergeCell ref="AO28:AO29"/>
    <mergeCell ref="AP28:AP29"/>
    <mergeCell ref="AP24:AP25"/>
    <mergeCell ref="B26:B27"/>
    <mergeCell ref="C26:C27"/>
    <mergeCell ref="D26:D27"/>
    <mergeCell ref="E26:E27"/>
    <mergeCell ref="F26:F27"/>
    <mergeCell ref="G26:G27"/>
    <mergeCell ref="H26:H27"/>
    <mergeCell ref="AL26:AL27"/>
    <mergeCell ref="AN26:AN27"/>
    <mergeCell ref="AO26:AO27"/>
    <mergeCell ref="AP26:AP27"/>
    <mergeCell ref="G24:G25"/>
    <mergeCell ref="H24:H25"/>
    <mergeCell ref="AL24:AL25"/>
    <mergeCell ref="AN24:AN25"/>
    <mergeCell ref="AO24:AO25"/>
    <mergeCell ref="B24:B25"/>
    <mergeCell ref="C24:C25"/>
    <mergeCell ref="D24:D25"/>
    <mergeCell ref="E24:E25"/>
    <mergeCell ref="F24:F25"/>
    <mergeCell ref="B28:B29"/>
    <mergeCell ref="C28:C29"/>
    <mergeCell ref="D28:D29"/>
    <mergeCell ref="E28:E29"/>
    <mergeCell ref="F28:F29"/>
    <mergeCell ref="G28:G29"/>
    <mergeCell ref="H28:H29"/>
    <mergeCell ref="AL28:AL29"/>
    <mergeCell ref="AN28:AN29"/>
    <mergeCell ref="AP30:AP31"/>
    <mergeCell ref="B32:B33"/>
    <mergeCell ref="C32:C33"/>
    <mergeCell ref="D32:D33"/>
    <mergeCell ref="E32:E33"/>
    <mergeCell ref="F32:F33"/>
    <mergeCell ref="G32:G33"/>
    <mergeCell ref="H32:H33"/>
    <mergeCell ref="AL32:AL33"/>
    <mergeCell ref="AN32:AN33"/>
    <mergeCell ref="AO32:AO33"/>
    <mergeCell ref="AP32:AP33"/>
    <mergeCell ref="G30:G31"/>
    <mergeCell ref="H30:H31"/>
    <mergeCell ref="AL30:AL31"/>
    <mergeCell ref="AN30:AN31"/>
    <mergeCell ref="AO30:AO31"/>
    <mergeCell ref="B30:B31"/>
    <mergeCell ref="C30:C31"/>
    <mergeCell ref="D30:D31"/>
    <mergeCell ref="E30:E31"/>
    <mergeCell ref="F30:F31"/>
    <mergeCell ref="AP34:AP35"/>
    <mergeCell ref="B36:B37"/>
    <mergeCell ref="C36:C37"/>
    <mergeCell ref="D36:D37"/>
    <mergeCell ref="E36:E37"/>
    <mergeCell ref="F36:F37"/>
    <mergeCell ref="G36:G37"/>
    <mergeCell ref="H36:H37"/>
    <mergeCell ref="AL36:AL37"/>
    <mergeCell ref="AN36:AN37"/>
    <mergeCell ref="AO36:AO37"/>
    <mergeCell ref="AP36:AP37"/>
    <mergeCell ref="G34:G35"/>
    <mergeCell ref="H34:H35"/>
    <mergeCell ref="AL34:AL35"/>
    <mergeCell ref="AN34:AN35"/>
    <mergeCell ref="AO34:AO35"/>
    <mergeCell ref="B34:B35"/>
    <mergeCell ref="C34:C35"/>
    <mergeCell ref="D34:D35"/>
    <mergeCell ref="E34:E35"/>
    <mergeCell ref="F34:F35"/>
    <mergeCell ref="AP38:AP39"/>
    <mergeCell ref="B40:B41"/>
    <mergeCell ref="C40:C41"/>
    <mergeCell ref="D40:D41"/>
    <mergeCell ref="E40:E41"/>
    <mergeCell ref="F40:F41"/>
    <mergeCell ref="G40:G41"/>
    <mergeCell ref="H40:H41"/>
    <mergeCell ref="AL40:AL41"/>
    <mergeCell ref="AN40:AN41"/>
    <mergeCell ref="AO40:AO41"/>
    <mergeCell ref="AP40:AP41"/>
    <mergeCell ref="G38:G39"/>
    <mergeCell ref="H38:H39"/>
    <mergeCell ref="AL38:AL39"/>
    <mergeCell ref="AN38:AN39"/>
    <mergeCell ref="AO38:AO39"/>
    <mergeCell ref="B38:B39"/>
    <mergeCell ref="C38:C39"/>
    <mergeCell ref="D38:D39"/>
    <mergeCell ref="E38:E39"/>
    <mergeCell ref="F38:F39"/>
    <mergeCell ref="AP42:AP43"/>
    <mergeCell ref="B44:B45"/>
    <mergeCell ref="C44:C45"/>
    <mergeCell ref="D44:D45"/>
    <mergeCell ref="E44:E45"/>
    <mergeCell ref="F44:F45"/>
    <mergeCell ref="G44:G45"/>
    <mergeCell ref="H44:H45"/>
    <mergeCell ref="AL44:AL45"/>
    <mergeCell ref="AN44:AN45"/>
    <mergeCell ref="AO44:AO45"/>
    <mergeCell ref="AP44:AP45"/>
    <mergeCell ref="G42:G43"/>
    <mergeCell ref="H42:H43"/>
    <mergeCell ref="AL42:AL43"/>
    <mergeCell ref="AN42:AN43"/>
    <mergeCell ref="AO42:AO43"/>
    <mergeCell ref="B42:B43"/>
    <mergeCell ref="C42:C43"/>
    <mergeCell ref="D42:D43"/>
    <mergeCell ref="E42:E43"/>
    <mergeCell ref="F42:F43"/>
    <mergeCell ref="AP46:AP47"/>
    <mergeCell ref="G46:G47"/>
    <mergeCell ref="H46:H47"/>
    <mergeCell ref="AL46:AL47"/>
    <mergeCell ref="AN46:AN47"/>
    <mergeCell ref="AO46:AO47"/>
    <mergeCell ref="B46:B47"/>
    <mergeCell ref="C46:C47"/>
    <mergeCell ref="D46:D47"/>
    <mergeCell ref="E46:E47"/>
    <mergeCell ref="F46:F47"/>
    <mergeCell ref="AP48:AP49"/>
    <mergeCell ref="G48:G49"/>
    <mergeCell ref="H48:H49"/>
    <mergeCell ref="AL48:AL49"/>
    <mergeCell ref="AN48:AN49"/>
    <mergeCell ref="AO48:AO49"/>
    <mergeCell ref="B48:B49"/>
    <mergeCell ref="C48:C49"/>
    <mergeCell ref="D48:D49"/>
    <mergeCell ref="E48:E49"/>
    <mergeCell ref="F48:F49"/>
    <mergeCell ref="AP50:AP51"/>
    <mergeCell ref="G50:G51"/>
    <mergeCell ref="H50:H51"/>
    <mergeCell ref="AL50:AL51"/>
    <mergeCell ref="AN50:AN51"/>
    <mergeCell ref="AO50:AO51"/>
    <mergeCell ref="B50:B51"/>
    <mergeCell ref="C50:C51"/>
    <mergeCell ref="D50:D51"/>
    <mergeCell ref="E50:E51"/>
    <mergeCell ref="F50:F51"/>
    <mergeCell ref="AP52:AP53"/>
    <mergeCell ref="B54:B55"/>
    <mergeCell ref="C54:C55"/>
    <mergeCell ref="D54:D55"/>
    <mergeCell ref="E54:E55"/>
    <mergeCell ref="F54:F55"/>
    <mergeCell ref="G54:G55"/>
    <mergeCell ref="H54:H55"/>
    <mergeCell ref="AL54:AL55"/>
    <mergeCell ref="AN54:AN55"/>
    <mergeCell ref="AO54:AO55"/>
    <mergeCell ref="AP54:AP55"/>
    <mergeCell ref="G52:G53"/>
    <mergeCell ref="H52:H53"/>
    <mergeCell ref="AL52:AL53"/>
    <mergeCell ref="AN52:AN53"/>
    <mergeCell ref="AO52:AO53"/>
    <mergeCell ref="B52:B53"/>
    <mergeCell ref="C52:C53"/>
    <mergeCell ref="D52:D53"/>
    <mergeCell ref="E52:E53"/>
    <mergeCell ref="F52:F53"/>
    <mergeCell ref="AP56:AP57"/>
    <mergeCell ref="B58:B59"/>
    <mergeCell ref="C58:C59"/>
    <mergeCell ref="D58:D59"/>
    <mergeCell ref="E58:E59"/>
    <mergeCell ref="F58:F59"/>
    <mergeCell ref="G58:G59"/>
    <mergeCell ref="H58:H59"/>
    <mergeCell ref="AL58:AL59"/>
    <mergeCell ref="AN58:AN59"/>
    <mergeCell ref="AO58:AO59"/>
    <mergeCell ref="AP58:AP59"/>
    <mergeCell ref="G56:G57"/>
    <mergeCell ref="H56:H57"/>
    <mergeCell ref="AL56:AL57"/>
    <mergeCell ref="AN56:AN57"/>
    <mergeCell ref="AO56:AO57"/>
    <mergeCell ref="B56:B57"/>
    <mergeCell ref="C56:C57"/>
    <mergeCell ref="D56:D57"/>
    <mergeCell ref="E56:E57"/>
    <mergeCell ref="F56:F57"/>
    <mergeCell ref="AO62:AO63"/>
    <mergeCell ref="AP62:AP63"/>
    <mergeCell ref="B60:B61"/>
    <mergeCell ref="C60:C61"/>
    <mergeCell ref="D60:D61"/>
    <mergeCell ref="E60:E61"/>
    <mergeCell ref="F60:F61"/>
    <mergeCell ref="G60:G61"/>
    <mergeCell ref="H60:H61"/>
    <mergeCell ref="AL60:AL61"/>
    <mergeCell ref="AN60:AN61"/>
    <mergeCell ref="AO60:AO61"/>
    <mergeCell ref="AP60:AP61"/>
    <mergeCell ref="B62:B63"/>
    <mergeCell ref="C62:C63"/>
    <mergeCell ref="D62:D63"/>
    <mergeCell ref="E62:E63"/>
    <mergeCell ref="F62:F63"/>
    <mergeCell ref="G62:G63"/>
    <mergeCell ref="H62:H63"/>
    <mergeCell ref="AL62:AL63"/>
    <mergeCell ref="AN62:AN63"/>
    <mergeCell ref="AO68:AO69"/>
    <mergeCell ref="AP68:AP69"/>
    <mergeCell ref="AP64:AP65"/>
    <mergeCell ref="B66:B67"/>
    <mergeCell ref="C66:C67"/>
    <mergeCell ref="D66:D67"/>
    <mergeCell ref="E66:E67"/>
    <mergeCell ref="F66:F67"/>
    <mergeCell ref="G66:G67"/>
    <mergeCell ref="H66:H67"/>
    <mergeCell ref="AL66:AL67"/>
    <mergeCell ref="AN66:AN67"/>
    <mergeCell ref="AO66:AO67"/>
    <mergeCell ref="AP66:AP67"/>
    <mergeCell ref="G64:G65"/>
    <mergeCell ref="H64:H65"/>
    <mergeCell ref="AL64:AL65"/>
    <mergeCell ref="AN64:AN65"/>
    <mergeCell ref="AO64:AO65"/>
    <mergeCell ref="B64:B65"/>
    <mergeCell ref="C64:C65"/>
    <mergeCell ref="D64:D65"/>
    <mergeCell ref="E64:E65"/>
    <mergeCell ref="F64:F65"/>
    <mergeCell ref="B68:B69"/>
    <mergeCell ref="C68:C69"/>
    <mergeCell ref="D68:D69"/>
    <mergeCell ref="E68:E69"/>
    <mergeCell ref="F68:F69"/>
    <mergeCell ref="G68:G69"/>
    <mergeCell ref="H68:H69"/>
    <mergeCell ref="AL68:AL69"/>
    <mergeCell ref="AN68:AN69"/>
    <mergeCell ref="AP70:AP71"/>
    <mergeCell ref="B72:B73"/>
    <mergeCell ref="C72:C73"/>
    <mergeCell ref="D72:D73"/>
    <mergeCell ref="E72:E73"/>
    <mergeCell ref="F72:F73"/>
    <mergeCell ref="G72:G73"/>
    <mergeCell ref="H72:H73"/>
    <mergeCell ref="AL72:AL73"/>
    <mergeCell ref="AN72:AN73"/>
    <mergeCell ref="AO72:AO73"/>
    <mergeCell ref="AP72:AP73"/>
    <mergeCell ref="G70:G71"/>
    <mergeCell ref="H70:H71"/>
    <mergeCell ref="AL70:AL71"/>
    <mergeCell ref="AN70:AN71"/>
    <mergeCell ref="AO70:AO71"/>
    <mergeCell ref="B70:B71"/>
    <mergeCell ref="C70:C71"/>
    <mergeCell ref="D70:D71"/>
    <mergeCell ref="E70:E71"/>
    <mergeCell ref="F70:F71"/>
    <mergeCell ref="AP74:AP75"/>
    <mergeCell ref="B76:B77"/>
    <mergeCell ref="C76:C77"/>
    <mergeCell ref="D76:D77"/>
    <mergeCell ref="E76:E77"/>
    <mergeCell ref="F76:F77"/>
    <mergeCell ref="G76:G77"/>
    <mergeCell ref="H76:H77"/>
    <mergeCell ref="AL76:AL77"/>
    <mergeCell ref="AN76:AN77"/>
    <mergeCell ref="AO76:AO77"/>
    <mergeCell ref="AP76:AP77"/>
    <mergeCell ref="G74:G75"/>
    <mergeCell ref="H74:H75"/>
    <mergeCell ref="AL74:AL75"/>
    <mergeCell ref="AN74:AN75"/>
    <mergeCell ref="AO74:AO75"/>
    <mergeCell ref="B74:B75"/>
    <mergeCell ref="C74:C75"/>
    <mergeCell ref="D74:D75"/>
    <mergeCell ref="E74:E75"/>
    <mergeCell ref="F74:F75"/>
    <mergeCell ref="AP78:AP79"/>
    <mergeCell ref="G78:G79"/>
    <mergeCell ref="H78:H79"/>
    <mergeCell ref="AL78:AL79"/>
    <mergeCell ref="AN78:AN79"/>
    <mergeCell ref="AO78:AO79"/>
    <mergeCell ref="B78:B79"/>
    <mergeCell ref="C78:C79"/>
    <mergeCell ref="D78:D79"/>
    <mergeCell ref="E78:E79"/>
    <mergeCell ref="F78:F79"/>
    <mergeCell ref="AP80:AP81"/>
    <mergeCell ref="G80:G81"/>
    <mergeCell ref="H80:H81"/>
    <mergeCell ref="AL80:AL81"/>
    <mergeCell ref="AN80:AN81"/>
    <mergeCell ref="AO80:AO81"/>
    <mergeCell ref="B80:B81"/>
    <mergeCell ref="C80:C81"/>
    <mergeCell ref="D80:D81"/>
    <mergeCell ref="E80:E81"/>
    <mergeCell ref="F80:F81"/>
    <mergeCell ref="AO84:AO85"/>
    <mergeCell ref="AP84:AP85"/>
    <mergeCell ref="B82:B83"/>
    <mergeCell ref="C82:C83"/>
    <mergeCell ref="D82:D83"/>
    <mergeCell ref="E82:E83"/>
    <mergeCell ref="F82:F83"/>
    <mergeCell ref="G82:G83"/>
    <mergeCell ref="H82:H83"/>
    <mergeCell ref="AL82:AL83"/>
    <mergeCell ref="AN82:AN83"/>
    <mergeCell ref="AO82:AO83"/>
    <mergeCell ref="AP82:AP83"/>
    <mergeCell ref="B84:B85"/>
    <mergeCell ref="C84:C85"/>
    <mergeCell ref="D84:D85"/>
    <mergeCell ref="E84:E85"/>
    <mergeCell ref="F84:F85"/>
    <mergeCell ref="G84:G85"/>
    <mergeCell ref="H84:H85"/>
    <mergeCell ref="AL84:AL85"/>
    <mergeCell ref="AN84:AN85"/>
    <mergeCell ref="AP86:AP87"/>
    <mergeCell ref="G86:G87"/>
    <mergeCell ref="H86:H87"/>
    <mergeCell ref="AL86:AL87"/>
    <mergeCell ref="AN86:AN87"/>
    <mergeCell ref="AO86:AO87"/>
    <mergeCell ref="B86:B87"/>
    <mergeCell ref="C86:C87"/>
    <mergeCell ref="D86:D87"/>
    <mergeCell ref="E86:E87"/>
    <mergeCell ref="F86:F87"/>
    <mergeCell ref="B88:B89"/>
    <mergeCell ref="C88:C89"/>
    <mergeCell ref="D88:D89"/>
    <mergeCell ref="E88:E89"/>
    <mergeCell ref="F88:F89"/>
    <mergeCell ref="G88:G89"/>
    <mergeCell ref="H88:H89"/>
    <mergeCell ref="AL88:AL89"/>
    <mergeCell ref="AN88:AN89"/>
    <mergeCell ref="AO88:AO89"/>
    <mergeCell ref="AP88:AP89"/>
    <mergeCell ref="AO94:AO95"/>
    <mergeCell ref="AP94:AP95"/>
    <mergeCell ref="AP90:AP91"/>
    <mergeCell ref="B92:B93"/>
    <mergeCell ref="C92:C93"/>
    <mergeCell ref="D92:D93"/>
    <mergeCell ref="E92:E93"/>
    <mergeCell ref="F92:F93"/>
    <mergeCell ref="G92:G93"/>
    <mergeCell ref="H92:H93"/>
    <mergeCell ref="AL92:AL93"/>
    <mergeCell ref="AN92:AN93"/>
    <mergeCell ref="AO92:AO93"/>
    <mergeCell ref="AP92:AP93"/>
    <mergeCell ref="G90:G91"/>
    <mergeCell ref="H90:H91"/>
    <mergeCell ref="AL90:AL91"/>
    <mergeCell ref="AN90:AN91"/>
    <mergeCell ref="AO90:AO91"/>
    <mergeCell ref="B90:B91"/>
    <mergeCell ref="C90:C91"/>
    <mergeCell ref="D90:D91"/>
    <mergeCell ref="E90:E91"/>
    <mergeCell ref="F90:F91"/>
    <mergeCell ref="B94:B95"/>
    <mergeCell ref="C94:C95"/>
    <mergeCell ref="D94:D95"/>
    <mergeCell ref="E94:E95"/>
    <mergeCell ref="F94:F95"/>
    <mergeCell ref="G94:G95"/>
    <mergeCell ref="H94:H95"/>
    <mergeCell ref="AL94:AL95"/>
    <mergeCell ref="AN94:AN95"/>
    <mergeCell ref="AP96:AP97"/>
    <mergeCell ref="B98:B99"/>
    <mergeCell ref="C98:C99"/>
    <mergeCell ref="D98:D99"/>
    <mergeCell ref="E98:E99"/>
    <mergeCell ref="F98:F99"/>
    <mergeCell ref="G98:G99"/>
    <mergeCell ref="H98:H99"/>
    <mergeCell ref="AL98:AL99"/>
    <mergeCell ref="AN98:AN99"/>
    <mergeCell ref="AO98:AO99"/>
    <mergeCell ref="AP98:AP99"/>
    <mergeCell ref="G96:G97"/>
    <mergeCell ref="H96:H97"/>
    <mergeCell ref="AL96:AL97"/>
    <mergeCell ref="AN96:AN97"/>
    <mergeCell ref="AO96:AO97"/>
    <mergeCell ref="B96:B97"/>
    <mergeCell ref="C96:C97"/>
    <mergeCell ref="D96:D97"/>
    <mergeCell ref="E96:E97"/>
    <mergeCell ref="F96:F97"/>
    <mergeCell ref="AP100:AP101"/>
    <mergeCell ref="B102:B103"/>
    <mergeCell ref="C102:C103"/>
    <mergeCell ref="D102:D103"/>
    <mergeCell ref="E102:E103"/>
    <mergeCell ref="F102:F103"/>
    <mergeCell ref="G102:G103"/>
    <mergeCell ref="H102:H103"/>
    <mergeCell ref="AL102:AL103"/>
    <mergeCell ref="AN102:AN103"/>
    <mergeCell ref="AO102:AO103"/>
    <mergeCell ref="AP102:AP103"/>
    <mergeCell ref="G100:G101"/>
    <mergeCell ref="H100:H101"/>
    <mergeCell ref="AL100:AL101"/>
    <mergeCell ref="AN100:AN101"/>
    <mergeCell ref="AO100:AO101"/>
    <mergeCell ref="B100:B101"/>
    <mergeCell ref="C100:C101"/>
    <mergeCell ref="D100:D101"/>
    <mergeCell ref="E100:E101"/>
    <mergeCell ref="F100:F101"/>
    <mergeCell ref="AP104:AP105"/>
    <mergeCell ref="B106:B107"/>
    <mergeCell ref="C106:C107"/>
    <mergeCell ref="D106:D107"/>
    <mergeCell ref="E106:E107"/>
    <mergeCell ref="F106:F107"/>
    <mergeCell ref="G106:G107"/>
    <mergeCell ref="H106:H107"/>
    <mergeCell ref="AL106:AL107"/>
    <mergeCell ref="AN106:AN107"/>
    <mergeCell ref="AO106:AO107"/>
    <mergeCell ref="AP106:AP107"/>
    <mergeCell ref="G104:G105"/>
    <mergeCell ref="H104:H105"/>
    <mergeCell ref="AL104:AL105"/>
    <mergeCell ref="AN104:AN105"/>
    <mergeCell ref="AO104:AO105"/>
    <mergeCell ref="B104:B105"/>
    <mergeCell ref="C104:C105"/>
    <mergeCell ref="D104:D105"/>
    <mergeCell ref="E104:E105"/>
    <mergeCell ref="F104:F105"/>
    <mergeCell ref="AP108:AP109"/>
    <mergeCell ref="B110:B111"/>
    <mergeCell ref="C110:C111"/>
    <mergeCell ref="D110:D111"/>
    <mergeCell ref="E110:E111"/>
    <mergeCell ref="F110:F111"/>
    <mergeCell ref="G110:G111"/>
    <mergeCell ref="H110:H111"/>
    <mergeCell ref="AL110:AL111"/>
    <mergeCell ref="AN110:AN111"/>
    <mergeCell ref="AO110:AO111"/>
    <mergeCell ref="AP110:AP111"/>
    <mergeCell ref="G108:G109"/>
    <mergeCell ref="H108:H109"/>
    <mergeCell ref="AL108:AL109"/>
    <mergeCell ref="AN108:AN109"/>
    <mergeCell ref="AO108:AO109"/>
    <mergeCell ref="B108:B109"/>
    <mergeCell ref="C108:C109"/>
    <mergeCell ref="D108:D109"/>
    <mergeCell ref="E108:E109"/>
    <mergeCell ref="F108:F109"/>
    <mergeCell ref="AP112:AP113"/>
    <mergeCell ref="G112:G113"/>
    <mergeCell ref="H112:H113"/>
    <mergeCell ref="AL112:AL113"/>
    <mergeCell ref="AN112:AN113"/>
    <mergeCell ref="AO112:AO113"/>
    <mergeCell ref="B112:B113"/>
    <mergeCell ref="C112:C113"/>
    <mergeCell ref="D112:D113"/>
    <mergeCell ref="E112:E113"/>
    <mergeCell ref="F112:F113"/>
    <mergeCell ref="AP114:AP115"/>
    <mergeCell ref="G114:G115"/>
    <mergeCell ref="H114:H115"/>
    <mergeCell ref="AL114:AL115"/>
    <mergeCell ref="AN114:AN115"/>
    <mergeCell ref="AO114:AO115"/>
    <mergeCell ref="B114:B115"/>
    <mergeCell ref="C114:C115"/>
    <mergeCell ref="D114:D115"/>
    <mergeCell ref="E114:E115"/>
    <mergeCell ref="F114:F115"/>
    <mergeCell ref="AP116:AP117"/>
    <mergeCell ref="B118:B119"/>
    <mergeCell ref="C118:C119"/>
    <mergeCell ref="D118:D119"/>
    <mergeCell ref="E118:E119"/>
    <mergeCell ref="F118:F119"/>
    <mergeCell ref="G118:G119"/>
    <mergeCell ref="H118:H119"/>
    <mergeCell ref="AL118:AL119"/>
    <mergeCell ref="AN118:AN119"/>
    <mergeCell ref="AO118:AO119"/>
    <mergeCell ref="AP118:AP119"/>
    <mergeCell ref="G116:G117"/>
    <mergeCell ref="H116:H117"/>
    <mergeCell ref="AL116:AL117"/>
    <mergeCell ref="AN116:AN117"/>
    <mergeCell ref="AO116:AO117"/>
    <mergeCell ref="B116:B117"/>
    <mergeCell ref="C116:C117"/>
    <mergeCell ref="D116:D117"/>
    <mergeCell ref="E116:E117"/>
    <mergeCell ref="F116:F117"/>
    <mergeCell ref="AP120:AP121"/>
    <mergeCell ref="B122:B123"/>
    <mergeCell ref="C122:C123"/>
    <mergeCell ref="D122:D123"/>
    <mergeCell ref="E122:E123"/>
    <mergeCell ref="F122:F123"/>
    <mergeCell ref="G122:G123"/>
    <mergeCell ref="H122:H123"/>
    <mergeCell ref="AL122:AL123"/>
    <mergeCell ref="AN122:AN123"/>
    <mergeCell ref="AO122:AO123"/>
    <mergeCell ref="AP122:AP123"/>
    <mergeCell ref="G120:G121"/>
    <mergeCell ref="H120:H121"/>
    <mergeCell ref="AL120:AL121"/>
    <mergeCell ref="AN120:AN121"/>
    <mergeCell ref="AO120:AO121"/>
    <mergeCell ref="B120:B121"/>
    <mergeCell ref="C120:C121"/>
    <mergeCell ref="D120:D121"/>
    <mergeCell ref="E120:E121"/>
    <mergeCell ref="F120:F121"/>
    <mergeCell ref="AP124:AP125"/>
    <mergeCell ref="B126:B127"/>
    <mergeCell ref="C126:C127"/>
    <mergeCell ref="D126:D127"/>
    <mergeCell ref="E126:E127"/>
    <mergeCell ref="F126:F127"/>
    <mergeCell ref="G126:G127"/>
    <mergeCell ref="H126:H127"/>
    <mergeCell ref="AL126:AL127"/>
    <mergeCell ref="AN126:AN127"/>
    <mergeCell ref="AO126:AO127"/>
    <mergeCell ref="AP126:AP127"/>
    <mergeCell ref="G124:G125"/>
    <mergeCell ref="H124:H125"/>
    <mergeCell ref="AL124:AL125"/>
    <mergeCell ref="AN124:AN125"/>
    <mergeCell ref="AO124:AO125"/>
    <mergeCell ref="B124:B125"/>
    <mergeCell ref="C124:C125"/>
    <mergeCell ref="D124:D125"/>
    <mergeCell ref="E124:E125"/>
    <mergeCell ref="F124:F125"/>
    <mergeCell ref="AP128:AP129"/>
    <mergeCell ref="B130:B131"/>
    <mergeCell ref="C130:C131"/>
    <mergeCell ref="D130:D131"/>
    <mergeCell ref="E130:E131"/>
    <mergeCell ref="F130:F131"/>
    <mergeCell ref="G130:G131"/>
    <mergeCell ref="H130:H131"/>
    <mergeCell ref="AL130:AL131"/>
    <mergeCell ref="AN130:AN131"/>
    <mergeCell ref="AO130:AO131"/>
    <mergeCell ref="AP130:AP131"/>
    <mergeCell ref="G128:G129"/>
    <mergeCell ref="H128:H129"/>
    <mergeCell ref="AL128:AL129"/>
    <mergeCell ref="AN128:AN129"/>
    <mergeCell ref="AO128:AO129"/>
    <mergeCell ref="B128:B129"/>
    <mergeCell ref="C128:C129"/>
    <mergeCell ref="D128:D129"/>
    <mergeCell ref="E128:E129"/>
    <mergeCell ref="F128:F129"/>
    <mergeCell ref="AP132:AP133"/>
    <mergeCell ref="B134:B135"/>
    <mergeCell ref="C134:C135"/>
    <mergeCell ref="D134:D135"/>
    <mergeCell ref="E134:E135"/>
    <mergeCell ref="F134:F135"/>
    <mergeCell ref="G134:G135"/>
    <mergeCell ref="H134:H135"/>
    <mergeCell ref="AL134:AL135"/>
    <mergeCell ref="AN134:AN135"/>
    <mergeCell ref="AO134:AO135"/>
    <mergeCell ref="AP134:AP135"/>
    <mergeCell ref="G132:G133"/>
    <mergeCell ref="H132:H133"/>
    <mergeCell ref="AL132:AL133"/>
    <mergeCell ref="AN132:AN133"/>
    <mergeCell ref="AO132:AO133"/>
    <mergeCell ref="B132:B133"/>
    <mergeCell ref="C132:C133"/>
    <mergeCell ref="D132:D133"/>
    <mergeCell ref="E132:E133"/>
    <mergeCell ref="F132:F133"/>
    <mergeCell ref="AP136:AP137"/>
    <mergeCell ref="B138:B139"/>
    <mergeCell ref="C138:C139"/>
    <mergeCell ref="D138:D139"/>
    <mergeCell ref="E138:E139"/>
    <mergeCell ref="F138:F139"/>
    <mergeCell ref="G138:G139"/>
    <mergeCell ref="H138:H139"/>
    <mergeCell ref="AL138:AL139"/>
    <mergeCell ref="AN138:AN139"/>
    <mergeCell ref="AO138:AO139"/>
    <mergeCell ref="AP138:AP139"/>
    <mergeCell ref="G136:G137"/>
    <mergeCell ref="H136:H137"/>
    <mergeCell ref="AL136:AL137"/>
    <mergeCell ref="AN136:AN137"/>
    <mergeCell ref="AO136:AO137"/>
    <mergeCell ref="B136:B137"/>
    <mergeCell ref="C136:C137"/>
    <mergeCell ref="D136:D137"/>
    <mergeCell ref="E136:E137"/>
    <mergeCell ref="F136:F137"/>
    <mergeCell ref="AP140:AP141"/>
    <mergeCell ref="B142:B143"/>
    <mergeCell ref="C142:C143"/>
    <mergeCell ref="D142:D143"/>
    <mergeCell ref="E142:E143"/>
    <mergeCell ref="F142:F143"/>
    <mergeCell ref="G142:G143"/>
    <mergeCell ref="H142:H143"/>
    <mergeCell ref="AL142:AL143"/>
    <mergeCell ref="AN142:AN143"/>
    <mergeCell ref="AO142:AO143"/>
    <mergeCell ref="AP142:AP143"/>
    <mergeCell ref="G140:G141"/>
    <mergeCell ref="H140:H141"/>
    <mergeCell ref="AL140:AL141"/>
    <mergeCell ref="AN140:AN141"/>
    <mergeCell ref="AO140:AO141"/>
    <mergeCell ref="B140:B141"/>
    <mergeCell ref="C140:C141"/>
    <mergeCell ref="D140:D141"/>
    <mergeCell ref="E140:E141"/>
    <mergeCell ref="F140:F141"/>
    <mergeCell ref="AO144:AO145"/>
    <mergeCell ref="AP144:AP145"/>
    <mergeCell ref="B146:B147"/>
    <mergeCell ref="C146:C147"/>
    <mergeCell ref="D146:D147"/>
    <mergeCell ref="E146:E147"/>
    <mergeCell ref="F146:F147"/>
    <mergeCell ref="G146:G147"/>
    <mergeCell ref="H146:H147"/>
    <mergeCell ref="AL146:AL147"/>
    <mergeCell ref="AN146:AN147"/>
    <mergeCell ref="AO146:AO147"/>
    <mergeCell ref="AP146:AP147"/>
    <mergeCell ref="B144:B145"/>
    <mergeCell ref="C144:C145"/>
    <mergeCell ref="D144:D145"/>
    <mergeCell ref="E144:E145"/>
    <mergeCell ref="F144:F145"/>
    <mergeCell ref="G144:G145"/>
    <mergeCell ref="H144:H145"/>
    <mergeCell ref="AL144:AL145"/>
    <mergeCell ref="AN144:AN145"/>
    <mergeCell ref="AO148:AO149"/>
    <mergeCell ref="AP148:AP149"/>
    <mergeCell ref="B150:B151"/>
    <mergeCell ref="C150:C151"/>
    <mergeCell ref="D150:D151"/>
    <mergeCell ref="E150:E151"/>
    <mergeCell ref="F150:F151"/>
    <mergeCell ref="G150:G151"/>
    <mergeCell ref="H150:H151"/>
    <mergeCell ref="AL150:AL151"/>
    <mergeCell ref="AN150:AN151"/>
    <mergeCell ref="AO150:AO151"/>
    <mergeCell ref="AP150:AP151"/>
    <mergeCell ref="B148:B149"/>
    <mergeCell ref="C148:C149"/>
    <mergeCell ref="D148:D149"/>
    <mergeCell ref="E148:E149"/>
    <mergeCell ref="F148:F149"/>
    <mergeCell ref="G148:G149"/>
    <mergeCell ref="H148:H149"/>
    <mergeCell ref="AL148:AL149"/>
    <mergeCell ref="AN148:AN149"/>
    <mergeCell ref="AO156:AO157"/>
    <mergeCell ref="AP156:AP157"/>
    <mergeCell ref="B158:B159"/>
    <mergeCell ref="C158:C159"/>
    <mergeCell ref="D158:D159"/>
    <mergeCell ref="E158:E159"/>
    <mergeCell ref="F158:F159"/>
    <mergeCell ref="G158:G159"/>
    <mergeCell ref="H158:H159"/>
    <mergeCell ref="AL158:AL159"/>
    <mergeCell ref="AN158:AN159"/>
    <mergeCell ref="AO158:AO159"/>
    <mergeCell ref="AP158:AP159"/>
    <mergeCell ref="B156:B157"/>
    <mergeCell ref="C156:C157"/>
    <mergeCell ref="D156:D157"/>
    <mergeCell ref="E156:E157"/>
    <mergeCell ref="F156:F157"/>
    <mergeCell ref="G156:G157"/>
    <mergeCell ref="H156:H157"/>
    <mergeCell ref="AL156:AL157"/>
    <mergeCell ref="AN156:AN157"/>
  </mergeCells>
  <conditionalFormatting sqref="AN11">
    <cfRule type="cellIs" dxfId="62" priority="3" operator="equal">
      <formula>"Awaiting Details"</formula>
    </cfRule>
    <cfRule type="cellIs" dxfId="61" priority="4" operator="equal">
      <formula>"To Be Issued"</formula>
    </cfRule>
    <cfRule type="cellIs" dxfId="60" priority="5" operator="equal">
      <formula>"Bid Process"</formula>
    </cfRule>
    <cfRule type="cellIs" dxfId="59" priority="6" operator="equal">
      <formula>"PTC Process"</formula>
    </cfRule>
    <cfRule type="cellIs" dxfId="58" priority="7" operator="equal">
      <formula>"TRF Process"</formula>
    </cfRule>
    <cfRule type="cellIs" dxfId="57" priority="8" operator="equal">
      <formula>"OBT Process"</formula>
    </cfRule>
    <cfRule type="cellIs" dxfId="56" priority="9" operator="equal">
      <formula>"Awarded"</formula>
    </cfRule>
  </conditionalFormatting>
  <conditionalFormatting sqref="AO1:AO12 AO14 AO16 AO18 AO20 AO22 AO24 AO26 AO28 AO30 AO32 AO34 AO36 AO38 AO40 AO42 AO44 AO46 AO48 AO50 AO52 AO54 AO56 AO58 AO60 AO62 AO64 AO66 AO68 AO70 AO72 AO74 AO76 AO78 AO80 AO82 AO84 AO86 AO88 AO94 AO96 AO98 AO100 AO102 AO104 AO106 AO108 AO110 AO112 AO114 AO116 AO118 AO120 AO122 AO124 AO126 AO128 AO130 AO132 AO134 AO136 AO138 AO140 AO142 AO144 AO146 AO148 AO150 AO152 AO154 AO156 AO158 AO160:AO1048576 AO92 AO90">
    <cfRule type="cellIs" dxfId="55" priority="1" operator="equal">
      <formula>"Awaiting DTP"</formula>
    </cfRule>
    <cfRule type="cellIs" dxfId="54" priority="2" operator="equal">
      <formula>"DTP Received"</formula>
    </cfRule>
    <cfRule type="cellIs" dxfId="53" priority="10" operator="equal">
      <formula>"Out To Tender"</formula>
    </cfRule>
    <cfRule type="cellIs" dxfId="52" priority="11" operator="equal">
      <formula>"Commercial Review"</formula>
    </cfRule>
    <cfRule type="cellIs" dxfId="51" priority="13" operator="equal">
      <formula>"PTC Stage"</formula>
    </cfRule>
    <cfRule type="cellIs" dxfId="50" priority="14" operator="equal">
      <formula>"Final Negotiations"</formula>
    </cfRule>
    <cfRule type="cellIs" dxfId="49" priority="15" operator="equal">
      <formula>"OBT Ongoing"</formula>
    </cfRule>
    <cfRule type="cellIs" dxfId="48" priority="16" operator="equal">
      <formula>"Awarded"</formula>
    </cfRule>
  </conditionalFormatting>
  <pageMargins left="0.7" right="0.7" top="0.75" bottom="0.75" header="0.3" footer="0.3"/>
  <pageSetup paperSize="8" scale="34" fitToHeight="0" orientation="landscape" r:id="rId1"/>
  <rowBreaks count="1" manualBreakCount="1">
    <brk id="101" max="4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8233-D4D7-4A9D-8EE9-734A7CE1385B}">
  <sheetPr codeName="Sheet8">
    <pageSetUpPr fitToPage="1"/>
  </sheetPr>
  <dimension ref="A1:S566"/>
  <sheetViews>
    <sheetView showGridLines="0" view="pageBreakPreview" zoomScale="85" zoomScaleNormal="85" zoomScaleSheetLayoutView="85" workbookViewId="0">
      <pane ySplit="11" topLeftCell="A197" activePane="bottomLeft" state="frozen"/>
      <selection activeCell="G30" sqref="G30:G31"/>
      <selection pane="bottomLeft" activeCell="D204" sqref="D204"/>
    </sheetView>
  </sheetViews>
  <sheetFormatPr defaultColWidth="9.28515625" defaultRowHeight="15" x14ac:dyDescent="0.25"/>
  <cols>
    <col min="2" max="2" width="11.7109375" customWidth="1"/>
    <col min="3" max="3" width="23.7109375" customWidth="1"/>
    <col min="4" max="4" width="41.28515625" customWidth="1"/>
    <col min="5" max="5" width="18.7109375" customWidth="1"/>
    <col min="6" max="6" width="17.5703125" style="145" customWidth="1"/>
    <col min="7" max="7" width="10.7109375" customWidth="1"/>
    <col min="8" max="8" width="10.42578125" customWidth="1"/>
    <col min="9" max="9" width="24.28515625" customWidth="1"/>
    <col min="10" max="10" width="18.28515625" style="145" customWidth="1"/>
    <col min="11" max="11" width="10.28515625" bestFit="1" customWidth="1"/>
    <col min="12" max="12" width="18.28515625" style="145" customWidth="1"/>
    <col min="13" max="13" width="6.28515625" customWidth="1"/>
    <col min="14" max="14" width="18.28515625" style="145" customWidth="1"/>
    <col min="15" max="15" width="6.28515625" customWidth="1"/>
    <col min="16" max="16" width="10.7109375" style="3" customWidth="1"/>
    <col min="17" max="18" width="16" style="145" customWidth="1"/>
    <col min="19" max="19" width="44" customWidth="1"/>
  </cols>
  <sheetData>
    <row r="1" spans="1:19" x14ac:dyDescent="0.25">
      <c r="A1" s="220" t="s">
        <v>265</v>
      </c>
      <c r="B1" s="220"/>
      <c r="C1" s="220"/>
      <c r="D1" s="220"/>
      <c r="E1" s="21"/>
      <c r="F1" s="144"/>
    </row>
    <row r="2" spans="1:19" x14ac:dyDescent="0.25">
      <c r="A2" s="220"/>
      <c r="B2" s="220"/>
      <c r="C2" s="220"/>
      <c r="D2" s="220"/>
      <c r="E2" s="21"/>
      <c r="F2" s="144"/>
    </row>
    <row r="3" spans="1:19" x14ac:dyDescent="0.25">
      <c r="A3" s="220"/>
      <c r="B3" s="220"/>
      <c r="C3" s="220"/>
      <c r="D3" s="220"/>
      <c r="F3" s="144"/>
    </row>
    <row r="5" spans="1:19" x14ac:dyDescent="0.25">
      <c r="B5" s="27" t="s">
        <v>4</v>
      </c>
      <c r="C5" s="221">
        <f>'Project Information'!C8</f>
        <v>0</v>
      </c>
      <c r="D5" s="222"/>
      <c r="E5" s="223"/>
    </row>
    <row r="6" spans="1:19" x14ac:dyDescent="0.25">
      <c r="B6" s="27" t="s">
        <v>5</v>
      </c>
      <c r="C6" s="28">
        <f>'Project Information'!C9</f>
        <v>0</v>
      </c>
      <c r="D6" s="146"/>
      <c r="E6" s="146"/>
      <c r="F6" s="147"/>
    </row>
    <row r="7" spans="1:19" x14ac:dyDescent="0.25">
      <c r="B7" s="27" t="s">
        <v>6</v>
      </c>
      <c r="C7" s="221">
        <f>'Project Information'!C10</f>
        <v>0</v>
      </c>
      <c r="D7" s="222"/>
      <c r="E7" s="223"/>
    </row>
    <row r="8" spans="1:19" x14ac:dyDescent="0.25">
      <c r="B8" s="27" t="s">
        <v>7</v>
      </c>
      <c r="C8" s="221">
        <f>'Project Information'!C11</f>
        <v>0</v>
      </c>
      <c r="D8" s="222"/>
      <c r="E8" s="223"/>
      <c r="F8" s="29"/>
    </row>
    <row r="11" spans="1:19" ht="57.75" x14ac:dyDescent="0.25">
      <c r="B11" s="40" t="s">
        <v>41</v>
      </c>
      <c r="C11" s="41" t="s">
        <v>42</v>
      </c>
      <c r="D11" s="41" t="s">
        <v>43</v>
      </c>
      <c r="E11" s="41" t="s">
        <v>141</v>
      </c>
      <c r="F11" s="44" t="s">
        <v>25</v>
      </c>
      <c r="G11" s="41" t="s">
        <v>266</v>
      </c>
      <c r="H11" s="41" t="s">
        <v>267</v>
      </c>
      <c r="I11" s="41" t="s">
        <v>268</v>
      </c>
      <c r="J11" s="44" t="s">
        <v>269</v>
      </c>
      <c r="K11" s="45" t="s">
        <v>270</v>
      </c>
      <c r="L11" s="44" t="s">
        <v>271</v>
      </c>
      <c r="M11" s="45" t="s">
        <v>272</v>
      </c>
      <c r="N11" s="44" t="s">
        <v>273</v>
      </c>
      <c r="O11" s="45" t="s">
        <v>274</v>
      </c>
      <c r="P11" s="41" t="s">
        <v>31</v>
      </c>
      <c r="Q11" s="44" t="s">
        <v>26</v>
      </c>
      <c r="R11" s="44" t="s">
        <v>27</v>
      </c>
      <c r="S11" s="42" t="s">
        <v>275</v>
      </c>
    </row>
    <row r="12" spans="1:19" x14ac:dyDescent="0.25">
      <c r="B12" s="148">
        <v>1</v>
      </c>
      <c r="C12" s="149" t="s">
        <v>44</v>
      </c>
      <c r="D12" s="149" t="s">
        <v>45</v>
      </c>
      <c r="E12" s="148" t="s">
        <v>164</v>
      </c>
      <c r="F12" s="150"/>
      <c r="G12" s="148" t="s">
        <v>276</v>
      </c>
      <c r="H12" s="151"/>
      <c r="I12" s="151"/>
      <c r="J12" s="96" t="str">
        <f>_xlfn.XLOOKUP(1,$K$13:$K$14,$I$13:$I$14, "-", 0)</f>
        <v>-</v>
      </c>
      <c r="K12" s="151"/>
      <c r="L12" s="96" t="str">
        <f>_xlfn.XLOOKUP(1,$M$13:$M$14,$I$13:$I$14, "-", 0)</f>
        <v>-</v>
      </c>
      <c r="M12" s="151"/>
      <c r="N12" s="96" t="str">
        <f>_xlfn.XLOOKUP(1,$O$13:$O$14,$I$13:$I$14, "-", 0)</f>
        <v>-</v>
      </c>
      <c r="O12" s="151"/>
      <c r="P12" s="97" t="str">
        <f>IF(COUNTIF($P$13:$P$14,"Yes")&gt;0,"Yes","")</f>
        <v/>
      </c>
      <c r="Q12" s="96">
        <f>SUM($Q$13:$Q$14)</f>
        <v>0</v>
      </c>
      <c r="R12" s="96" t="str">
        <f>IF($Q$12&gt;0,$F$12-$Q$12,"")</f>
        <v/>
      </c>
      <c r="S12" s="151"/>
    </row>
    <row r="13" spans="1:19" x14ac:dyDescent="0.25">
      <c r="B13" s="152"/>
      <c r="C13" s="143"/>
      <c r="D13" s="143"/>
      <c r="E13" s="152"/>
      <c r="F13" s="153"/>
      <c r="G13" s="152"/>
      <c r="H13" s="90">
        <v>1</v>
      </c>
      <c r="I13" s="98"/>
      <c r="J13" s="99"/>
      <c r="K13" s="121" t="str">
        <f>IF($J13="","",RANK(J13,$J$13:$J$14,1))</f>
        <v/>
      </c>
      <c r="L13" s="99"/>
      <c r="M13" s="121" t="str">
        <f>IF($L13="","",RANK(L13,$L$13:$L$14,1))</f>
        <v/>
      </c>
      <c r="N13" s="99"/>
      <c r="O13" s="121" t="str">
        <f>IF($N13="","",RANK(N13,$N$13:$N$14,1))</f>
        <v/>
      </c>
      <c r="P13" s="91"/>
      <c r="Q13" s="122" t="str">
        <f>IF($P13="Yes",IF($N13&gt;0,$N13,IF($L13&gt;0,$L13,IF($J13&gt;0,$J13,""))),"")</f>
        <v/>
      </c>
      <c r="R13" s="122" t="str">
        <f>IFERROR(IF(INT($Q13)&gt;0,$F$12-$Q13,""),"")</f>
        <v/>
      </c>
      <c r="S13" s="98"/>
    </row>
    <row r="14" spans="1:19" x14ac:dyDescent="0.25">
      <c r="B14" s="154"/>
      <c r="C14" s="142"/>
      <c r="D14" s="142"/>
      <c r="E14" s="154"/>
      <c r="F14" s="155"/>
      <c r="G14" s="154"/>
      <c r="H14" s="108">
        <v>2</v>
      </c>
      <c r="I14" s="109"/>
      <c r="J14" s="110"/>
      <c r="K14" s="123" t="str">
        <f>IF($J14="","",RANK(J14,$J$13:$J$14,1))</f>
        <v/>
      </c>
      <c r="L14" s="110"/>
      <c r="M14" s="123" t="str">
        <f>IF($L14="","",RANK(L14,$L$13:$L$14,1))</f>
        <v/>
      </c>
      <c r="N14" s="110"/>
      <c r="O14" s="123" t="str">
        <f>IF($N14="","",RANK(N14,$N$13:$N$14,1))</f>
        <v/>
      </c>
      <c r="P14" s="105"/>
      <c r="Q14" s="124" t="str">
        <f>IF($P14="Yes",IF($N14&gt;0,$N14,IF($L14&gt;0,$L14,IF($J14&gt;0,$J14,""))),"")</f>
        <v/>
      </c>
      <c r="R14" s="124" t="str">
        <f>IFERROR(IF(INT($Q14)&gt;0,$F$12-$Q14,""),"")</f>
        <v/>
      </c>
      <c r="S14" s="109"/>
    </row>
    <row r="15" spans="1:19" x14ac:dyDescent="0.25">
      <c r="B15" s="148">
        <v>2</v>
      </c>
      <c r="C15" s="149" t="s">
        <v>44</v>
      </c>
      <c r="D15" s="149" t="s">
        <v>46</v>
      </c>
      <c r="E15" s="148" t="s">
        <v>170</v>
      </c>
      <c r="F15" s="150"/>
      <c r="G15" s="148" t="s">
        <v>276</v>
      </c>
      <c r="H15" s="151"/>
      <c r="I15" s="151"/>
      <c r="J15" s="96" t="str">
        <f>_xlfn.XLOOKUP(1,$K$16:$K$20,$I$16:$I$20, "-", 0)</f>
        <v>-</v>
      </c>
      <c r="K15" s="151"/>
      <c r="L15" s="96" t="str">
        <f>_xlfn.XLOOKUP(1,$M$16:$M$20,$I$16:$I$20, "-", 0)</f>
        <v>-</v>
      </c>
      <c r="M15" s="151"/>
      <c r="N15" s="96" t="str">
        <f>_xlfn.XLOOKUP(1,$O$16:$O$20,$I$16:$I$20, "-", 0)</f>
        <v>-</v>
      </c>
      <c r="O15" s="151"/>
      <c r="P15" s="97" t="str">
        <f>IF(COUNTIF($P$16:$P$20,"Yes")&gt;0,"Yes","")</f>
        <v/>
      </c>
      <c r="Q15" s="96">
        <f>SUM($Q$16:$Q$20)</f>
        <v>0</v>
      </c>
      <c r="R15" s="96" t="str">
        <f>IF($Q$15&gt;0,$F$15-$Q$15,"")</f>
        <v/>
      </c>
      <c r="S15" s="151"/>
    </row>
    <row r="16" spans="1:19" x14ac:dyDescent="0.25">
      <c r="B16" s="152"/>
      <c r="C16" s="143"/>
      <c r="D16" s="143"/>
      <c r="E16" s="152"/>
      <c r="F16" s="153"/>
      <c r="G16" s="152"/>
      <c r="H16" s="90">
        <v>1</v>
      </c>
      <c r="I16" s="98"/>
      <c r="J16" s="99"/>
      <c r="K16" s="121" t="str">
        <f>IF($J16="","",RANK(J16,$J$16:$J$20,1))</f>
        <v/>
      </c>
      <c r="L16" s="99"/>
      <c r="M16" s="121" t="str">
        <f>IF($L16="","",RANK(L16,$L$16:$L$20,1))</f>
        <v/>
      </c>
      <c r="N16" s="99"/>
      <c r="O16" s="121" t="str">
        <f>IF($N16="","",RANK(N16,$N$16:$N$20,1))</f>
        <v/>
      </c>
      <c r="P16" s="91"/>
      <c r="Q16" s="122" t="str">
        <f>IF($P16="Yes",IF($N16&gt;0,$N16,IF($L16&gt;0,$L16,IF($J16&gt;0,$J16,""))),"")</f>
        <v/>
      </c>
      <c r="R16" s="122" t="str">
        <f>IFERROR(IF(INT($Q16)&gt;0,$F$15-$Q16,""),"")</f>
        <v/>
      </c>
      <c r="S16" s="98"/>
    </row>
    <row r="17" spans="2:19" x14ac:dyDescent="0.25">
      <c r="B17" s="152"/>
      <c r="C17" s="143"/>
      <c r="D17" s="143"/>
      <c r="E17" s="152"/>
      <c r="F17" s="153"/>
      <c r="G17" s="152"/>
      <c r="H17" s="90">
        <v>2</v>
      </c>
      <c r="I17" s="98"/>
      <c r="J17" s="99"/>
      <c r="K17" s="121" t="str">
        <f>IF($J17="","",RANK(J17,$J$16:$J$20,1))</f>
        <v/>
      </c>
      <c r="L17" s="99"/>
      <c r="M17" s="121" t="str">
        <f>IF($L17="","",RANK(L17,$L$16:$L$20,1))</f>
        <v/>
      </c>
      <c r="N17" s="99"/>
      <c r="O17" s="121" t="str">
        <f>IF($N17="","",RANK(N17,$N$16:$N$20,1))</f>
        <v/>
      </c>
      <c r="P17" s="91"/>
      <c r="Q17" s="122" t="str">
        <f>IF($P17="Yes",IF($N17&gt;0,$N17,IF($L17&gt;0,$L17,IF($J17&gt;0,$J17,""))),"")</f>
        <v/>
      </c>
      <c r="R17" s="122" t="str">
        <f>IFERROR(IF(INT($Q17)&gt;0,$F$15-$Q17,""),"")</f>
        <v/>
      </c>
      <c r="S17" s="98"/>
    </row>
    <row r="18" spans="2:19" x14ac:dyDescent="0.25">
      <c r="B18" s="152"/>
      <c r="C18" s="143"/>
      <c r="D18" s="143"/>
      <c r="E18" s="152"/>
      <c r="F18" s="153"/>
      <c r="G18" s="152"/>
      <c r="H18" s="90">
        <v>3</v>
      </c>
      <c r="I18" s="98"/>
      <c r="J18" s="99"/>
      <c r="K18" s="121" t="str">
        <f>IF($J18="","",RANK(J18,$J$16:$J$20,1))</f>
        <v/>
      </c>
      <c r="L18" s="99"/>
      <c r="M18" s="121" t="str">
        <f>IF($L18="","",RANK(L18,$L$16:$L$20,1))</f>
        <v/>
      </c>
      <c r="N18" s="99"/>
      <c r="O18" s="121" t="str">
        <f>IF($N18="","",RANK(N18,$N$16:$N$20,1))</f>
        <v/>
      </c>
      <c r="P18" s="91"/>
      <c r="Q18" s="122" t="str">
        <f>IF($P18="Yes",IF($N18&gt;0,$N18,IF($L18&gt;0,$L18,IF($J18&gt;0,$J18,""))),"")</f>
        <v/>
      </c>
      <c r="R18" s="122" t="str">
        <f>IFERROR(IF(INT($Q18)&gt;0,$F$15-$Q18,""),"")</f>
        <v/>
      </c>
      <c r="S18" s="98"/>
    </row>
    <row r="19" spans="2:19" x14ac:dyDescent="0.25">
      <c r="B19" s="152"/>
      <c r="C19" s="143"/>
      <c r="D19" s="143"/>
      <c r="E19" s="152"/>
      <c r="F19" s="153"/>
      <c r="G19" s="152"/>
      <c r="H19" s="90">
        <v>4</v>
      </c>
      <c r="I19" s="98"/>
      <c r="J19" s="99"/>
      <c r="K19" s="121" t="str">
        <f>IF($J19="","",RANK(J19,$J$16:$J$20,1))</f>
        <v/>
      </c>
      <c r="L19" s="99"/>
      <c r="M19" s="121" t="str">
        <f>IF($L19="","",RANK(L19,$L$16:$L$20,1))</f>
        <v/>
      </c>
      <c r="N19" s="99"/>
      <c r="O19" s="121" t="str">
        <f>IF($N19="","",RANK(N19,$N$16:$N$20,1))</f>
        <v/>
      </c>
      <c r="P19" s="91"/>
      <c r="Q19" s="122" t="str">
        <f>IF($P19="Yes",IF($N19&gt;0,$N19,IF($L19&gt;0,$L19,IF($J19&gt;0,$J19,""))),"")</f>
        <v/>
      </c>
      <c r="R19" s="122" t="str">
        <f>IFERROR(IF(INT($Q19)&gt;0,$F$15-$Q19,""),"")</f>
        <v/>
      </c>
      <c r="S19" s="98"/>
    </row>
    <row r="20" spans="2:19" x14ac:dyDescent="0.25">
      <c r="B20" s="154"/>
      <c r="C20" s="142"/>
      <c r="D20" s="142"/>
      <c r="E20" s="154"/>
      <c r="F20" s="155"/>
      <c r="G20" s="154"/>
      <c r="H20" s="108">
        <v>5</v>
      </c>
      <c r="I20" s="109"/>
      <c r="J20" s="110"/>
      <c r="K20" s="123" t="str">
        <f>IF($J20="","",RANK(J20,$J$16:$J$20,1))</f>
        <v/>
      </c>
      <c r="L20" s="110"/>
      <c r="M20" s="123" t="str">
        <f>IF($L20="","",RANK(L20,$L$16:$L$20,1))</f>
        <v/>
      </c>
      <c r="N20" s="110"/>
      <c r="O20" s="123" t="str">
        <f>IF($N20="","",RANK(N20,$N$16:$N$20,1))</f>
        <v/>
      </c>
      <c r="P20" s="105"/>
      <c r="Q20" s="124" t="str">
        <f>IF($P20="Yes",IF($N20&gt;0,$N20,IF($L20&gt;0,$L20,IF($J20&gt;0,$J20,""))),"")</f>
        <v/>
      </c>
      <c r="R20" s="124" t="str">
        <f>IFERROR(IF(INT($Q20)&gt;0,$F$15-$Q20,""),"")</f>
        <v/>
      </c>
      <c r="S20" s="109"/>
    </row>
    <row r="21" spans="2:19" x14ac:dyDescent="0.25">
      <c r="B21" s="148">
        <v>3</v>
      </c>
      <c r="C21" s="149" t="s">
        <v>44</v>
      </c>
      <c r="D21" s="149" t="s">
        <v>47</v>
      </c>
      <c r="E21" s="148" t="s">
        <v>171</v>
      </c>
      <c r="F21" s="150">
        <v>12520700</v>
      </c>
      <c r="G21" s="148" t="s">
        <v>276</v>
      </c>
      <c r="H21" s="151"/>
      <c r="I21" s="151"/>
      <c r="J21" s="96" t="str">
        <f>_xlfn.XLOOKUP(1,$K$22:$K$31,$I$22:$I$31, "-", 0)</f>
        <v xml:space="preserve">	Al Nahda</v>
      </c>
      <c r="K21" s="151"/>
      <c r="L21" s="96" t="str">
        <f>_xlfn.XLOOKUP(1,$M$22:$M$31,$I$22:$I$31, "-", 0)</f>
        <v xml:space="preserve">	Al Nahda</v>
      </c>
      <c r="M21" s="151"/>
      <c r="N21" s="96" t="str">
        <f>_xlfn.XLOOKUP(1,$O$22:$O$31,$I$22:$I$31, "-", 0)</f>
        <v xml:space="preserve">	Al Nahda</v>
      </c>
      <c r="O21" s="151"/>
      <c r="P21" s="97" t="str">
        <f>IF(COUNTIF($P$22:$P$31,"Yes")&gt;0,"Yes","")</f>
        <v>Yes</v>
      </c>
      <c r="Q21" s="96">
        <f>SUM($Q$22:$Q$31)</f>
        <v>13314968</v>
      </c>
      <c r="R21" s="96">
        <f>IF($Q$21&gt;0,$F$21-$Q$21,"")</f>
        <v>-794268</v>
      </c>
      <c r="S21" s="151"/>
    </row>
    <row r="22" spans="2:19" x14ac:dyDescent="0.25">
      <c r="B22" s="152"/>
      <c r="C22" s="143"/>
      <c r="D22" s="143"/>
      <c r="E22" s="152"/>
      <c r="F22" s="153"/>
      <c r="G22" s="152"/>
      <c r="H22" s="90">
        <v>1</v>
      </c>
      <c r="I22" s="98" t="s">
        <v>277</v>
      </c>
      <c r="J22" s="99">
        <v>13314968</v>
      </c>
      <c r="K22" s="121">
        <v>1</v>
      </c>
      <c r="L22" s="99">
        <f>J22</f>
        <v>13314968</v>
      </c>
      <c r="M22" s="121">
        <f t="shared" ref="M22:M31" si="0">IF($L22="","",RANK(L22,$L$22:$L$31,1))</f>
        <v>1</v>
      </c>
      <c r="N22" s="99">
        <f>J22</f>
        <v>13314968</v>
      </c>
      <c r="O22" s="121">
        <f t="shared" ref="O22:O31" si="1">IF($N22="","",RANK(N22,$N$22:$N$31,1))</f>
        <v>1</v>
      </c>
      <c r="P22" s="91" t="s">
        <v>276</v>
      </c>
      <c r="Q22" s="122">
        <f t="shared" ref="Q22:Q31" si="2">IF($P22="Yes",IF($N22&gt;0,$N22,IF($L22&gt;0,$L22,IF($J22&gt;0,$J22,""))),"")</f>
        <v>13314968</v>
      </c>
      <c r="R22" s="122">
        <f t="shared" ref="R22:R31" si="3">IFERROR(IF(INT($Q22)&gt;0,$F$21-$Q22,""),"")</f>
        <v>-794268</v>
      </c>
      <c r="S22" s="98"/>
    </row>
    <row r="23" spans="2:19" x14ac:dyDescent="0.25">
      <c r="B23" s="152"/>
      <c r="C23" s="143"/>
      <c r="D23" s="143"/>
      <c r="E23" s="152"/>
      <c r="F23" s="153"/>
      <c r="G23" s="152"/>
      <c r="H23" s="90">
        <v>2</v>
      </c>
      <c r="I23" s="98" t="s">
        <v>278</v>
      </c>
      <c r="J23" s="99">
        <v>16204500</v>
      </c>
      <c r="K23" s="121">
        <f t="shared" ref="K23:K31" si="4">IF($J23="","",RANK(J23,$J$22:$J$31,1))</f>
        <v>2</v>
      </c>
      <c r="L23" s="99"/>
      <c r="M23" s="121" t="str">
        <f t="shared" si="0"/>
        <v/>
      </c>
      <c r="N23" s="99"/>
      <c r="O23" s="121" t="str">
        <f t="shared" si="1"/>
        <v/>
      </c>
      <c r="P23" s="91"/>
      <c r="Q23" s="122" t="str">
        <f t="shared" si="2"/>
        <v/>
      </c>
      <c r="R23" s="122" t="str">
        <f t="shared" si="3"/>
        <v/>
      </c>
      <c r="S23" s="98"/>
    </row>
    <row r="24" spans="2:19" x14ac:dyDescent="0.25">
      <c r="B24" s="152"/>
      <c r="C24" s="143"/>
      <c r="D24" s="143"/>
      <c r="E24" s="152"/>
      <c r="F24" s="153"/>
      <c r="G24" s="152"/>
      <c r="H24" s="90">
        <v>3</v>
      </c>
      <c r="I24" s="98"/>
      <c r="J24" s="99"/>
      <c r="K24" s="121" t="str">
        <f t="shared" si="4"/>
        <v/>
      </c>
      <c r="L24" s="99"/>
      <c r="M24" s="121" t="str">
        <f t="shared" si="0"/>
        <v/>
      </c>
      <c r="N24" s="99"/>
      <c r="O24" s="121" t="str">
        <f t="shared" si="1"/>
        <v/>
      </c>
      <c r="P24" s="91"/>
      <c r="Q24" s="122" t="str">
        <f t="shared" si="2"/>
        <v/>
      </c>
      <c r="R24" s="122" t="str">
        <f t="shared" si="3"/>
        <v/>
      </c>
      <c r="S24" s="98"/>
    </row>
    <row r="25" spans="2:19" x14ac:dyDescent="0.25">
      <c r="B25" s="152"/>
      <c r="C25" s="143"/>
      <c r="D25" s="143"/>
      <c r="E25" s="152"/>
      <c r="F25" s="153"/>
      <c r="G25" s="152"/>
      <c r="H25" s="90">
        <v>4</v>
      </c>
      <c r="I25" s="98"/>
      <c r="J25" s="99"/>
      <c r="K25" s="121" t="str">
        <f t="shared" si="4"/>
        <v/>
      </c>
      <c r="L25" s="99"/>
      <c r="M25" s="121" t="str">
        <f t="shared" si="0"/>
        <v/>
      </c>
      <c r="N25" s="99"/>
      <c r="O25" s="121" t="str">
        <f t="shared" si="1"/>
        <v/>
      </c>
      <c r="P25" s="91"/>
      <c r="Q25" s="122" t="str">
        <f t="shared" si="2"/>
        <v/>
      </c>
      <c r="R25" s="122" t="str">
        <f t="shared" si="3"/>
        <v/>
      </c>
      <c r="S25" s="98"/>
    </row>
    <row r="26" spans="2:19" x14ac:dyDescent="0.25">
      <c r="B26" s="152"/>
      <c r="C26" s="143"/>
      <c r="D26" s="143"/>
      <c r="E26" s="152"/>
      <c r="F26" s="153"/>
      <c r="G26" s="152"/>
      <c r="H26" s="90">
        <v>5</v>
      </c>
      <c r="I26" s="98"/>
      <c r="J26" s="99"/>
      <c r="K26" s="121" t="str">
        <f t="shared" si="4"/>
        <v/>
      </c>
      <c r="L26" s="99"/>
      <c r="M26" s="121" t="str">
        <f t="shared" si="0"/>
        <v/>
      </c>
      <c r="N26" s="99"/>
      <c r="O26" s="121" t="str">
        <f t="shared" si="1"/>
        <v/>
      </c>
      <c r="P26" s="91"/>
      <c r="Q26" s="122" t="str">
        <f t="shared" si="2"/>
        <v/>
      </c>
      <c r="R26" s="122" t="str">
        <f t="shared" si="3"/>
        <v/>
      </c>
      <c r="S26" s="98"/>
    </row>
    <row r="27" spans="2:19" x14ac:dyDescent="0.25">
      <c r="B27" s="152"/>
      <c r="C27" s="143"/>
      <c r="D27" s="143"/>
      <c r="E27" s="152"/>
      <c r="F27" s="153"/>
      <c r="G27" s="152"/>
      <c r="H27" s="90">
        <v>6</v>
      </c>
      <c r="I27" s="98"/>
      <c r="J27" s="99"/>
      <c r="K27" s="121" t="str">
        <f t="shared" si="4"/>
        <v/>
      </c>
      <c r="L27" s="99"/>
      <c r="M27" s="121" t="str">
        <f t="shared" si="0"/>
        <v/>
      </c>
      <c r="N27" s="99"/>
      <c r="O27" s="121" t="str">
        <f t="shared" si="1"/>
        <v/>
      </c>
      <c r="P27" s="91"/>
      <c r="Q27" s="122" t="str">
        <f t="shared" si="2"/>
        <v/>
      </c>
      <c r="R27" s="122" t="str">
        <f t="shared" si="3"/>
        <v/>
      </c>
      <c r="S27" s="98"/>
    </row>
    <row r="28" spans="2:19" x14ac:dyDescent="0.25">
      <c r="B28" s="152"/>
      <c r="C28" s="143"/>
      <c r="D28" s="143"/>
      <c r="E28" s="152"/>
      <c r="F28" s="153"/>
      <c r="G28" s="152"/>
      <c r="H28" s="90">
        <v>7</v>
      </c>
      <c r="I28" s="98"/>
      <c r="J28" s="99"/>
      <c r="K28" s="121" t="str">
        <f t="shared" si="4"/>
        <v/>
      </c>
      <c r="L28" s="99"/>
      <c r="M28" s="121" t="str">
        <f t="shared" si="0"/>
        <v/>
      </c>
      <c r="N28" s="99"/>
      <c r="O28" s="121" t="str">
        <f t="shared" si="1"/>
        <v/>
      </c>
      <c r="P28" s="91"/>
      <c r="Q28" s="122" t="str">
        <f t="shared" si="2"/>
        <v/>
      </c>
      <c r="R28" s="122" t="str">
        <f t="shared" si="3"/>
        <v/>
      </c>
      <c r="S28" s="98"/>
    </row>
    <row r="29" spans="2:19" x14ac:dyDescent="0.25">
      <c r="B29" s="152"/>
      <c r="C29" s="143"/>
      <c r="D29" s="143"/>
      <c r="E29" s="152"/>
      <c r="F29" s="153"/>
      <c r="G29" s="152"/>
      <c r="H29" s="90">
        <v>8</v>
      </c>
      <c r="I29" s="98"/>
      <c r="J29" s="99"/>
      <c r="K29" s="121" t="str">
        <f t="shared" si="4"/>
        <v/>
      </c>
      <c r="L29" s="99"/>
      <c r="M29" s="121" t="str">
        <f t="shared" si="0"/>
        <v/>
      </c>
      <c r="N29" s="99"/>
      <c r="O29" s="121" t="str">
        <f t="shared" si="1"/>
        <v/>
      </c>
      <c r="P29" s="91"/>
      <c r="Q29" s="122" t="str">
        <f t="shared" si="2"/>
        <v/>
      </c>
      <c r="R29" s="122" t="str">
        <f t="shared" si="3"/>
        <v/>
      </c>
      <c r="S29" s="98"/>
    </row>
    <row r="30" spans="2:19" x14ac:dyDescent="0.25">
      <c r="B30" s="152"/>
      <c r="C30" s="143"/>
      <c r="D30" s="143"/>
      <c r="E30" s="152"/>
      <c r="F30" s="153"/>
      <c r="G30" s="152"/>
      <c r="H30" s="90">
        <v>9</v>
      </c>
      <c r="I30" s="98"/>
      <c r="J30" s="99"/>
      <c r="K30" s="121" t="str">
        <f t="shared" si="4"/>
        <v/>
      </c>
      <c r="L30" s="99"/>
      <c r="M30" s="121" t="str">
        <f t="shared" si="0"/>
        <v/>
      </c>
      <c r="N30" s="99"/>
      <c r="O30" s="121" t="str">
        <f t="shared" si="1"/>
        <v/>
      </c>
      <c r="P30" s="91"/>
      <c r="Q30" s="122" t="str">
        <f t="shared" si="2"/>
        <v/>
      </c>
      <c r="R30" s="122" t="str">
        <f t="shared" si="3"/>
        <v/>
      </c>
      <c r="S30" s="98"/>
    </row>
    <row r="31" spans="2:19" x14ac:dyDescent="0.25">
      <c r="B31" s="154"/>
      <c r="C31" s="142"/>
      <c r="D31" s="142"/>
      <c r="E31" s="154"/>
      <c r="F31" s="155"/>
      <c r="G31" s="154"/>
      <c r="H31" s="108">
        <v>10</v>
      </c>
      <c r="I31" s="109"/>
      <c r="J31" s="110"/>
      <c r="K31" s="123" t="str">
        <f t="shared" si="4"/>
        <v/>
      </c>
      <c r="L31" s="110"/>
      <c r="M31" s="123" t="str">
        <f t="shared" si="0"/>
        <v/>
      </c>
      <c r="N31" s="110"/>
      <c r="O31" s="123" t="str">
        <f t="shared" si="1"/>
        <v/>
      </c>
      <c r="P31" s="105"/>
      <c r="Q31" s="124" t="str">
        <f t="shared" si="2"/>
        <v/>
      </c>
      <c r="R31" s="124" t="str">
        <f t="shared" si="3"/>
        <v/>
      </c>
      <c r="S31" s="109"/>
    </row>
    <row r="32" spans="2:19" x14ac:dyDescent="0.25">
      <c r="B32" s="148">
        <v>4</v>
      </c>
      <c r="C32" s="149" t="s">
        <v>44</v>
      </c>
      <c r="D32" s="149" t="s">
        <v>48</v>
      </c>
      <c r="E32" s="148" t="s">
        <v>171</v>
      </c>
      <c r="F32" s="150">
        <v>7102199.2999999998</v>
      </c>
      <c r="G32" s="148" t="s">
        <v>276</v>
      </c>
      <c r="H32" s="151"/>
      <c r="I32" s="151"/>
      <c r="J32" s="96" t="str">
        <f>_xlfn.XLOOKUP(1,$K$33:$K$42,$I$33:$I$42, "-", 0)</f>
        <v xml:space="preserve">Twic </v>
      </c>
      <c r="K32" s="151"/>
      <c r="L32" s="96" t="str">
        <f>_xlfn.XLOOKUP(1,$M$33:$M$42,$I$33:$I$42, "-", 0)</f>
        <v xml:space="preserve">Twic </v>
      </c>
      <c r="M32" s="151"/>
      <c r="N32" s="96" t="str">
        <f>_xlfn.XLOOKUP(1,$O$33:$O$42,$I$33:$I$42, "-", 0)</f>
        <v xml:space="preserve">Twic </v>
      </c>
      <c r="O32" s="151"/>
      <c r="P32" s="97" t="str">
        <f>IF(COUNTIF($P$33:$P$42,"Yes")&gt;0,"Yes","")</f>
        <v>Yes</v>
      </c>
      <c r="Q32" s="96">
        <f>SUM($Q$33:$Q$42)</f>
        <v>5614191</v>
      </c>
      <c r="R32" s="96">
        <f>IF($Q$32&gt;0,$F$32-$Q$32,"")</f>
        <v>1488008.2999999998</v>
      </c>
      <c r="S32" s="151"/>
    </row>
    <row r="33" spans="2:19" x14ac:dyDescent="0.25">
      <c r="B33" s="152"/>
      <c r="C33" s="143"/>
      <c r="D33" s="143"/>
      <c r="E33" s="152"/>
      <c r="F33" s="153"/>
      <c r="G33" s="152"/>
      <c r="H33" s="90">
        <v>1</v>
      </c>
      <c r="I33" s="98" t="s">
        <v>279</v>
      </c>
      <c r="J33" s="99">
        <v>5614191</v>
      </c>
      <c r="K33" s="121">
        <f t="shared" ref="K33:K42" si="5">IF($J33="","",RANK(J33,$J$33:$J$42,1))</f>
        <v>1</v>
      </c>
      <c r="L33" s="99">
        <f>J33</f>
        <v>5614191</v>
      </c>
      <c r="M33" s="121">
        <f t="shared" ref="M33:M42" si="6">IF($L33="","",RANK(L33,$L$33:$L$42,1))</f>
        <v>1</v>
      </c>
      <c r="N33" s="99">
        <f>L33</f>
        <v>5614191</v>
      </c>
      <c r="O33" s="121">
        <f t="shared" ref="O33:O42" si="7">IF($N33="","",RANK(N33,$N$33:$N$42,1))</f>
        <v>1</v>
      </c>
      <c r="P33" s="91" t="s">
        <v>276</v>
      </c>
      <c r="Q33" s="122">
        <f t="shared" ref="Q33:Q42" si="8">IF($P33="Yes",IF($N33&gt;0,$N33,IF($L33&gt;0,$L33,IF($J33&gt;0,$J33,""))),"")</f>
        <v>5614191</v>
      </c>
      <c r="R33" s="122">
        <f t="shared" ref="R33:R42" si="9">IFERROR(IF(INT($Q33)&gt;0,$F$32-$Q33,""),"")</f>
        <v>1488008.2999999998</v>
      </c>
      <c r="S33" s="98"/>
    </row>
    <row r="34" spans="2:19" x14ac:dyDescent="0.25">
      <c r="B34" s="152"/>
      <c r="C34" s="143"/>
      <c r="D34" s="143"/>
      <c r="E34" s="152"/>
      <c r="F34" s="153"/>
      <c r="G34" s="152"/>
      <c r="H34" s="90">
        <v>2</v>
      </c>
      <c r="I34" s="98"/>
      <c r="J34" s="99"/>
      <c r="K34" s="121" t="str">
        <f t="shared" si="5"/>
        <v/>
      </c>
      <c r="L34" s="99"/>
      <c r="M34" s="121" t="str">
        <f t="shared" si="6"/>
        <v/>
      </c>
      <c r="N34" s="99"/>
      <c r="O34" s="121" t="str">
        <f t="shared" si="7"/>
        <v/>
      </c>
      <c r="P34" s="91"/>
      <c r="Q34" s="122" t="str">
        <f t="shared" si="8"/>
        <v/>
      </c>
      <c r="R34" s="122" t="str">
        <f t="shared" si="9"/>
        <v/>
      </c>
      <c r="S34" s="98"/>
    </row>
    <row r="35" spans="2:19" x14ac:dyDescent="0.25">
      <c r="B35" s="152"/>
      <c r="C35" s="143"/>
      <c r="D35" s="143"/>
      <c r="E35" s="152"/>
      <c r="F35" s="153"/>
      <c r="G35" s="152"/>
      <c r="H35" s="90">
        <v>3</v>
      </c>
      <c r="I35" s="98"/>
      <c r="J35" s="99"/>
      <c r="K35" s="121" t="str">
        <f t="shared" si="5"/>
        <v/>
      </c>
      <c r="L35" s="99"/>
      <c r="M35" s="121" t="str">
        <f t="shared" si="6"/>
        <v/>
      </c>
      <c r="N35" s="99"/>
      <c r="O35" s="121" t="str">
        <f t="shared" si="7"/>
        <v/>
      </c>
      <c r="P35" s="91"/>
      <c r="Q35" s="122" t="str">
        <f t="shared" si="8"/>
        <v/>
      </c>
      <c r="R35" s="122" t="str">
        <f t="shared" si="9"/>
        <v/>
      </c>
      <c r="S35" s="98"/>
    </row>
    <row r="36" spans="2:19" x14ac:dyDescent="0.25">
      <c r="B36" s="152"/>
      <c r="C36" s="143"/>
      <c r="D36" s="143"/>
      <c r="E36" s="152"/>
      <c r="F36" s="153"/>
      <c r="G36" s="152"/>
      <c r="H36" s="90">
        <v>4</v>
      </c>
      <c r="I36" s="98"/>
      <c r="J36" s="99"/>
      <c r="K36" s="121" t="str">
        <f t="shared" si="5"/>
        <v/>
      </c>
      <c r="L36" s="99"/>
      <c r="M36" s="121" t="str">
        <f t="shared" si="6"/>
        <v/>
      </c>
      <c r="N36" s="99"/>
      <c r="O36" s="121" t="str">
        <f t="shared" si="7"/>
        <v/>
      </c>
      <c r="P36" s="91"/>
      <c r="Q36" s="122" t="str">
        <f t="shared" si="8"/>
        <v/>
      </c>
      <c r="R36" s="122" t="str">
        <f t="shared" si="9"/>
        <v/>
      </c>
      <c r="S36" s="98"/>
    </row>
    <row r="37" spans="2:19" x14ac:dyDescent="0.25">
      <c r="B37" s="152"/>
      <c r="C37" s="143"/>
      <c r="D37" s="143"/>
      <c r="E37" s="152"/>
      <c r="F37" s="153"/>
      <c r="G37" s="152"/>
      <c r="H37" s="90">
        <v>5</v>
      </c>
      <c r="I37" s="98"/>
      <c r="J37" s="99"/>
      <c r="K37" s="121" t="str">
        <f t="shared" si="5"/>
        <v/>
      </c>
      <c r="L37" s="99"/>
      <c r="M37" s="121" t="str">
        <f t="shared" si="6"/>
        <v/>
      </c>
      <c r="N37" s="99"/>
      <c r="O37" s="121" t="str">
        <f t="shared" si="7"/>
        <v/>
      </c>
      <c r="P37" s="91"/>
      <c r="Q37" s="122" t="str">
        <f t="shared" si="8"/>
        <v/>
      </c>
      <c r="R37" s="122" t="str">
        <f t="shared" si="9"/>
        <v/>
      </c>
      <c r="S37" s="98"/>
    </row>
    <row r="38" spans="2:19" x14ac:dyDescent="0.25">
      <c r="B38" s="152"/>
      <c r="C38" s="143"/>
      <c r="D38" s="143"/>
      <c r="E38" s="152"/>
      <c r="F38" s="153"/>
      <c r="G38" s="152"/>
      <c r="H38" s="90">
        <v>6</v>
      </c>
      <c r="I38" s="98"/>
      <c r="J38" s="99"/>
      <c r="K38" s="121" t="str">
        <f t="shared" si="5"/>
        <v/>
      </c>
      <c r="L38" s="99"/>
      <c r="M38" s="121" t="str">
        <f t="shared" si="6"/>
        <v/>
      </c>
      <c r="N38" s="99"/>
      <c r="O38" s="121" t="str">
        <f t="shared" si="7"/>
        <v/>
      </c>
      <c r="P38" s="91"/>
      <c r="Q38" s="122" t="str">
        <f t="shared" si="8"/>
        <v/>
      </c>
      <c r="R38" s="122" t="str">
        <f t="shared" si="9"/>
        <v/>
      </c>
      <c r="S38" s="98"/>
    </row>
    <row r="39" spans="2:19" x14ac:dyDescent="0.25">
      <c r="B39" s="152"/>
      <c r="C39" s="143"/>
      <c r="D39" s="143"/>
      <c r="E39" s="152"/>
      <c r="F39" s="153"/>
      <c r="G39" s="152"/>
      <c r="H39" s="90">
        <v>7</v>
      </c>
      <c r="I39" s="98"/>
      <c r="J39" s="99"/>
      <c r="K39" s="121" t="str">
        <f t="shared" si="5"/>
        <v/>
      </c>
      <c r="L39" s="99"/>
      <c r="M39" s="121" t="str">
        <f t="shared" si="6"/>
        <v/>
      </c>
      <c r="N39" s="99"/>
      <c r="O39" s="121" t="str">
        <f t="shared" si="7"/>
        <v/>
      </c>
      <c r="P39" s="91"/>
      <c r="Q39" s="122" t="str">
        <f t="shared" si="8"/>
        <v/>
      </c>
      <c r="R39" s="122" t="str">
        <f t="shared" si="9"/>
        <v/>
      </c>
      <c r="S39" s="98"/>
    </row>
    <row r="40" spans="2:19" x14ac:dyDescent="0.25">
      <c r="B40" s="152"/>
      <c r="C40" s="143"/>
      <c r="D40" s="143"/>
      <c r="E40" s="152"/>
      <c r="F40" s="153"/>
      <c r="G40" s="152"/>
      <c r="H40" s="90">
        <v>8</v>
      </c>
      <c r="I40" s="98"/>
      <c r="J40" s="99"/>
      <c r="K40" s="121" t="str">
        <f t="shared" si="5"/>
        <v/>
      </c>
      <c r="L40" s="99"/>
      <c r="M40" s="121" t="str">
        <f t="shared" si="6"/>
        <v/>
      </c>
      <c r="N40" s="99"/>
      <c r="O40" s="121" t="str">
        <f t="shared" si="7"/>
        <v/>
      </c>
      <c r="P40" s="91"/>
      <c r="Q40" s="122" t="str">
        <f t="shared" si="8"/>
        <v/>
      </c>
      <c r="R40" s="122" t="str">
        <f t="shared" si="9"/>
        <v/>
      </c>
      <c r="S40" s="98"/>
    </row>
    <row r="41" spans="2:19" x14ac:dyDescent="0.25">
      <c r="B41" s="152"/>
      <c r="C41" s="143"/>
      <c r="D41" s="143"/>
      <c r="E41" s="152"/>
      <c r="F41" s="153"/>
      <c r="G41" s="152"/>
      <c r="H41" s="90">
        <v>9</v>
      </c>
      <c r="I41" s="98"/>
      <c r="J41" s="99"/>
      <c r="K41" s="121" t="str">
        <f t="shared" si="5"/>
        <v/>
      </c>
      <c r="L41" s="99"/>
      <c r="M41" s="121" t="str">
        <f t="shared" si="6"/>
        <v/>
      </c>
      <c r="N41" s="99"/>
      <c r="O41" s="121" t="str">
        <f t="shared" si="7"/>
        <v/>
      </c>
      <c r="P41" s="91"/>
      <c r="Q41" s="122" t="str">
        <f t="shared" si="8"/>
        <v/>
      </c>
      <c r="R41" s="122" t="str">
        <f t="shared" si="9"/>
        <v/>
      </c>
      <c r="S41" s="98"/>
    </row>
    <row r="42" spans="2:19" x14ac:dyDescent="0.25">
      <c r="B42" s="154"/>
      <c r="C42" s="142"/>
      <c r="D42" s="142"/>
      <c r="E42" s="154"/>
      <c r="F42" s="155"/>
      <c r="G42" s="154"/>
      <c r="H42" s="108">
        <v>10</v>
      </c>
      <c r="I42" s="109"/>
      <c r="J42" s="110"/>
      <c r="K42" s="123" t="str">
        <f t="shared" si="5"/>
        <v/>
      </c>
      <c r="L42" s="110"/>
      <c r="M42" s="123" t="str">
        <f t="shared" si="6"/>
        <v/>
      </c>
      <c r="N42" s="110"/>
      <c r="O42" s="123" t="str">
        <f t="shared" si="7"/>
        <v/>
      </c>
      <c r="P42" s="105"/>
      <c r="Q42" s="124" t="str">
        <f t="shared" si="8"/>
        <v/>
      </c>
      <c r="R42" s="124" t="str">
        <f t="shared" si="9"/>
        <v/>
      </c>
      <c r="S42" s="109"/>
    </row>
    <row r="43" spans="2:19" x14ac:dyDescent="0.25">
      <c r="B43" s="148">
        <v>5</v>
      </c>
      <c r="C43" s="149" t="s">
        <v>44</v>
      </c>
      <c r="D43" s="149" t="s">
        <v>49</v>
      </c>
      <c r="E43" s="148" t="s">
        <v>175</v>
      </c>
      <c r="F43" s="150">
        <v>26804389</v>
      </c>
      <c r="G43" s="148" t="s">
        <v>276</v>
      </c>
      <c r="H43" s="151"/>
      <c r="I43" s="151"/>
      <c r="J43" s="96" t="str">
        <f>_xlfn.XLOOKUP(1,$K$44:$K$57,$I$44:$I$57, "-", 0)</f>
        <v xml:space="preserve">Al Qassim </v>
      </c>
      <c r="K43" s="151"/>
      <c r="L43" s="96" t="str">
        <f>_xlfn.XLOOKUP(1,$M$44:$M$57,$I$44:$I$57, "-", 0)</f>
        <v xml:space="preserve">Eastern </v>
      </c>
      <c r="M43" s="151"/>
      <c r="N43" s="96" t="str">
        <f>_xlfn.XLOOKUP(1,$O$44:$O$57,$I$44:$I$57, "-", 0)</f>
        <v xml:space="preserve">Eastern </v>
      </c>
      <c r="O43" s="151"/>
      <c r="P43" s="97" t="str">
        <f>IF(COUNTIF($P$44:$P$57,"Yes")&gt;0,"Yes","")</f>
        <v>Yes</v>
      </c>
      <c r="Q43" s="96">
        <f>SUM($Q$44:$Q$57)</f>
        <v>25154797</v>
      </c>
      <c r="R43" s="96">
        <f>IF($Q$43&gt;0,$F$43-$Q$43,"")</f>
        <v>1649592</v>
      </c>
      <c r="S43" s="151"/>
    </row>
    <row r="44" spans="2:19" x14ac:dyDescent="0.25">
      <c r="B44" s="152"/>
      <c r="C44" s="143"/>
      <c r="D44" s="143"/>
      <c r="E44" s="152"/>
      <c r="F44" s="153"/>
      <c r="G44" s="152"/>
      <c r="H44" s="90">
        <v>1</v>
      </c>
      <c r="I44" s="98" t="s">
        <v>280</v>
      </c>
      <c r="J44" s="99">
        <v>24721132</v>
      </c>
      <c r="K44" s="121">
        <f t="shared" ref="K44:K57" si="10">IF($J44="","",RANK(J44,$J$44:$J$57,1))</f>
        <v>1</v>
      </c>
      <c r="L44" s="99"/>
      <c r="M44" s="121" t="str">
        <f t="shared" ref="M44:M57" si="11">IF($L44="","",RANK(L44,$L$44:$L$57,1))</f>
        <v/>
      </c>
      <c r="N44" s="99"/>
      <c r="O44" s="121" t="str">
        <f t="shared" ref="O44:O57" si="12">IF($N44="","",RANK(N44,$N$44:$N$57,1))</f>
        <v/>
      </c>
      <c r="P44" s="91"/>
      <c r="Q44" s="122" t="str">
        <f t="shared" ref="Q44:Q57" si="13">IF($P44="Yes",IF($N44&gt;0,$N44,IF($L44&gt;0,$L44,IF($J44&gt;0,$J44,""))),"")</f>
        <v/>
      </c>
      <c r="R44" s="122" t="str">
        <f t="shared" ref="R44:R57" si="14">IFERROR(IF(INT($Q44)&gt;0,$F$43-$Q44,""),"")</f>
        <v/>
      </c>
      <c r="S44" s="98"/>
    </row>
    <row r="45" spans="2:19" x14ac:dyDescent="0.25">
      <c r="B45" s="152"/>
      <c r="C45" s="143"/>
      <c r="D45" s="143"/>
      <c r="E45" s="152"/>
      <c r="F45" s="153"/>
      <c r="G45" s="152"/>
      <c r="H45" s="90">
        <v>2</v>
      </c>
      <c r="I45" s="98" t="s">
        <v>281</v>
      </c>
      <c r="J45" s="99">
        <v>25154797</v>
      </c>
      <c r="K45" s="121">
        <f t="shared" si="10"/>
        <v>2</v>
      </c>
      <c r="L45" s="99">
        <f>J45</f>
        <v>25154797</v>
      </c>
      <c r="M45" s="121">
        <f t="shared" si="11"/>
        <v>1</v>
      </c>
      <c r="N45" s="99">
        <f>L45</f>
        <v>25154797</v>
      </c>
      <c r="O45" s="121">
        <f t="shared" si="12"/>
        <v>1</v>
      </c>
      <c r="P45" s="91" t="s">
        <v>276</v>
      </c>
      <c r="Q45" s="122">
        <f t="shared" si="13"/>
        <v>25154797</v>
      </c>
      <c r="R45" s="122">
        <f t="shared" si="14"/>
        <v>1649592</v>
      </c>
      <c r="S45" s="98"/>
    </row>
    <row r="46" spans="2:19" x14ac:dyDescent="0.25">
      <c r="B46" s="152"/>
      <c r="C46" s="143"/>
      <c r="D46" s="143"/>
      <c r="E46" s="152"/>
      <c r="F46" s="153"/>
      <c r="G46" s="152"/>
      <c r="H46" s="90">
        <v>3</v>
      </c>
      <c r="I46" s="98" t="s">
        <v>282</v>
      </c>
      <c r="J46" s="99">
        <v>32273269</v>
      </c>
      <c r="K46" s="121">
        <f t="shared" si="10"/>
        <v>3</v>
      </c>
      <c r="L46" s="99"/>
      <c r="M46" s="121" t="str">
        <f t="shared" si="11"/>
        <v/>
      </c>
      <c r="N46" s="99"/>
      <c r="O46" s="121" t="str">
        <f t="shared" si="12"/>
        <v/>
      </c>
      <c r="P46" s="91"/>
      <c r="Q46" s="122" t="str">
        <f t="shared" si="13"/>
        <v/>
      </c>
      <c r="R46" s="122" t="str">
        <f t="shared" si="14"/>
        <v/>
      </c>
      <c r="S46" s="98"/>
    </row>
    <row r="47" spans="2:19" x14ac:dyDescent="0.25">
      <c r="B47" s="152"/>
      <c r="C47" s="143"/>
      <c r="D47" s="143"/>
      <c r="E47" s="152"/>
      <c r="F47" s="153"/>
      <c r="G47" s="152"/>
      <c r="H47" s="90">
        <v>4</v>
      </c>
      <c r="I47" s="98" t="s">
        <v>283</v>
      </c>
      <c r="J47" s="99">
        <v>37989062</v>
      </c>
      <c r="K47" s="121">
        <f t="shared" si="10"/>
        <v>4</v>
      </c>
      <c r="L47" s="99"/>
      <c r="M47" s="121" t="str">
        <f t="shared" si="11"/>
        <v/>
      </c>
      <c r="N47" s="99"/>
      <c r="O47" s="121" t="str">
        <f t="shared" si="12"/>
        <v/>
      </c>
      <c r="P47" s="91"/>
      <c r="Q47" s="122" t="str">
        <f t="shared" si="13"/>
        <v/>
      </c>
      <c r="R47" s="122" t="str">
        <f t="shared" si="14"/>
        <v/>
      </c>
      <c r="S47" s="98"/>
    </row>
    <row r="48" spans="2:19" x14ac:dyDescent="0.25">
      <c r="B48" s="152"/>
      <c r="C48" s="143"/>
      <c r="D48" s="143"/>
      <c r="E48" s="152"/>
      <c r="F48" s="153"/>
      <c r="G48" s="152"/>
      <c r="H48" s="90">
        <v>5</v>
      </c>
      <c r="I48" s="98"/>
      <c r="J48" s="99"/>
      <c r="K48" s="121" t="str">
        <f t="shared" si="10"/>
        <v/>
      </c>
      <c r="L48" s="99"/>
      <c r="M48" s="121" t="str">
        <f t="shared" si="11"/>
        <v/>
      </c>
      <c r="N48" s="99"/>
      <c r="O48" s="121" t="str">
        <f t="shared" si="12"/>
        <v/>
      </c>
      <c r="P48" s="91"/>
      <c r="Q48" s="122" t="str">
        <f t="shared" si="13"/>
        <v/>
      </c>
      <c r="R48" s="122" t="str">
        <f t="shared" si="14"/>
        <v/>
      </c>
      <c r="S48" s="98"/>
    </row>
    <row r="49" spans="2:19" x14ac:dyDescent="0.25">
      <c r="B49" s="152"/>
      <c r="C49" s="143"/>
      <c r="D49" s="143"/>
      <c r="E49" s="152"/>
      <c r="F49" s="153"/>
      <c r="G49" s="152"/>
      <c r="H49" s="90">
        <v>6</v>
      </c>
      <c r="I49" s="98"/>
      <c r="J49" s="99"/>
      <c r="K49" s="121" t="str">
        <f t="shared" si="10"/>
        <v/>
      </c>
      <c r="L49" s="99"/>
      <c r="M49" s="121" t="str">
        <f t="shared" si="11"/>
        <v/>
      </c>
      <c r="N49" s="99"/>
      <c r="O49" s="121" t="str">
        <f t="shared" si="12"/>
        <v/>
      </c>
      <c r="P49" s="91"/>
      <c r="Q49" s="122" t="str">
        <f t="shared" si="13"/>
        <v/>
      </c>
      <c r="R49" s="122" t="str">
        <f t="shared" si="14"/>
        <v/>
      </c>
      <c r="S49" s="98"/>
    </row>
    <row r="50" spans="2:19" x14ac:dyDescent="0.25">
      <c r="B50" s="152"/>
      <c r="C50" s="143"/>
      <c r="D50" s="143"/>
      <c r="E50" s="152"/>
      <c r="F50" s="153"/>
      <c r="G50" s="152"/>
      <c r="H50" s="90">
        <v>7</v>
      </c>
      <c r="I50" s="98"/>
      <c r="J50" s="99"/>
      <c r="K50" s="121" t="str">
        <f t="shared" si="10"/>
        <v/>
      </c>
      <c r="L50" s="99"/>
      <c r="M50" s="121" t="str">
        <f t="shared" si="11"/>
        <v/>
      </c>
      <c r="N50" s="99"/>
      <c r="O50" s="121" t="str">
        <f t="shared" si="12"/>
        <v/>
      </c>
      <c r="P50" s="91"/>
      <c r="Q50" s="122" t="str">
        <f t="shared" si="13"/>
        <v/>
      </c>
      <c r="R50" s="122" t="str">
        <f t="shared" si="14"/>
        <v/>
      </c>
      <c r="S50" s="98"/>
    </row>
    <row r="51" spans="2:19" x14ac:dyDescent="0.25">
      <c r="B51" s="152"/>
      <c r="C51" s="143"/>
      <c r="D51" s="143"/>
      <c r="E51" s="152"/>
      <c r="F51" s="153"/>
      <c r="G51" s="152"/>
      <c r="H51" s="90">
        <v>8</v>
      </c>
      <c r="I51" s="98"/>
      <c r="J51" s="99"/>
      <c r="K51" s="121" t="str">
        <f t="shared" si="10"/>
        <v/>
      </c>
      <c r="L51" s="99"/>
      <c r="M51" s="121" t="str">
        <f t="shared" si="11"/>
        <v/>
      </c>
      <c r="N51" s="99"/>
      <c r="O51" s="121" t="str">
        <f t="shared" si="12"/>
        <v/>
      </c>
      <c r="P51" s="91"/>
      <c r="Q51" s="122" t="str">
        <f t="shared" si="13"/>
        <v/>
      </c>
      <c r="R51" s="122" t="str">
        <f t="shared" si="14"/>
        <v/>
      </c>
      <c r="S51" s="98"/>
    </row>
    <row r="52" spans="2:19" x14ac:dyDescent="0.25">
      <c r="B52" s="152"/>
      <c r="C52" s="143"/>
      <c r="D52" s="143"/>
      <c r="E52" s="152"/>
      <c r="F52" s="153"/>
      <c r="G52" s="152"/>
      <c r="H52" s="90">
        <v>9</v>
      </c>
      <c r="I52" s="98"/>
      <c r="J52" s="99"/>
      <c r="K52" s="121" t="str">
        <f t="shared" si="10"/>
        <v/>
      </c>
      <c r="L52" s="99"/>
      <c r="M52" s="121" t="str">
        <f t="shared" si="11"/>
        <v/>
      </c>
      <c r="N52" s="99"/>
      <c r="O52" s="121" t="str">
        <f t="shared" si="12"/>
        <v/>
      </c>
      <c r="P52" s="91"/>
      <c r="Q52" s="122" t="str">
        <f t="shared" si="13"/>
        <v/>
      </c>
      <c r="R52" s="122" t="str">
        <f t="shared" si="14"/>
        <v/>
      </c>
      <c r="S52" s="98"/>
    </row>
    <row r="53" spans="2:19" x14ac:dyDescent="0.25">
      <c r="B53" s="152"/>
      <c r="C53" s="143"/>
      <c r="D53" s="143"/>
      <c r="E53" s="152"/>
      <c r="F53" s="153"/>
      <c r="G53" s="152"/>
      <c r="H53" s="90">
        <v>10</v>
      </c>
      <c r="I53" s="98"/>
      <c r="J53" s="99"/>
      <c r="K53" s="121" t="str">
        <f t="shared" si="10"/>
        <v/>
      </c>
      <c r="L53" s="99"/>
      <c r="M53" s="121" t="str">
        <f t="shared" si="11"/>
        <v/>
      </c>
      <c r="N53" s="99"/>
      <c r="O53" s="121" t="str">
        <f t="shared" si="12"/>
        <v/>
      </c>
      <c r="P53" s="91"/>
      <c r="Q53" s="122" t="str">
        <f t="shared" si="13"/>
        <v/>
      </c>
      <c r="R53" s="122" t="str">
        <f t="shared" si="14"/>
        <v/>
      </c>
      <c r="S53" s="98"/>
    </row>
    <row r="54" spans="2:19" x14ac:dyDescent="0.25">
      <c r="B54" s="152"/>
      <c r="C54" s="143"/>
      <c r="D54" s="143"/>
      <c r="E54" s="152"/>
      <c r="F54" s="153"/>
      <c r="G54" s="152"/>
      <c r="H54" s="90">
        <v>11</v>
      </c>
      <c r="I54" s="98"/>
      <c r="J54" s="99"/>
      <c r="K54" s="121" t="str">
        <f t="shared" si="10"/>
        <v/>
      </c>
      <c r="L54" s="99"/>
      <c r="M54" s="121" t="str">
        <f t="shared" si="11"/>
        <v/>
      </c>
      <c r="N54" s="99"/>
      <c r="O54" s="121" t="str">
        <f t="shared" si="12"/>
        <v/>
      </c>
      <c r="P54" s="91"/>
      <c r="Q54" s="122" t="str">
        <f t="shared" si="13"/>
        <v/>
      </c>
      <c r="R54" s="122" t="str">
        <f t="shared" si="14"/>
        <v/>
      </c>
      <c r="S54" s="98"/>
    </row>
    <row r="55" spans="2:19" x14ac:dyDescent="0.25">
      <c r="B55" s="152"/>
      <c r="C55" s="143"/>
      <c r="D55" s="143"/>
      <c r="E55" s="152"/>
      <c r="F55" s="153"/>
      <c r="G55" s="152"/>
      <c r="H55" s="90">
        <v>12</v>
      </c>
      <c r="I55" s="98"/>
      <c r="J55" s="99"/>
      <c r="K55" s="121" t="str">
        <f t="shared" si="10"/>
        <v/>
      </c>
      <c r="L55" s="99"/>
      <c r="M55" s="121" t="str">
        <f t="shared" si="11"/>
        <v/>
      </c>
      <c r="N55" s="99"/>
      <c r="O55" s="121" t="str">
        <f t="shared" si="12"/>
        <v/>
      </c>
      <c r="P55" s="91"/>
      <c r="Q55" s="122" t="str">
        <f t="shared" si="13"/>
        <v/>
      </c>
      <c r="R55" s="122" t="str">
        <f t="shared" si="14"/>
        <v/>
      </c>
      <c r="S55" s="98"/>
    </row>
    <row r="56" spans="2:19" x14ac:dyDescent="0.25">
      <c r="B56" s="152"/>
      <c r="C56" s="143"/>
      <c r="D56" s="143"/>
      <c r="E56" s="152"/>
      <c r="F56" s="153"/>
      <c r="G56" s="152"/>
      <c r="H56" s="90">
        <v>13</v>
      </c>
      <c r="I56" s="98"/>
      <c r="J56" s="99"/>
      <c r="K56" s="121" t="str">
        <f t="shared" si="10"/>
        <v/>
      </c>
      <c r="L56" s="99"/>
      <c r="M56" s="121" t="str">
        <f t="shared" si="11"/>
        <v/>
      </c>
      <c r="N56" s="99"/>
      <c r="O56" s="121" t="str">
        <f t="shared" si="12"/>
        <v/>
      </c>
      <c r="P56" s="91"/>
      <c r="Q56" s="122" t="str">
        <f t="shared" si="13"/>
        <v/>
      </c>
      <c r="R56" s="122" t="str">
        <f t="shared" si="14"/>
        <v/>
      </c>
      <c r="S56" s="98"/>
    </row>
    <row r="57" spans="2:19" x14ac:dyDescent="0.25">
      <c r="B57" s="154"/>
      <c r="C57" s="142"/>
      <c r="D57" s="142"/>
      <c r="E57" s="154"/>
      <c r="F57" s="155"/>
      <c r="G57" s="154"/>
      <c r="H57" s="108">
        <v>14</v>
      </c>
      <c r="I57" s="109"/>
      <c r="J57" s="110"/>
      <c r="K57" s="123" t="str">
        <f t="shared" si="10"/>
        <v/>
      </c>
      <c r="L57" s="110"/>
      <c r="M57" s="123" t="str">
        <f t="shared" si="11"/>
        <v/>
      </c>
      <c r="N57" s="110"/>
      <c r="O57" s="123" t="str">
        <f t="shared" si="12"/>
        <v/>
      </c>
      <c r="P57" s="105"/>
      <c r="Q57" s="124" t="str">
        <f t="shared" si="13"/>
        <v/>
      </c>
      <c r="R57" s="124" t="str">
        <f t="shared" si="14"/>
        <v/>
      </c>
      <c r="S57" s="109"/>
    </row>
    <row r="58" spans="2:19" x14ac:dyDescent="0.25">
      <c r="B58" s="148">
        <v>6</v>
      </c>
      <c r="C58" s="149" t="s">
        <v>44</v>
      </c>
      <c r="D58" s="149" t="s">
        <v>50</v>
      </c>
      <c r="E58" s="148" t="s">
        <v>175</v>
      </c>
      <c r="F58" s="150">
        <v>37080605</v>
      </c>
      <c r="G58" s="148" t="s">
        <v>276</v>
      </c>
      <c r="H58" s="151"/>
      <c r="I58" s="151"/>
      <c r="J58" s="96" t="str">
        <f>_xlfn.XLOOKUP(1,$K$59:$K$72,$I$59:$I$72, "-", 0)</f>
        <v xml:space="preserve">Al Qassim </v>
      </c>
      <c r="K58" s="151"/>
      <c r="L58" s="96" t="str">
        <f>_xlfn.XLOOKUP(1,$M$59:$M$72,$I$59:$I$72, "-", 0)</f>
        <v xml:space="preserve">Al Qassim </v>
      </c>
      <c r="M58" s="151"/>
      <c r="N58" s="96" t="str">
        <f>_xlfn.XLOOKUP(1,$O$59:$O$72,$I$59:$I$72, "-", 0)</f>
        <v xml:space="preserve">Al Qassim </v>
      </c>
      <c r="O58" s="151"/>
      <c r="P58" s="97" t="str">
        <f>IF(COUNTIF($P$59:$P$72,"Yes")&gt;0,"Yes","")</f>
        <v>Yes</v>
      </c>
      <c r="Q58" s="96">
        <f>SUM($Q$59:$Q$72)</f>
        <v>34399021</v>
      </c>
      <c r="R58" s="96">
        <f>IF($Q$58&gt;0,$F$58-$Q$58,"")</f>
        <v>2681584</v>
      </c>
      <c r="S58" s="151"/>
    </row>
    <row r="59" spans="2:19" x14ac:dyDescent="0.25">
      <c r="B59" s="152"/>
      <c r="C59" s="143"/>
      <c r="D59" s="143"/>
      <c r="E59" s="152"/>
      <c r="F59" s="153"/>
      <c r="G59" s="152"/>
      <c r="H59" s="90">
        <v>1</v>
      </c>
      <c r="I59" s="98" t="s">
        <v>280</v>
      </c>
      <c r="J59" s="99">
        <v>34399021</v>
      </c>
      <c r="K59" s="121">
        <f t="shared" ref="K59:K72" si="15">IF($J59="","",RANK(J59,$J$59:$J$72,1))</f>
        <v>1</v>
      </c>
      <c r="L59" s="99">
        <f>J59</f>
        <v>34399021</v>
      </c>
      <c r="M59" s="121">
        <f t="shared" ref="M59:M72" si="16">IF($L59="","",RANK(L59,$L$59:$L$72,1))</f>
        <v>1</v>
      </c>
      <c r="N59" s="99">
        <f>L59</f>
        <v>34399021</v>
      </c>
      <c r="O59" s="121">
        <f t="shared" ref="O59:O72" si="17">IF($N59="","",RANK(N59,$N$59:$N$72,1))</f>
        <v>1</v>
      </c>
      <c r="P59" s="91" t="s">
        <v>276</v>
      </c>
      <c r="Q59" s="122">
        <f t="shared" ref="Q59:Q72" si="18">IF($P59="Yes",IF($N59&gt;0,$N59,IF($L59&gt;0,$L59,IF($J59&gt;0,$J59,""))),"")</f>
        <v>34399021</v>
      </c>
      <c r="R59" s="122">
        <f t="shared" ref="R59:R72" si="19">IFERROR(IF(INT($Q59)&gt;0,$F$58-$Q59,""),"")</f>
        <v>2681584</v>
      </c>
      <c r="S59" s="98"/>
    </row>
    <row r="60" spans="2:19" x14ac:dyDescent="0.25">
      <c r="B60" s="152"/>
      <c r="C60" s="143"/>
      <c r="D60" s="143"/>
      <c r="E60" s="152"/>
      <c r="F60" s="153"/>
      <c r="G60" s="152"/>
      <c r="H60" s="90">
        <v>2</v>
      </c>
      <c r="I60" s="98" t="s">
        <v>281</v>
      </c>
      <c r="J60" s="99">
        <v>35105035</v>
      </c>
      <c r="K60" s="121">
        <f t="shared" si="15"/>
        <v>2</v>
      </c>
      <c r="L60" s="99"/>
      <c r="M60" s="121" t="str">
        <f t="shared" si="16"/>
        <v/>
      </c>
      <c r="N60" s="99"/>
      <c r="O60" s="121" t="str">
        <f t="shared" si="17"/>
        <v/>
      </c>
      <c r="P60" s="91"/>
      <c r="Q60" s="122" t="str">
        <f t="shared" si="18"/>
        <v/>
      </c>
      <c r="R60" s="122" t="str">
        <f t="shared" si="19"/>
        <v/>
      </c>
      <c r="S60" s="98"/>
    </row>
    <row r="61" spans="2:19" x14ac:dyDescent="0.25">
      <c r="B61" s="152"/>
      <c r="C61" s="143"/>
      <c r="D61" s="143"/>
      <c r="E61" s="152"/>
      <c r="F61" s="153"/>
      <c r="G61" s="152"/>
      <c r="H61" s="90">
        <v>3</v>
      </c>
      <c r="I61" s="98" t="s">
        <v>282</v>
      </c>
      <c r="J61" s="99">
        <v>44436312</v>
      </c>
      <c r="K61" s="121">
        <f t="shared" si="15"/>
        <v>4</v>
      </c>
      <c r="L61" s="99"/>
      <c r="M61" s="121" t="str">
        <f t="shared" si="16"/>
        <v/>
      </c>
      <c r="N61" s="99"/>
      <c r="O61" s="121" t="str">
        <f t="shared" si="17"/>
        <v/>
      </c>
      <c r="P61" s="91"/>
      <c r="Q61" s="122" t="str">
        <f t="shared" si="18"/>
        <v/>
      </c>
      <c r="R61" s="122" t="str">
        <f t="shared" si="19"/>
        <v/>
      </c>
      <c r="S61" s="98"/>
    </row>
    <row r="62" spans="2:19" x14ac:dyDescent="0.25">
      <c r="B62" s="152"/>
      <c r="C62" s="143"/>
      <c r="D62" s="143"/>
      <c r="E62" s="152"/>
      <c r="F62" s="153"/>
      <c r="G62" s="152"/>
      <c r="H62" s="90">
        <v>4</v>
      </c>
      <c r="I62" s="98" t="s">
        <v>283</v>
      </c>
      <c r="J62" s="99">
        <v>53151238</v>
      </c>
      <c r="K62" s="121">
        <f t="shared" si="15"/>
        <v>5</v>
      </c>
      <c r="L62" s="99"/>
      <c r="M62" s="121" t="str">
        <f t="shared" si="16"/>
        <v/>
      </c>
      <c r="N62" s="99"/>
      <c r="O62" s="121" t="str">
        <f t="shared" si="17"/>
        <v/>
      </c>
      <c r="P62" s="91"/>
      <c r="Q62" s="122" t="str">
        <f t="shared" si="18"/>
        <v/>
      </c>
      <c r="R62" s="122" t="str">
        <f t="shared" si="19"/>
        <v/>
      </c>
      <c r="S62" s="98"/>
    </row>
    <row r="63" spans="2:19" x14ac:dyDescent="0.25">
      <c r="B63" s="152"/>
      <c r="C63" s="143"/>
      <c r="D63" s="143"/>
      <c r="E63" s="152"/>
      <c r="F63" s="153"/>
      <c r="G63" s="152"/>
      <c r="H63" s="90">
        <v>5</v>
      </c>
      <c r="I63" s="98" t="s">
        <v>284</v>
      </c>
      <c r="J63" s="99">
        <v>40660506</v>
      </c>
      <c r="K63" s="121">
        <f t="shared" si="15"/>
        <v>3</v>
      </c>
      <c r="L63" s="99"/>
      <c r="M63" s="121" t="str">
        <f t="shared" si="16"/>
        <v/>
      </c>
      <c r="N63" s="99"/>
      <c r="O63" s="121" t="str">
        <f t="shared" si="17"/>
        <v/>
      </c>
      <c r="P63" s="91"/>
      <c r="Q63" s="122" t="str">
        <f t="shared" si="18"/>
        <v/>
      </c>
      <c r="R63" s="122" t="str">
        <f t="shared" si="19"/>
        <v/>
      </c>
      <c r="S63" s="98"/>
    </row>
    <row r="64" spans="2:19" x14ac:dyDescent="0.25">
      <c r="B64" s="152"/>
      <c r="C64" s="143"/>
      <c r="D64" s="143"/>
      <c r="E64" s="152"/>
      <c r="F64" s="153"/>
      <c r="G64" s="152"/>
      <c r="H64" s="90">
        <v>6</v>
      </c>
      <c r="I64" s="98"/>
      <c r="J64" s="99"/>
      <c r="K64" s="121" t="str">
        <f t="shared" si="15"/>
        <v/>
      </c>
      <c r="L64" s="99"/>
      <c r="M64" s="121" t="str">
        <f t="shared" si="16"/>
        <v/>
      </c>
      <c r="N64" s="99"/>
      <c r="O64" s="121" t="str">
        <f t="shared" si="17"/>
        <v/>
      </c>
      <c r="P64" s="91"/>
      <c r="Q64" s="122" t="str">
        <f t="shared" si="18"/>
        <v/>
      </c>
      <c r="R64" s="122" t="str">
        <f t="shared" si="19"/>
        <v/>
      </c>
      <c r="S64" s="98"/>
    </row>
    <row r="65" spans="2:19" x14ac:dyDescent="0.25">
      <c r="B65" s="152"/>
      <c r="C65" s="143"/>
      <c r="D65" s="143"/>
      <c r="E65" s="152"/>
      <c r="F65" s="153"/>
      <c r="G65" s="152"/>
      <c r="H65" s="90">
        <v>7</v>
      </c>
      <c r="I65" s="98"/>
      <c r="J65" s="99"/>
      <c r="K65" s="121" t="str">
        <f t="shared" si="15"/>
        <v/>
      </c>
      <c r="L65" s="99"/>
      <c r="M65" s="121" t="str">
        <f t="shared" si="16"/>
        <v/>
      </c>
      <c r="N65" s="99"/>
      <c r="O65" s="121" t="str">
        <f t="shared" si="17"/>
        <v/>
      </c>
      <c r="P65" s="91"/>
      <c r="Q65" s="122" t="str">
        <f t="shared" si="18"/>
        <v/>
      </c>
      <c r="R65" s="122" t="str">
        <f t="shared" si="19"/>
        <v/>
      </c>
      <c r="S65" s="98"/>
    </row>
    <row r="66" spans="2:19" x14ac:dyDescent="0.25">
      <c r="B66" s="152"/>
      <c r="C66" s="143"/>
      <c r="D66" s="143"/>
      <c r="E66" s="152"/>
      <c r="F66" s="153"/>
      <c r="G66" s="152"/>
      <c r="H66" s="90">
        <v>8</v>
      </c>
      <c r="I66" s="98"/>
      <c r="J66" s="99"/>
      <c r="K66" s="121" t="str">
        <f t="shared" si="15"/>
        <v/>
      </c>
      <c r="L66" s="99"/>
      <c r="M66" s="121" t="str">
        <f t="shared" si="16"/>
        <v/>
      </c>
      <c r="N66" s="99"/>
      <c r="O66" s="121" t="str">
        <f t="shared" si="17"/>
        <v/>
      </c>
      <c r="P66" s="91"/>
      <c r="Q66" s="122" t="str">
        <f t="shared" si="18"/>
        <v/>
      </c>
      <c r="R66" s="122" t="str">
        <f t="shared" si="19"/>
        <v/>
      </c>
      <c r="S66" s="98"/>
    </row>
    <row r="67" spans="2:19" x14ac:dyDescent="0.25">
      <c r="B67" s="152"/>
      <c r="C67" s="143"/>
      <c r="D67" s="143"/>
      <c r="E67" s="152"/>
      <c r="F67" s="153"/>
      <c r="G67" s="152"/>
      <c r="H67" s="90">
        <v>9</v>
      </c>
      <c r="I67" s="98"/>
      <c r="J67" s="99"/>
      <c r="K67" s="121" t="str">
        <f t="shared" si="15"/>
        <v/>
      </c>
      <c r="L67" s="99"/>
      <c r="M67" s="121" t="str">
        <f t="shared" si="16"/>
        <v/>
      </c>
      <c r="N67" s="99"/>
      <c r="O67" s="121" t="str">
        <f t="shared" si="17"/>
        <v/>
      </c>
      <c r="P67" s="91"/>
      <c r="Q67" s="122" t="str">
        <f t="shared" si="18"/>
        <v/>
      </c>
      <c r="R67" s="122" t="str">
        <f t="shared" si="19"/>
        <v/>
      </c>
      <c r="S67" s="98"/>
    </row>
    <row r="68" spans="2:19" x14ac:dyDescent="0.25">
      <c r="B68" s="152"/>
      <c r="C68" s="143"/>
      <c r="D68" s="143"/>
      <c r="E68" s="152"/>
      <c r="F68" s="153"/>
      <c r="G68" s="152"/>
      <c r="H68" s="90">
        <v>10</v>
      </c>
      <c r="I68" s="98"/>
      <c r="J68" s="99"/>
      <c r="K68" s="121" t="str">
        <f t="shared" si="15"/>
        <v/>
      </c>
      <c r="L68" s="99"/>
      <c r="M68" s="121" t="str">
        <f t="shared" si="16"/>
        <v/>
      </c>
      <c r="N68" s="99"/>
      <c r="O68" s="121" t="str">
        <f t="shared" si="17"/>
        <v/>
      </c>
      <c r="P68" s="91"/>
      <c r="Q68" s="122" t="str">
        <f t="shared" si="18"/>
        <v/>
      </c>
      <c r="R68" s="122" t="str">
        <f t="shared" si="19"/>
        <v/>
      </c>
      <c r="S68" s="98"/>
    </row>
    <row r="69" spans="2:19" x14ac:dyDescent="0.25">
      <c r="B69" s="152"/>
      <c r="C69" s="143"/>
      <c r="D69" s="143"/>
      <c r="E69" s="152"/>
      <c r="F69" s="153"/>
      <c r="G69" s="152"/>
      <c r="H69" s="90">
        <v>11</v>
      </c>
      <c r="I69" s="98"/>
      <c r="J69" s="99"/>
      <c r="K69" s="121" t="str">
        <f t="shared" si="15"/>
        <v/>
      </c>
      <c r="L69" s="99"/>
      <c r="M69" s="121" t="str">
        <f t="shared" si="16"/>
        <v/>
      </c>
      <c r="N69" s="99"/>
      <c r="O69" s="121" t="str">
        <f t="shared" si="17"/>
        <v/>
      </c>
      <c r="P69" s="91"/>
      <c r="Q69" s="122" t="str">
        <f t="shared" si="18"/>
        <v/>
      </c>
      <c r="R69" s="122" t="str">
        <f t="shared" si="19"/>
        <v/>
      </c>
      <c r="S69" s="98"/>
    </row>
    <row r="70" spans="2:19" x14ac:dyDescent="0.25">
      <c r="B70" s="152"/>
      <c r="C70" s="143"/>
      <c r="D70" s="143"/>
      <c r="E70" s="152"/>
      <c r="F70" s="153"/>
      <c r="G70" s="152"/>
      <c r="H70" s="90">
        <v>12</v>
      </c>
      <c r="I70" s="98"/>
      <c r="J70" s="99"/>
      <c r="K70" s="121" t="str">
        <f t="shared" si="15"/>
        <v/>
      </c>
      <c r="L70" s="99"/>
      <c r="M70" s="121" t="str">
        <f t="shared" si="16"/>
        <v/>
      </c>
      <c r="N70" s="99"/>
      <c r="O70" s="121" t="str">
        <f t="shared" si="17"/>
        <v/>
      </c>
      <c r="P70" s="91"/>
      <c r="Q70" s="122" t="str">
        <f t="shared" si="18"/>
        <v/>
      </c>
      <c r="R70" s="122" t="str">
        <f t="shared" si="19"/>
        <v/>
      </c>
      <c r="S70" s="98"/>
    </row>
    <row r="71" spans="2:19" x14ac:dyDescent="0.25">
      <c r="B71" s="152"/>
      <c r="C71" s="143"/>
      <c r="D71" s="143"/>
      <c r="E71" s="152"/>
      <c r="F71" s="153"/>
      <c r="G71" s="152"/>
      <c r="H71" s="90">
        <v>13</v>
      </c>
      <c r="I71" s="98"/>
      <c r="J71" s="99"/>
      <c r="K71" s="121" t="str">
        <f t="shared" si="15"/>
        <v/>
      </c>
      <c r="L71" s="99"/>
      <c r="M71" s="121" t="str">
        <f t="shared" si="16"/>
        <v/>
      </c>
      <c r="N71" s="99"/>
      <c r="O71" s="121" t="str">
        <f t="shared" si="17"/>
        <v/>
      </c>
      <c r="P71" s="91"/>
      <c r="Q71" s="122" t="str">
        <f t="shared" si="18"/>
        <v/>
      </c>
      <c r="R71" s="122" t="str">
        <f t="shared" si="19"/>
        <v/>
      </c>
      <c r="S71" s="98"/>
    </row>
    <row r="72" spans="2:19" x14ac:dyDescent="0.25">
      <c r="B72" s="154"/>
      <c r="C72" s="142"/>
      <c r="D72" s="142"/>
      <c r="E72" s="154"/>
      <c r="F72" s="155"/>
      <c r="G72" s="154"/>
      <c r="H72" s="108">
        <v>14</v>
      </c>
      <c r="I72" s="109"/>
      <c r="J72" s="110"/>
      <c r="K72" s="123" t="str">
        <f t="shared" si="15"/>
        <v/>
      </c>
      <c r="L72" s="110"/>
      <c r="M72" s="123" t="str">
        <f t="shared" si="16"/>
        <v/>
      </c>
      <c r="N72" s="110"/>
      <c r="O72" s="123" t="str">
        <f t="shared" si="17"/>
        <v/>
      </c>
      <c r="P72" s="105"/>
      <c r="Q72" s="124" t="str">
        <f t="shared" si="18"/>
        <v/>
      </c>
      <c r="R72" s="124" t="str">
        <f t="shared" si="19"/>
        <v/>
      </c>
      <c r="S72" s="109"/>
    </row>
    <row r="73" spans="2:19" x14ac:dyDescent="0.25">
      <c r="B73" s="148">
        <v>7</v>
      </c>
      <c r="C73" s="149" t="s">
        <v>44</v>
      </c>
      <c r="D73" s="149" t="s">
        <v>51</v>
      </c>
      <c r="E73" s="148" t="s">
        <v>180</v>
      </c>
      <c r="F73" s="150">
        <v>30282807.93</v>
      </c>
      <c r="G73" s="148" t="s">
        <v>276</v>
      </c>
      <c r="H73" s="151"/>
      <c r="I73" s="151"/>
      <c r="J73" s="96" t="str">
        <f>_xlfn.XLOOKUP(1,$K$74:$K$77,$I$74:$I$77, "-", 0)</f>
        <v xml:space="preserve">Kone </v>
      </c>
      <c r="K73" s="151"/>
      <c r="L73" s="96" t="str">
        <f>_xlfn.XLOOKUP(1,$M$74:$M$77,$I$74:$I$77, "-", 0)</f>
        <v xml:space="preserve">Kone </v>
      </c>
      <c r="M73" s="151"/>
      <c r="N73" s="96" t="str">
        <f>_xlfn.XLOOKUP(1,$O$74:$O$77,$I$74:$I$77, "-", 0)</f>
        <v xml:space="preserve">Kone </v>
      </c>
      <c r="O73" s="151"/>
      <c r="P73" s="97" t="str">
        <f>IF(COUNTIF($P$74:$P$77,"Yes")&gt;0,"Yes","")</f>
        <v>Yes</v>
      </c>
      <c r="Q73" s="96">
        <f>SUM($Q$74:$Q$77)</f>
        <v>20211651</v>
      </c>
      <c r="R73" s="96">
        <f>IF($Q$73&gt;0,$F$73-$Q$73,"")</f>
        <v>10071156.93</v>
      </c>
      <c r="S73" s="151"/>
    </row>
    <row r="74" spans="2:19" x14ac:dyDescent="0.25">
      <c r="B74" s="152"/>
      <c r="C74" s="143"/>
      <c r="D74" s="143"/>
      <c r="E74" s="152"/>
      <c r="F74" s="153"/>
      <c r="G74" s="152"/>
      <c r="H74" s="90">
        <v>1</v>
      </c>
      <c r="I74" s="98" t="s">
        <v>285</v>
      </c>
      <c r="J74" s="99">
        <v>20211651</v>
      </c>
      <c r="K74" s="121">
        <f>IF($J74="","",RANK(J74,$J$74:$J$77,1))</f>
        <v>1</v>
      </c>
      <c r="L74" s="99">
        <f>J74</f>
        <v>20211651</v>
      </c>
      <c r="M74" s="121">
        <f>IF($L74="","",RANK(L74,$L$74:$L$77,1))</f>
        <v>1</v>
      </c>
      <c r="N74" s="99">
        <f>J74</f>
        <v>20211651</v>
      </c>
      <c r="O74" s="121">
        <f>IF($N74="","",RANK(N74,$N$74:$N$77,1))</f>
        <v>1</v>
      </c>
      <c r="P74" s="91" t="s">
        <v>276</v>
      </c>
      <c r="Q74" s="122">
        <f>IF($P74="Yes",IF($N74&gt;0,$N74,IF($L74&gt;0,$L74,IF($J74&gt;0,$J74,""))),"")</f>
        <v>20211651</v>
      </c>
      <c r="R74" s="122">
        <f>IFERROR(IF(INT($Q74)&gt;0,$F$73-$Q74,""),"")</f>
        <v>10071156.93</v>
      </c>
      <c r="S74" s="98"/>
    </row>
    <row r="75" spans="2:19" x14ac:dyDescent="0.25">
      <c r="B75" s="152"/>
      <c r="C75" s="143"/>
      <c r="D75" s="143"/>
      <c r="E75" s="152"/>
      <c r="F75" s="153"/>
      <c r="G75" s="152"/>
      <c r="H75" s="90">
        <v>2</v>
      </c>
      <c r="I75" s="98"/>
      <c r="J75" s="99"/>
      <c r="K75" s="121" t="str">
        <f>IF($J75="","",RANK(J75,$J$74:$J$77,1))</f>
        <v/>
      </c>
      <c r="L75" s="99"/>
      <c r="M75" s="121" t="str">
        <f>IF($L75="","",RANK(L75,$L$74:$L$77,1))</f>
        <v/>
      </c>
      <c r="N75" s="99"/>
      <c r="O75" s="121" t="str">
        <f>IF($N75="","",RANK(N75,$N$74:$N$77,1))</f>
        <v/>
      </c>
      <c r="P75" s="91"/>
      <c r="Q75" s="122" t="str">
        <f>IF($P75="Yes",IF($N75&gt;0,$N75,IF($L75&gt;0,$L75,IF($J75&gt;0,$J75,""))),"")</f>
        <v/>
      </c>
      <c r="R75" s="122" t="str">
        <f>IFERROR(IF(INT($Q75)&gt;0,$F$73-$Q75,""),"")</f>
        <v/>
      </c>
      <c r="S75" s="98"/>
    </row>
    <row r="76" spans="2:19" x14ac:dyDescent="0.25">
      <c r="B76" s="152"/>
      <c r="C76" s="143"/>
      <c r="D76" s="143"/>
      <c r="E76" s="152"/>
      <c r="F76" s="153"/>
      <c r="G76" s="152"/>
      <c r="H76" s="90">
        <v>3</v>
      </c>
      <c r="I76" s="98"/>
      <c r="J76" s="99"/>
      <c r="K76" s="121" t="str">
        <f>IF($J76="","",RANK(J76,$J$74:$J$77,1))</f>
        <v/>
      </c>
      <c r="L76" s="99"/>
      <c r="M76" s="121" t="str">
        <f>IF($L76="","",RANK(L76,$L$74:$L$77,1))</f>
        <v/>
      </c>
      <c r="N76" s="99"/>
      <c r="O76" s="121" t="str">
        <f>IF($N76="","",RANK(N76,$N$74:$N$77,1))</f>
        <v/>
      </c>
      <c r="P76" s="91"/>
      <c r="Q76" s="122" t="str">
        <f>IF($P76="Yes",IF($N76&gt;0,$N76,IF($L76&gt;0,$L76,IF($J76&gt;0,$J76,""))),"")</f>
        <v/>
      </c>
      <c r="R76" s="122" t="str">
        <f>IFERROR(IF(INT($Q76)&gt;0,$F$73-$Q76,""),"")</f>
        <v/>
      </c>
      <c r="S76" s="98"/>
    </row>
    <row r="77" spans="2:19" x14ac:dyDescent="0.25">
      <c r="B77" s="154"/>
      <c r="C77" s="142"/>
      <c r="D77" s="142"/>
      <c r="E77" s="154"/>
      <c r="F77" s="155"/>
      <c r="G77" s="154"/>
      <c r="H77" s="108">
        <v>4</v>
      </c>
      <c r="I77" s="109"/>
      <c r="J77" s="110"/>
      <c r="K77" s="123" t="str">
        <f>IF($J77="","",RANK(J77,$J$74:$J$77,1))</f>
        <v/>
      </c>
      <c r="L77" s="110"/>
      <c r="M77" s="123" t="str">
        <f>IF($L77="","",RANK(L77,$L$74:$L$77,1))</f>
        <v/>
      </c>
      <c r="N77" s="110"/>
      <c r="O77" s="123" t="str">
        <f>IF($N77="","",RANK(N77,$N$74:$N$77,1))</f>
        <v/>
      </c>
      <c r="P77" s="105"/>
      <c r="Q77" s="124" t="str">
        <f>IF($P77="Yes",IF($N77&gt;0,$N77,IF($L77&gt;0,$L77,IF($J77&gt;0,$J77,""))),"")</f>
        <v/>
      </c>
      <c r="R77" s="124" t="str">
        <f>IFERROR(IF(INT($Q77)&gt;0,$F$73-$Q77,""),"")</f>
        <v/>
      </c>
      <c r="S77" s="109"/>
    </row>
    <row r="78" spans="2:19" x14ac:dyDescent="0.25">
      <c r="B78" s="148">
        <v>8</v>
      </c>
      <c r="C78" s="149" t="s">
        <v>44</v>
      </c>
      <c r="D78" s="149" t="s">
        <v>52</v>
      </c>
      <c r="E78" s="148" t="s">
        <v>181</v>
      </c>
      <c r="F78" s="150">
        <v>12757239.880000001</v>
      </c>
      <c r="G78" s="148" t="s">
        <v>276</v>
      </c>
      <c r="H78" s="151"/>
      <c r="I78" s="151"/>
      <c r="J78" s="96" t="str">
        <f>_xlfn.XLOOKUP(1,$K$79:$K$86,$I$79:$I$86, "-", 0)</f>
        <v xml:space="preserve">Fala Building </v>
      </c>
      <c r="K78" s="151"/>
      <c r="L78" s="96" t="str">
        <f>_xlfn.XLOOKUP(1,$M$79:$M$86,$I$79:$I$86, "-", 0)</f>
        <v xml:space="preserve">Fala Building </v>
      </c>
      <c r="M78" s="151"/>
      <c r="N78" s="96" t="str">
        <f>_xlfn.XLOOKUP(1,$O$79:$O$86,$I$79:$I$86, "-", 0)</f>
        <v xml:space="preserve">Fala Building </v>
      </c>
      <c r="O78" s="151"/>
      <c r="P78" s="97" t="str">
        <f>IF(COUNTIF($P$79:$P$86,"Yes")&gt;0,"Yes","")</f>
        <v>Yes</v>
      </c>
      <c r="Q78" s="96">
        <f>SUM($Q$79:$Q$86)</f>
        <v>12000000</v>
      </c>
      <c r="R78" s="96">
        <f>IF($Q$78&gt;0,$F$78-$Q$78,"")</f>
        <v>757239.88000000082</v>
      </c>
      <c r="S78" s="151"/>
    </row>
    <row r="79" spans="2:19" x14ac:dyDescent="0.25">
      <c r="B79" s="152"/>
      <c r="C79" s="143"/>
      <c r="D79" s="143"/>
      <c r="E79" s="152"/>
      <c r="F79" s="153"/>
      <c r="G79" s="152"/>
      <c r="H79" s="90">
        <v>1</v>
      </c>
      <c r="I79" s="98" t="s">
        <v>286</v>
      </c>
      <c r="J79" s="99">
        <v>12000000</v>
      </c>
      <c r="K79" s="121">
        <f t="shared" ref="K79:K86" si="20">IF($J79="","",RANK(J79,$J$79:$J$86,1))</f>
        <v>1</v>
      </c>
      <c r="L79" s="99">
        <f>J79</f>
        <v>12000000</v>
      </c>
      <c r="M79" s="121">
        <f t="shared" ref="M79:M86" si="21">IF($L79="","",RANK(L79,$L$79:$L$86,1))</f>
        <v>1</v>
      </c>
      <c r="N79" s="99">
        <f>J79</f>
        <v>12000000</v>
      </c>
      <c r="O79" s="121">
        <f t="shared" ref="O79:O86" si="22">IF($N79="","",RANK(N79,$N$79:$N$86,1))</f>
        <v>1</v>
      </c>
      <c r="P79" s="91" t="s">
        <v>276</v>
      </c>
      <c r="Q79" s="122">
        <f t="shared" ref="Q79:Q86" si="23">IF($P79="Yes",IF($N79&gt;0,$N79,IF($L79&gt;0,$L79,IF($J79&gt;0,$J79,""))),"")</f>
        <v>12000000</v>
      </c>
      <c r="R79" s="122">
        <f t="shared" ref="R79:R86" si="24">IFERROR(IF(INT($Q79)&gt;0,$F$78-$Q79,""),"")</f>
        <v>757239.88000000082</v>
      </c>
      <c r="S79" s="98"/>
    </row>
    <row r="80" spans="2:19" x14ac:dyDescent="0.25">
      <c r="B80" s="152"/>
      <c r="C80" s="143"/>
      <c r="D80" s="143"/>
      <c r="E80" s="152"/>
      <c r="F80" s="153"/>
      <c r="G80" s="152"/>
      <c r="H80" s="90">
        <v>2</v>
      </c>
      <c r="I80" s="98"/>
      <c r="J80" s="99"/>
      <c r="K80" s="121" t="str">
        <f t="shared" si="20"/>
        <v/>
      </c>
      <c r="L80" s="99"/>
      <c r="M80" s="121" t="str">
        <f t="shared" si="21"/>
        <v/>
      </c>
      <c r="N80" s="99"/>
      <c r="O80" s="121" t="str">
        <f t="shared" si="22"/>
        <v/>
      </c>
      <c r="P80" s="91"/>
      <c r="Q80" s="122" t="str">
        <f t="shared" si="23"/>
        <v/>
      </c>
      <c r="R80" s="122" t="str">
        <f t="shared" si="24"/>
        <v/>
      </c>
      <c r="S80" s="98"/>
    </row>
    <row r="81" spans="2:19" x14ac:dyDescent="0.25">
      <c r="B81" s="152"/>
      <c r="C81" s="143"/>
      <c r="D81" s="143"/>
      <c r="E81" s="152"/>
      <c r="F81" s="153"/>
      <c r="G81" s="152"/>
      <c r="H81" s="90">
        <v>3</v>
      </c>
      <c r="I81" s="98"/>
      <c r="J81" s="99"/>
      <c r="K81" s="121" t="str">
        <f t="shared" si="20"/>
        <v/>
      </c>
      <c r="L81" s="99"/>
      <c r="M81" s="121" t="str">
        <f t="shared" si="21"/>
        <v/>
      </c>
      <c r="N81" s="99"/>
      <c r="O81" s="121" t="str">
        <f t="shared" si="22"/>
        <v/>
      </c>
      <c r="P81" s="91"/>
      <c r="Q81" s="122" t="str">
        <f t="shared" si="23"/>
        <v/>
      </c>
      <c r="R81" s="122" t="str">
        <f t="shared" si="24"/>
        <v/>
      </c>
      <c r="S81" s="98"/>
    </row>
    <row r="82" spans="2:19" x14ac:dyDescent="0.25">
      <c r="B82" s="152"/>
      <c r="C82" s="143"/>
      <c r="D82" s="143"/>
      <c r="E82" s="152"/>
      <c r="F82" s="153"/>
      <c r="G82" s="152"/>
      <c r="H82" s="90">
        <v>4</v>
      </c>
      <c r="I82" s="98"/>
      <c r="J82" s="99"/>
      <c r="K82" s="121" t="str">
        <f t="shared" si="20"/>
        <v/>
      </c>
      <c r="L82" s="99"/>
      <c r="M82" s="121" t="str">
        <f t="shared" si="21"/>
        <v/>
      </c>
      <c r="N82" s="99"/>
      <c r="O82" s="121" t="str">
        <f t="shared" si="22"/>
        <v/>
      </c>
      <c r="P82" s="91"/>
      <c r="Q82" s="122" t="str">
        <f t="shared" si="23"/>
        <v/>
      </c>
      <c r="R82" s="122" t="str">
        <f t="shared" si="24"/>
        <v/>
      </c>
      <c r="S82" s="98"/>
    </row>
    <row r="83" spans="2:19" x14ac:dyDescent="0.25">
      <c r="B83" s="152"/>
      <c r="C83" s="143"/>
      <c r="D83" s="143"/>
      <c r="E83" s="152"/>
      <c r="F83" s="153"/>
      <c r="G83" s="152"/>
      <c r="H83" s="90">
        <v>5</v>
      </c>
      <c r="I83" s="98"/>
      <c r="J83" s="99"/>
      <c r="K83" s="121" t="str">
        <f t="shared" si="20"/>
        <v/>
      </c>
      <c r="L83" s="99"/>
      <c r="M83" s="121" t="str">
        <f t="shared" si="21"/>
        <v/>
      </c>
      <c r="N83" s="99"/>
      <c r="O83" s="121" t="str">
        <f t="shared" si="22"/>
        <v/>
      </c>
      <c r="P83" s="91"/>
      <c r="Q83" s="122" t="str">
        <f t="shared" si="23"/>
        <v/>
      </c>
      <c r="R83" s="122" t="str">
        <f t="shared" si="24"/>
        <v/>
      </c>
      <c r="S83" s="98"/>
    </row>
    <row r="84" spans="2:19" x14ac:dyDescent="0.25">
      <c r="B84" s="152"/>
      <c r="C84" s="143"/>
      <c r="D84" s="143"/>
      <c r="E84" s="152"/>
      <c r="F84" s="153"/>
      <c r="G84" s="152"/>
      <c r="H84" s="90">
        <v>6</v>
      </c>
      <c r="I84" s="98"/>
      <c r="J84" s="99"/>
      <c r="K84" s="121" t="str">
        <f t="shared" si="20"/>
        <v/>
      </c>
      <c r="L84" s="99"/>
      <c r="M84" s="121" t="str">
        <f t="shared" si="21"/>
        <v/>
      </c>
      <c r="N84" s="99"/>
      <c r="O84" s="121" t="str">
        <f t="shared" si="22"/>
        <v/>
      </c>
      <c r="P84" s="91"/>
      <c r="Q84" s="122" t="str">
        <f t="shared" si="23"/>
        <v/>
      </c>
      <c r="R84" s="122" t="str">
        <f t="shared" si="24"/>
        <v/>
      </c>
      <c r="S84" s="98"/>
    </row>
    <row r="85" spans="2:19" x14ac:dyDescent="0.25">
      <c r="B85" s="154"/>
      <c r="C85" s="142"/>
      <c r="D85" s="142"/>
      <c r="E85" s="154"/>
      <c r="F85" s="155"/>
      <c r="G85" s="154"/>
      <c r="H85" s="108">
        <v>7</v>
      </c>
      <c r="I85" s="109"/>
      <c r="J85" s="110"/>
      <c r="K85" s="123" t="str">
        <f t="shared" si="20"/>
        <v/>
      </c>
      <c r="L85" s="110"/>
      <c r="M85" s="123" t="str">
        <f t="shared" si="21"/>
        <v/>
      </c>
      <c r="N85" s="110"/>
      <c r="O85" s="123" t="str">
        <f t="shared" si="22"/>
        <v/>
      </c>
      <c r="P85" s="105"/>
      <c r="Q85" s="124" t="str">
        <f t="shared" si="23"/>
        <v/>
      </c>
      <c r="R85" s="124" t="str">
        <f t="shared" si="24"/>
        <v/>
      </c>
      <c r="S85" s="109"/>
    </row>
    <row r="86" spans="2:19" x14ac:dyDescent="0.25">
      <c r="B86" s="152"/>
      <c r="C86" s="143"/>
      <c r="D86" s="143"/>
      <c r="E86" s="152"/>
      <c r="F86" s="153"/>
      <c r="G86" s="152"/>
      <c r="H86" s="90">
        <v>8</v>
      </c>
      <c r="I86" s="98"/>
      <c r="J86" s="99"/>
      <c r="K86" s="121" t="str">
        <f t="shared" si="20"/>
        <v/>
      </c>
      <c r="L86" s="99"/>
      <c r="M86" s="121" t="str">
        <f t="shared" si="21"/>
        <v/>
      </c>
      <c r="N86" s="99"/>
      <c r="O86" s="121" t="str">
        <f t="shared" si="22"/>
        <v/>
      </c>
      <c r="P86" s="91"/>
      <c r="Q86" s="122" t="str">
        <f t="shared" si="23"/>
        <v/>
      </c>
      <c r="R86" s="122" t="str">
        <f t="shared" si="24"/>
        <v/>
      </c>
      <c r="S86" s="98"/>
    </row>
    <row r="87" spans="2:19" x14ac:dyDescent="0.25">
      <c r="B87" s="156">
        <v>10</v>
      </c>
      <c r="C87" s="157" t="s">
        <v>53</v>
      </c>
      <c r="D87" s="157" t="s">
        <v>54</v>
      </c>
      <c r="E87" s="156" t="s">
        <v>183</v>
      </c>
      <c r="F87" s="158"/>
      <c r="G87" s="156" t="s">
        <v>276</v>
      </c>
      <c r="H87" s="159"/>
      <c r="I87" s="159"/>
      <c r="J87" s="113" t="str">
        <f>_xlfn.XLOOKUP(1,$K$88:$K$88,$I$88:$I$88, "-", 0)</f>
        <v>-</v>
      </c>
      <c r="K87" s="159"/>
      <c r="L87" s="113" t="str">
        <f>_xlfn.XLOOKUP(1,$M$88:$M$88,$I$88:$I$88, "-", 0)</f>
        <v>-</v>
      </c>
      <c r="M87" s="159"/>
      <c r="N87" s="113" t="str">
        <f>_xlfn.XLOOKUP(1,$O$88:$O$88,$I$88:$I$88, "-", 0)</f>
        <v>-</v>
      </c>
      <c r="O87" s="159"/>
      <c r="P87" s="114" t="str">
        <f>IF(COUNTIF($P$88:$P$88,"Yes")&gt;0,"Yes","")</f>
        <v/>
      </c>
      <c r="Q87" s="113">
        <f>SUM($Q$88:$Q$88)</f>
        <v>0</v>
      </c>
      <c r="R87" s="113" t="str">
        <f>IF($Q$87&gt;0,$F$87-$Q$87,"")</f>
        <v/>
      </c>
      <c r="S87" s="159"/>
    </row>
    <row r="88" spans="2:19" x14ac:dyDescent="0.25">
      <c r="B88" s="154"/>
      <c r="C88" s="142"/>
      <c r="D88" s="142"/>
      <c r="E88" s="154"/>
      <c r="F88" s="155"/>
      <c r="G88" s="154"/>
      <c r="H88" s="108">
        <v>1</v>
      </c>
      <c r="I88" s="109"/>
      <c r="J88" s="110"/>
      <c r="K88" s="123" t="str">
        <f>IF($J88="","",RANK(J88,$J$88:$J$88,1))</f>
        <v/>
      </c>
      <c r="L88" s="110"/>
      <c r="M88" s="123" t="str">
        <f>IF($L88="","",RANK(L88,$L$88:$L$88,1))</f>
        <v/>
      </c>
      <c r="N88" s="110"/>
      <c r="O88" s="123" t="str">
        <f>IF($N88="","",RANK(N88,$N$88:$N$88,1))</f>
        <v/>
      </c>
      <c r="P88" s="105"/>
      <c r="Q88" s="124" t="str">
        <f>IF($P88="Yes",IF($N88&gt;0,$N88,IF($L88&gt;0,$L88,IF($J88&gt;0,$J88,""))),"")</f>
        <v/>
      </c>
      <c r="R88" s="124" t="str">
        <f>IFERROR(IF(INT($Q88)&gt;0,$F$87-$Q88,""),"")</f>
        <v/>
      </c>
      <c r="S88" s="109"/>
    </row>
    <row r="89" spans="2:19" x14ac:dyDescent="0.25">
      <c r="B89" s="148">
        <v>11</v>
      </c>
      <c r="C89" s="149" t="s">
        <v>53</v>
      </c>
      <c r="D89" s="149" t="s">
        <v>55</v>
      </c>
      <c r="E89" s="148" t="s">
        <v>185</v>
      </c>
      <c r="F89" s="150"/>
      <c r="G89" s="148" t="s">
        <v>276</v>
      </c>
      <c r="H89" s="151"/>
      <c r="I89" s="151"/>
      <c r="J89" s="96" t="str">
        <f>_xlfn.XLOOKUP(1,$K$90:$K$91,$I$90:$I$91, "-", 0)</f>
        <v>-</v>
      </c>
      <c r="K89" s="151"/>
      <c r="L89" s="96" t="str">
        <f>_xlfn.XLOOKUP(1,$M$90:$M$91,$I$90:$I$91, "-", 0)</f>
        <v>-</v>
      </c>
      <c r="M89" s="151"/>
      <c r="N89" s="96" t="str">
        <f>_xlfn.XLOOKUP(1,$O$90:$O$91,$I$90:$I$91, "-", 0)</f>
        <v>-</v>
      </c>
      <c r="O89" s="151"/>
      <c r="P89" s="97" t="str">
        <f>IF(COUNTIF($P$90:$P$91,"Yes")&gt;0,"Yes","")</f>
        <v/>
      </c>
      <c r="Q89" s="96">
        <f>SUM($Q$90:$Q$91)</f>
        <v>0</v>
      </c>
      <c r="R89" s="96" t="str">
        <f>IF($Q$89&gt;0,$F$89-$Q$89,"")</f>
        <v/>
      </c>
      <c r="S89" s="151"/>
    </row>
    <row r="90" spans="2:19" x14ac:dyDescent="0.25">
      <c r="B90" s="152"/>
      <c r="C90" s="143"/>
      <c r="D90" s="143"/>
      <c r="E90" s="152"/>
      <c r="F90" s="153"/>
      <c r="G90" s="152"/>
      <c r="H90" s="90">
        <v>1</v>
      </c>
      <c r="I90" s="98"/>
      <c r="J90" s="99"/>
      <c r="K90" s="121" t="str">
        <f>IF($J90="","",RANK(J90,$J$90:$J$91,1))</f>
        <v/>
      </c>
      <c r="L90" s="99"/>
      <c r="M90" s="121" t="str">
        <f>IF($L90="","",RANK(L90,$L$90:$L$91,1))</f>
        <v/>
      </c>
      <c r="N90" s="99"/>
      <c r="O90" s="121" t="str">
        <f>IF($N90="","",RANK(N90,$N$90:$N$91,1))</f>
        <v/>
      </c>
      <c r="P90" s="91"/>
      <c r="Q90" s="122" t="str">
        <f>IF($P90="Yes",IF($N90&gt;0,$N90,IF($L90&gt;0,$L90,IF($J90&gt;0,$J90,""))),"")</f>
        <v/>
      </c>
      <c r="R90" s="122" t="str">
        <f>IFERROR(IF(INT($Q90)&gt;0,$F$89-$Q90,""),"")</f>
        <v/>
      </c>
      <c r="S90" s="98"/>
    </row>
    <row r="91" spans="2:19" x14ac:dyDescent="0.25">
      <c r="B91" s="154"/>
      <c r="C91" s="142"/>
      <c r="D91" s="142"/>
      <c r="E91" s="154"/>
      <c r="F91" s="155"/>
      <c r="G91" s="154"/>
      <c r="H91" s="108">
        <v>2</v>
      </c>
      <c r="I91" s="109"/>
      <c r="J91" s="110"/>
      <c r="K91" s="123" t="str">
        <f>IF($J91="","",RANK(J91,$J$90:$J$91,1))</f>
        <v/>
      </c>
      <c r="L91" s="110"/>
      <c r="M91" s="123" t="str">
        <f>IF($L91="","",RANK(L91,$L$90:$L$91,1))</f>
        <v/>
      </c>
      <c r="N91" s="110"/>
      <c r="O91" s="123" t="str">
        <f>IF($N91="","",RANK(N91,$N$90:$N$91,1))</f>
        <v/>
      </c>
      <c r="P91" s="105"/>
      <c r="Q91" s="124" t="str">
        <f>IF($P91="Yes",IF($N91&gt;0,$N91,IF($L91&gt;0,$L91,IF($J91&gt;0,$J91,""))),"")</f>
        <v/>
      </c>
      <c r="R91" s="124" t="str">
        <f>IFERROR(IF(INT($Q91)&gt;0,$F$89-$Q91,""),"")</f>
        <v/>
      </c>
      <c r="S91" s="109"/>
    </row>
    <row r="92" spans="2:19" x14ac:dyDescent="0.25">
      <c r="B92" s="148">
        <v>12</v>
      </c>
      <c r="C92" s="149" t="s">
        <v>53</v>
      </c>
      <c r="D92" s="149" t="s">
        <v>56</v>
      </c>
      <c r="E92" s="148" t="s">
        <v>185</v>
      </c>
      <c r="F92" s="150"/>
      <c r="G92" s="148" t="s">
        <v>276</v>
      </c>
      <c r="H92" s="151"/>
      <c r="I92" s="151"/>
      <c r="J92" s="96" t="str">
        <f>_xlfn.XLOOKUP(1,$K$93:$K$94,$I$93:$I$94, "-", 0)</f>
        <v>-</v>
      </c>
      <c r="K92" s="151"/>
      <c r="L92" s="96" t="str">
        <f>_xlfn.XLOOKUP(1,$M$93:$M$94,$I$93:$I$94, "-", 0)</f>
        <v>-</v>
      </c>
      <c r="M92" s="151"/>
      <c r="N92" s="96" t="str">
        <f>_xlfn.XLOOKUP(1,$O$93:$O$94,$I$93:$I$94, "-", 0)</f>
        <v>-</v>
      </c>
      <c r="O92" s="151"/>
      <c r="P92" s="97" t="str">
        <f>IF(COUNTIF($P$93:$P$94,"Yes")&gt;0,"Yes","")</f>
        <v/>
      </c>
      <c r="Q92" s="96">
        <f>SUM($Q$93:$Q$94)</f>
        <v>0</v>
      </c>
      <c r="R92" s="96" t="str">
        <f>IF($Q$92&gt;0,$F$92-$Q$92,"")</f>
        <v/>
      </c>
      <c r="S92" s="151"/>
    </row>
    <row r="93" spans="2:19" x14ac:dyDescent="0.25">
      <c r="B93" s="152"/>
      <c r="C93" s="143"/>
      <c r="D93" s="143"/>
      <c r="E93" s="152"/>
      <c r="F93" s="153"/>
      <c r="G93" s="152"/>
      <c r="H93" s="90">
        <v>1</v>
      </c>
      <c r="I93" s="98"/>
      <c r="J93" s="99"/>
      <c r="K93" s="121" t="str">
        <f>IF($J93="","",RANK(J93,$J$93:$J$94,1))</f>
        <v/>
      </c>
      <c r="L93" s="99"/>
      <c r="M93" s="121" t="str">
        <f>IF($L93="","",RANK(L93,$L$93:$L$94,1))</f>
        <v/>
      </c>
      <c r="N93" s="99"/>
      <c r="O93" s="121" t="str">
        <f>IF($N93="","",RANK(N93,$N$93:$N$94,1))</f>
        <v/>
      </c>
      <c r="P93" s="91"/>
      <c r="Q93" s="122" t="str">
        <f>IF($P93="Yes",IF($N93&gt;0,$N93,IF($L93&gt;0,$L93,IF($J93&gt;0,$J93,""))),"")</f>
        <v/>
      </c>
      <c r="R93" s="122" t="str">
        <f>IFERROR(IF(INT($Q93)&gt;0,$F$92-$Q93,""),"")</f>
        <v/>
      </c>
      <c r="S93" s="98"/>
    </row>
    <row r="94" spans="2:19" x14ac:dyDescent="0.25">
      <c r="B94" s="154"/>
      <c r="C94" s="142"/>
      <c r="D94" s="142"/>
      <c r="E94" s="154"/>
      <c r="F94" s="155"/>
      <c r="G94" s="154"/>
      <c r="H94" s="108">
        <v>2</v>
      </c>
      <c r="I94" s="109"/>
      <c r="J94" s="110"/>
      <c r="K94" s="123" t="str">
        <f>IF($J94="","",RANK(J94,$J$93:$J$94,1))</f>
        <v/>
      </c>
      <c r="L94" s="110"/>
      <c r="M94" s="123" t="str">
        <f>IF($L94="","",RANK(L94,$L$93:$L$94,1))</f>
        <v/>
      </c>
      <c r="N94" s="110"/>
      <c r="O94" s="123" t="str">
        <f>IF($N94="","",RANK(N94,$N$93:$N$94,1))</f>
        <v/>
      </c>
      <c r="P94" s="105"/>
      <c r="Q94" s="124" t="str">
        <f>IF($P94="Yes",IF($N94&gt;0,$N94,IF($L94&gt;0,$L94,IF($J94&gt;0,$J94,""))),"")</f>
        <v/>
      </c>
      <c r="R94" s="124" t="str">
        <f>IFERROR(IF(INT($Q94)&gt;0,$F$92-$Q94,""),"")</f>
        <v/>
      </c>
      <c r="S94" s="109"/>
    </row>
    <row r="95" spans="2:19" x14ac:dyDescent="0.25">
      <c r="B95" s="148">
        <v>13</v>
      </c>
      <c r="C95" s="149" t="s">
        <v>53</v>
      </c>
      <c r="D95" s="149" t="s">
        <v>57</v>
      </c>
      <c r="E95" s="148" t="s">
        <v>188</v>
      </c>
      <c r="F95" s="150">
        <v>147541597.74000001</v>
      </c>
      <c r="G95" s="148" t="s">
        <v>276</v>
      </c>
      <c r="H95" s="151"/>
      <c r="I95" s="151"/>
      <c r="J95" s="96" t="str">
        <f>_xlfn.XLOOKUP(1,$K$96:$K$103,$I$96:$I$103, "-", 0)</f>
        <v xml:space="preserve">Gulf Precast </v>
      </c>
      <c r="K95" s="151"/>
      <c r="L95" s="96" t="str">
        <f>_xlfn.XLOOKUP(1,$M$96:$M$103,$I$96:$I$103, "-", 0)</f>
        <v xml:space="preserve">Gulf Precast </v>
      </c>
      <c r="M95" s="151"/>
      <c r="N95" s="96" t="str">
        <f>_xlfn.XLOOKUP(1,$O$96:$O$103,$I$96:$I$103, "-", 0)</f>
        <v xml:space="preserve">Gulf Precast </v>
      </c>
      <c r="O95" s="151"/>
      <c r="P95" s="97" t="str">
        <f>IF(COUNTIF($P$96:$P$103,"Yes")&gt;0,"Yes","")</f>
        <v>Yes</v>
      </c>
      <c r="Q95" s="96">
        <f>SUM($Q$96:$Q$103)</f>
        <v>155390000</v>
      </c>
      <c r="R95" s="96">
        <f>IF($Q$95&gt;0,$F$95-$Q$95,"")</f>
        <v>-7848402.2599999905</v>
      </c>
      <c r="S95" s="151"/>
    </row>
    <row r="96" spans="2:19" x14ac:dyDescent="0.25">
      <c r="B96" s="152"/>
      <c r="C96" s="143"/>
      <c r="D96" s="143"/>
      <c r="E96" s="152"/>
      <c r="F96" s="153"/>
      <c r="G96" s="152"/>
      <c r="H96" s="90">
        <v>1</v>
      </c>
      <c r="I96" s="98" t="s">
        <v>287</v>
      </c>
      <c r="J96" s="99">
        <v>155390000</v>
      </c>
      <c r="K96" s="121">
        <f t="shared" ref="K96:K103" si="25">IF($J96="","",RANK(J96,$J$96:$J$103,1))</f>
        <v>1</v>
      </c>
      <c r="L96" s="99">
        <f>J96</f>
        <v>155390000</v>
      </c>
      <c r="M96" s="121">
        <f t="shared" ref="M96:M103" si="26">IF($L96="","",RANK(L96,$L$96:$L$103,1))</f>
        <v>1</v>
      </c>
      <c r="N96" s="99">
        <f>L96</f>
        <v>155390000</v>
      </c>
      <c r="O96" s="121">
        <f t="shared" ref="O96:O103" si="27">IF($N96="","",RANK(N96,$N$96:$N$103,1))</f>
        <v>1</v>
      </c>
      <c r="P96" s="91" t="s">
        <v>276</v>
      </c>
      <c r="Q96" s="122">
        <f t="shared" ref="Q96:Q103" si="28">IF($P96="Yes",IF($N96&gt;0,$N96,IF($L96&gt;0,$L96,IF($J96&gt;0,$J96,""))),"")</f>
        <v>155390000</v>
      </c>
      <c r="R96" s="122">
        <f t="shared" ref="R96:R103" si="29">IFERROR(IF(INT($Q96)&gt;0,$F$95-$Q96,""),"")</f>
        <v>-7848402.2599999905</v>
      </c>
      <c r="S96" s="98"/>
    </row>
    <row r="97" spans="2:19" x14ac:dyDescent="0.25">
      <c r="B97" s="152"/>
      <c r="C97" s="143"/>
      <c r="D97" s="143"/>
      <c r="E97" s="152"/>
      <c r="F97" s="153"/>
      <c r="G97" s="152"/>
      <c r="H97" s="90">
        <v>2</v>
      </c>
      <c r="I97" s="98"/>
      <c r="J97" s="99"/>
      <c r="K97" s="121" t="str">
        <f t="shared" si="25"/>
        <v/>
      </c>
      <c r="L97" s="99"/>
      <c r="M97" s="121" t="str">
        <f t="shared" si="26"/>
        <v/>
      </c>
      <c r="N97" s="99"/>
      <c r="O97" s="121" t="str">
        <f t="shared" si="27"/>
        <v/>
      </c>
      <c r="P97" s="91"/>
      <c r="Q97" s="122" t="str">
        <f t="shared" si="28"/>
        <v/>
      </c>
      <c r="R97" s="122" t="str">
        <f t="shared" si="29"/>
        <v/>
      </c>
      <c r="S97" s="98"/>
    </row>
    <row r="98" spans="2:19" x14ac:dyDescent="0.25">
      <c r="B98" s="152"/>
      <c r="C98" s="143"/>
      <c r="D98" s="143"/>
      <c r="E98" s="152"/>
      <c r="F98" s="153"/>
      <c r="G98" s="152"/>
      <c r="H98" s="90">
        <v>3</v>
      </c>
      <c r="I98" s="98"/>
      <c r="J98" s="99"/>
      <c r="K98" s="121" t="str">
        <f t="shared" si="25"/>
        <v/>
      </c>
      <c r="L98" s="99"/>
      <c r="M98" s="121" t="str">
        <f t="shared" si="26"/>
        <v/>
      </c>
      <c r="N98" s="99"/>
      <c r="O98" s="121" t="str">
        <f t="shared" si="27"/>
        <v/>
      </c>
      <c r="P98" s="91"/>
      <c r="Q98" s="122" t="str">
        <f t="shared" si="28"/>
        <v/>
      </c>
      <c r="R98" s="122" t="str">
        <f t="shared" si="29"/>
        <v/>
      </c>
      <c r="S98" s="98"/>
    </row>
    <row r="99" spans="2:19" x14ac:dyDescent="0.25">
      <c r="B99" s="152"/>
      <c r="C99" s="143"/>
      <c r="D99" s="143"/>
      <c r="E99" s="152"/>
      <c r="F99" s="153"/>
      <c r="G99" s="152"/>
      <c r="H99" s="90">
        <v>4</v>
      </c>
      <c r="I99" s="98"/>
      <c r="J99" s="99"/>
      <c r="K99" s="121" t="str">
        <f t="shared" si="25"/>
        <v/>
      </c>
      <c r="L99" s="99"/>
      <c r="M99" s="121" t="str">
        <f t="shared" si="26"/>
        <v/>
      </c>
      <c r="N99" s="99"/>
      <c r="O99" s="121" t="str">
        <f t="shared" si="27"/>
        <v/>
      </c>
      <c r="P99" s="91"/>
      <c r="Q99" s="122" t="str">
        <f t="shared" si="28"/>
        <v/>
      </c>
      <c r="R99" s="122" t="str">
        <f t="shared" si="29"/>
        <v/>
      </c>
      <c r="S99" s="98"/>
    </row>
    <row r="100" spans="2:19" x14ac:dyDescent="0.25">
      <c r="B100" s="152"/>
      <c r="C100" s="143"/>
      <c r="D100" s="143"/>
      <c r="E100" s="152"/>
      <c r="F100" s="153"/>
      <c r="G100" s="152"/>
      <c r="H100" s="90">
        <v>5</v>
      </c>
      <c r="I100" s="98"/>
      <c r="J100" s="99"/>
      <c r="K100" s="121" t="str">
        <f t="shared" si="25"/>
        <v/>
      </c>
      <c r="L100" s="99"/>
      <c r="M100" s="121" t="str">
        <f t="shared" si="26"/>
        <v/>
      </c>
      <c r="N100" s="99"/>
      <c r="O100" s="121" t="str">
        <f t="shared" si="27"/>
        <v/>
      </c>
      <c r="P100" s="91"/>
      <c r="Q100" s="122" t="str">
        <f t="shared" si="28"/>
        <v/>
      </c>
      <c r="R100" s="122" t="str">
        <f t="shared" si="29"/>
        <v/>
      </c>
      <c r="S100" s="98"/>
    </row>
    <row r="101" spans="2:19" x14ac:dyDescent="0.25">
      <c r="B101" s="152"/>
      <c r="C101" s="143"/>
      <c r="D101" s="143"/>
      <c r="E101" s="152"/>
      <c r="F101" s="153"/>
      <c r="G101" s="152"/>
      <c r="H101" s="90">
        <v>6</v>
      </c>
      <c r="I101" s="98"/>
      <c r="J101" s="99"/>
      <c r="K101" s="121" t="str">
        <f t="shared" si="25"/>
        <v/>
      </c>
      <c r="L101" s="99"/>
      <c r="M101" s="121" t="str">
        <f t="shared" si="26"/>
        <v/>
      </c>
      <c r="N101" s="99"/>
      <c r="O101" s="121" t="str">
        <f t="shared" si="27"/>
        <v/>
      </c>
      <c r="P101" s="91"/>
      <c r="Q101" s="122" t="str">
        <f t="shared" si="28"/>
        <v/>
      </c>
      <c r="R101" s="122" t="str">
        <f t="shared" si="29"/>
        <v/>
      </c>
      <c r="S101" s="98"/>
    </row>
    <row r="102" spans="2:19" x14ac:dyDescent="0.25">
      <c r="B102" s="152"/>
      <c r="C102" s="143"/>
      <c r="D102" s="143"/>
      <c r="E102" s="152"/>
      <c r="F102" s="153"/>
      <c r="G102" s="152"/>
      <c r="H102" s="90">
        <v>7</v>
      </c>
      <c r="I102" s="98"/>
      <c r="J102" s="99"/>
      <c r="K102" s="121" t="str">
        <f t="shared" si="25"/>
        <v/>
      </c>
      <c r="L102" s="99"/>
      <c r="M102" s="121" t="str">
        <f t="shared" si="26"/>
        <v/>
      </c>
      <c r="N102" s="99"/>
      <c r="O102" s="121" t="str">
        <f t="shared" si="27"/>
        <v/>
      </c>
      <c r="P102" s="91"/>
      <c r="Q102" s="122" t="str">
        <f t="shared" si="28"/>
        <v/>
      </c>
      <c r="R102" s="122" t="str">
        <f t="shared" si="29"/>
        <v/>
      </c>
      <c r="S102" s="98"/>
    </row>
    <row r="103" spans="2:19" x14ac:dyDescent="0.25">
      <c r="B103" s="154"/>
      <c r="C103" s="142"/>
      <c r="D103" s="142"/>
      <c r="E103" s="154"/>
      <c r="F103" s="155"/>
      <c r="G103" s="154"/>
      <c r="H103" s="108">
        <v>8</v>
      </c>
      <c r="I103" s="109"/>
      <c r="J103" s="110"/>
      <c r="K103" s="123" t="str">
        <f t="shared" si="25"/>
        <v/>
      </c>
      <c r="L103" s="110"/>
      <c r="M103" s="123" t="str">
        <f t="shared" si="26"/>
        <v/>
      </c>
      <c r="N103" s="110"/>
      <c r="O103" s="123" t="str">
        <f t="shared" si="27"/>
        <v/>
      </c>
      <c r="P103" s="105"/>
      <c r="Q103" s="124" t="str">
        <f t="shared" si="28"/>
        <v/>
      </c>
      <c r="R103" s="124" t="str">
        <f t="shared" si="29"/>
        <v/>
      </c>
      <c r="S103" s="109"/>
    </row>
    <row r="104" spans="2:19" x14ac:dyDescent="0.25">
      <c r="B104" s="148">
        <v>14</v>
      </c>
      <c r="C104" s="149" t="s">
        <v>44</v>
      </c>
      <c r="D104" s="149" t="s">
        <v>58</v>
      </c>
      <c r="E104" s="148" t="s">
        <v>190</v>
      </c>
      <c r="F104" s="150">
        <v>332557.34000000003</v>
      </c>
      <c r="G104" s="148" t="s">
        <v>276</v>
      </c>
      <c r="H104" s="151"/>
      <c r="I104" s="151"/>
      <c r="J104" s="96" t="str">
        <f>_xlfn.XLOOKUP(1,$K$105:$K$105,$I$105:$I$105, "-", 0)</f>
        <v xml:space="preserve">Wipe Out </v>
      </c>
      <c r="K104" s="151"/>
      <c r="L104" s="96" t="str">
        <f>_xlfn.XLOOKUP(1,$M$105:$M$105,$I$105:$I$105, "-", 0)</f>
        <v xml:space="preserve">Wipe Out </v>
      </c>
      <c r="M104" s="151"/>
      <c r="N104" s="96" t="str">
        <f>_xlfn.XLOOKUP(1,$O$105:$O$105,$I$105:$I$105, "-", 0)</f>
        <v xml:space="preserve">Wipe Out </v>
      </c>
      <c r="O104" s="151"/>
      <c r="P104" s="97" t="str">
        <f>IF(COUNTIF($P$105:$P$105,"Yes")&gt;0,"Yes","")</f>
        <v>Yes</v>
      </c>
      <c r="Q104" s="96">
        <f>SUM($Q$105:$Q$105)</f>
        <v>193612.15</v>
      </c>
      <c r="R104" s="96">
        <f>IF($Q$104&gt;0,$F$104-$Q$104,"")</f>
        <v>138945.19000000003</v>
      </c>
      <c r="S104" s="151"/>
    </row>
    <row r="105" spans="2:19" x14ac:dyDescent="0.25">
      <c r="B105" s="154"/>
      <c r="C105" s="142"/>
      <c r="D105" s="142"/>
      <c r="E105" s="154"/>
      <c r="F105" s="155"/>
      <c r="G105" s="154"/>
      <c r="H105" s="108">
        <v>1</v>
      </c>
      <c r="I105" s="109" t="s">
        <v>288</v>
      </c>
      <c r="J105" s="110">
        <v>193612.15</v>
      </c>
      <c r="K105" s="123">
        <f>IF($J105="","",RANK(J105,$J$105:$J$105,1))</f>
        <v>1</v>
      </c>
      <c r="L105" s="110">
        <f>J105</f>
        <v>193612.15</v>
      </c>
      <c r="M105" s="123">
        <f>IF($L105="","",RANK(L105,$L$105:$L$105,1))</f>
        <v>1</v>
      </c>
      <c r="N105" s="110">
        <f>L105</f>
        <v>193612.15</v>
      </c>
      <c r="O105" s="123">
        <f>IF($N105="","",RANK(N105,$N$105:$N$105,1))</f>
        <v>1</v>
      </c>
      <c r="P105" s="105" t="s">
        <v>276</v>
      </c>
      <c r="Q105" s="124">
        <f>IF($P105="Yes",IF($N105&gt;0,$N105,IF($L105&gt;0,$L105,IF($J105&gt;0,$J105,""))),"")</f>
        <v>193612.15</v>
      </c>
      <c r="R105" s="124">
        <f>IFERROR(IF(INT($Q105)&gt;0,$F$104-$Q105,""),"")</f>
        <v>138945.19000000003</v>
      </c>
      <c r="S105" s="109"/>
    </row>
    <row r="106" spans="2:19" x14ac:dyDescent="0.25">
      <c r="B106" s="148">
        <v>15</v>
      </c>
      <c r="C106" s="149" t="s">
        <v>44</v>
      </c>
      <c r="D106" s="149" t="s">
        <v>59</v>
      </c>
      <c r="E106" s="148" t="s">
        <v>192</v>
      </c>
      <c r="F106" s="150"/>
      <c r="G106" s="148"/>
      <c r="H106" s="151"/>
      <c r="I106" s="151"/>
      <c r="J106" s="96" t="str">
        <f>_xlfn.XLOOKUP(1,$K$107:$K$111,$I$107:$I$111, "-", 0)</f>
        <v>-</v>
      </c>
      <c r="K106" s="151"/>
      <c r="L106" s="96" t="str">
        <f>_xlfn.XLOOKUP(1,$M$107:$M$111,$I$107:$I$111, "-", 0)</f>
        <v>-</v>
      </c>
      <c r="M106" s="151"/>
      <c r="N106" s="96" t="str">
        <f>_xlfn.XLOOKUP(1,$O$107:$O$111,$I$107:$I$111, "-", 0)</f>
        <v>-</v>
      </c>
      <c r="O106" s="151"/>
      <c r="P106" s="97" t="str">
        <f>IF(COUNTIF($P$107:$P$111,"Yes")&gt;0,"Yes","")</f>
        <v/>
      </c>
      <c r="Q106" s="96">
        <f>SUM($Q$107:$Q$111)</f>
        <v>0</v>
      </c>
      <c r="R106" s="96" t="str">
        <f>IF($Q$106&gt;0,$F$106-$Q$106,"")</f>
        <v/>
      </c>
      <c r="S106" s="151"/>
    </row>
    <row r="107" spans="2:19" x14ac:dyDescent="0.25">
      <c r="B107" s="152"/>
      <c r="C107" s="143"/>
      <c r="D107" s="143"/>
      <c r="E107" s="152"/>
      <c r="F107" s="153"/>
      <c r="G107" s="152"/>
      <c r="H107" s="90">
        <v>1</v>
      </c>
      <c r="I107" s="98"/>
      <c r="J107" s="99"/>
      <c r="K107" s="121" t="str">
        <f>IF($J107="","",RANK(J107,$J$107:$J$111,1))</f>
        <v/>
      </c>
      <c r="L107" s="99"/>
      <c r="M107" s="121" t="str">
        <f>IF($L107="","",RANK(L107,$L$107:$L$111,1))</f>
        <v/>
      </c>
      <c r="N107" s="99"/>
      <c r="O107" s="121" t="str">
        <f>IF($N107="","",RANK(N107,$N$107:$N$111,1))</f>
        <v/>
      </c>
      <c r="P107" s="91"/>
      <c r="Q107" s="122" t="str">
        <f>IF($P107="Yes",IF($N107&gt;0,$N107,IF($L107&gt;0,$L107,IF($J107&gt;0,$J107,""))),"")</f>
        <v/>
      </c>
      <c r="R107" s="122" t="str">
        <f>IFERROR(IF(INT($Q107)&gt;0,$F$106-$Q107,""),"")</f>
        <v/>
      </c>
      <c r="S107" s="98"/>
    </row>
    <row r="108" spans="2:19" x14ac:dyDescent="0.25">
      <c r="B108" s="152"/>
      <c r="C108" s="143"/>
      <c r="D108" s="143"/>
      <c r="E108" s="152"/>
      <c r="F108" s="153"/>
      <c r="G108" s="152"/>
      <c r="H108" s="90">
        <v>2</v>
      </c>
      <c r="I108" s="98"/>
      <c r="J108" s="99"/>
      <c r="K108" s="121" t="str">
        <f>IF($J108="","",RANK(J108,$J$107:$J$111,1))</f>
        <v/>
      </c>
      <c r="L108" s="99"/>
      <c r="M108" s="121" t="str">
        <f>IF($L108="","",RANK(L108,$L$107:$L$111,1))</f>
        <v/>
      </c>
      <c r="N108" s="99"/>
      <c r="O108" s="121" t="str">
        <f>IF($N108="","",RANK(N108,$N$107:$N$111,1))</f>
        <v/>
      </c>
      <c r="P108" s="91"/>
      <c r="Q108" s="122" t="str">
        <f>IF($P108="Yes",IF($N108&gt;0,$N108,IF($L108&gt;0,$L108,IF($J108&gt;0,$J108,""))),"")</f>
        <v/>
      </c>
      <c r="R108" s="122" t="str">
        <f>IFERROR(IF(INT($Q108)&gt;0,$F$106-$Q108,""),"")</f>
        <v/>
      </c>
      <c r="S108" s="98"/>
    </row>
    <row r="109" spans="2:19" x14ac:dyDescent="0.25">
      <c r="B109" s="152"/>
      <c r="C109" s="143"/>
      <c r="D109" s="143"/>
      <c r="E109" s="152"/>
      <c r="F109" s="153"/>
      <c r="G109" s="152"/>
      <c r="H109" s="90">
        <v>3</v>
      </c>
      <c r="I109" s="98"/>
      <c r="J109" s="99"/>
      <c r="K109" s="121" t="str">
        <f>IF($J109="","",RANK(J109,$J$107:$J$111,1))</f>
        <v/>
      </c>
      <c r="L109" s="99"/>
      <c r="M109" s="121" t="str">
        <f>IF($L109="","",RANK(L109,$L$107:$L$111,1))</f>
        <v/>
      </c>
      <c r="N109" s="99"/>
      <c r="O109" s="121" t="str">
        <f>IF($N109="","",RANK(N109,$N$107:$N$111,1))</f>
        <v/>
      </c>
      <c r="P109" s="91"/>
      <c r="Q109" s="122" t="str">
        <f>IF($P109="Yes",IF($N109&gt;0,$N109,IF($L109&gt;0,$L109,IF($J109&gt;0,$J109,""))),"")</f>
        <v/>
      </c>
      <c r="R109" s="122" t="str">
        <f>IFERROR(IF(INT($Q109)&gt;0,$F$106-$Q109,""),"")</f>
        <v/>
      </c>
      <c r="S109" s="98"/>
    </row>
    <row r="110" spans="2:19" x14ac:dyDescent="0.25">
      <c r="B110" s="152"/>
      <c r="C110" s="143"/>
      <c r="D110" s="143"/>
      <c r="E110" s="152"/>
      <c r="F110" s="153"/>
      <c r="G110" s="152"/>
      <c r="H110" s="90">
        <v>4</v>
      </c>
      <c r="I110" s="98"/>
      <c r="J110" s="99"/>
      <c r="K110" s="121" t="str">
        <f>IF($J110="","",RANK(J110,$J$107:$J$111,1))</f>
        <v/>
      </c>
      <c r="L110" s="99"/>
      <c r="M110" s="121" t="str">
        <f>IF($L110="","",RANK(L110,$L$107:$L$111,1))</f>
        <v/>
      </c>
      <c r="N110" s="99"/>
      <c r="O110" s="121" t="str">
        <f>IF($N110="","",RANK(N110,$N$107:$N$111,1))</f>
        <v/>
      </c>
      <c r="P110" s="91"/>
      <c r="Q110" s="122" t="str">
        <f>IF($P110="Yes",IF($N110&gt;0,$N110,IF($L110&gt;0,$L110,IF($J110&gt;0,$J110,""))),"")</f>
        <v/>
      </c>
      <c r="R110" s="122" t="str">
        <f>IFERROR(IF(INT($Q110)&gt;0,$F$106-$Q110,""),"")</f>
        <v/>
      </c>
      <c r="S110" s="98"/>
    </row>
    <row r="111" spans="2:19" x14ac:dyDescent="0.25">
      <c r="B111" s="154"/>
      <c r="C111" s="142"/>
      <c r="D111" s="142"/>
      <c r="E111" s="154"/>
      <c r="F111" s="155"/>
      <c r="G111" s="154"/>
      <c r="H111" s="108">
        <v>5</v>
      </c>
      <c r="I111" s="109"/>
      <c r="J111" s="110"/>
      <c r="K111" s="123" t="str">
        <f>IF($J111="","",RANK(J111,$J$107:$J$111,1))</f>
        <v/>
      </c>
      <c r="L111" s="110"/>
      <c r="M111" s="123" t="str">
        <f>IF($L111="","",RANK(L111,$L$107:$L$111,1))</f>
        <v/>
      </c>
      <c r="N111" s="110"/>
      <c r="O111" s="123" t="str">
        <f>IF($N111="","",RANK(N111,$N$107:$N$111,1))</f>
        <v/>
      </c>
      <c r="P111" s="105"/>
      <c r="Q111" s="124" t="str">
        <f>IF($P111="Yes",IF($N111&gt;0,$N111,IF($L111&gt;0,$L111,IF($J111&gt;0,$J111,""))),"")</f>
        <v/>
      </c>
      <c r="R111" s="124" t="str">
        <f>IFERROR(IF(INT($Q111)&gt;0,$F$106-$Q111,""),"")</f>
        <v/>
      </c>
      <c r="S111" s="109"/>
    </row>
    <row r="112" spans="2:19" x14ac:dyDescent="0.25">
      <c r="B112" s="148">
        <v>16</v>
      </c>
      <c r="C112" s="149" t="s">
        <v>44</v>
      </c>
      <c r="D112" s="149" t="s">
        <v>60</v>
      </c>
      <c r="E112" s="148" t="s">
        <v>194</v>
      </c>
      <c r="F112" s="150"/>
      <c r="G112" s="148"/>
      <c r="H112" s="151"/>
      <c r="I112" s="151"/>
      <c r="J112" s="96" t="str">
        <f>_xlfn.XLOOKUP(1,$K$113:$K$118,$I$113:$I$118, "-", 0)</f>
        <v>-</v>
      </c>
      <c r="K112" s="151"/>
      <c r="L112" s="96" t="str">
        <f>_xlfn.XLOOKUP(1,$M$113:$M$118,$I$113:$I$118, "-", 0)</f>
        <v>-</v>
      </c>
      <c r="M112" s="151"/>
      <c r="N112" s="96" t="str">
        <f>_xlfn.XLOOKUP(1,$O$113:$O$118,$I$113:$I$118, "-", 0)</f>
        <v>-</v>
      </c>
      <c r="O112" s="151"/>
      <c r="P112" s="97" t="str">
        <f>IF(COUNTIF($P$113:$P$118,"Yes")&gt;0,"Yes","")</f>
        <v/>
      </c>
      <c r="Q112" s="96">
        <f>SUM($Q$113:$Q$118)</f>
        <v>0</v>
      </c>
      <c r="R112" s="96" t="str">
        <f>IF($Q$112&gt;0,$F$112-$Q$112,"")</f>
        <v/>
      </c>
      <c r="S112" s="151"/>
    </row>
    <row r="113" spans="2:19" x14ac:dyDescent="0.25">
      <c r="B113" s="152"/>
      <c r="C113" s="143"/>
      <c r="D113" s="143"/>
      <c r="E113" s="152"/>
      <c r="F113" s="153"/>
      <c r="G113" s="152"/>
      <c r="H113" s="90">
        <v>1</v>
      </c>
      <c r="I113" s="98"/>
      <c r="J113" s="99"/>
      <c r="K113" s="121" t="str">
        <f t="shared" ref="K113:K118" si="30">IF($J113="","",RANK(J113,$J$113:$J$118,1))</f>
        <v/>
      </c>
      <c r="L113" s="99"/>
      <c r="M113" s="121" t="str">
        <f t="shared" ref="M113:M118" si="31">IF($L113="","",RANK(L113,$L$113:$L$118,1))</f>
        <v/>
      </c>
      <c r="N113" s="99"/>
      <c r="O113" s="121" t="str">
        <f t="shared" ref="O113:O118" si="32">IF($N113="","",RANK(N113,$N$113:$N$118,1))</f>
        <v/>
      </c>
      <c r="P113" s="91"/>
      <c r="Q113" s="122" t="str">
        <f t="shared" ref="Q113:Q118" si="33">IF($P113="Yes",IF($N113&gt;0,$N113,IF($L113&gt;0,$L113,IF($J113&gt;0,$J113,""))),"")</f>
        <v/>
      </c>
      <c r="R113" s="122" t="str">
        <f t="shared" ref="R113:R118" si="34">IFERROR(IF(INT($Q113)&gt;0,$F$112-$Q113,""),"")</f>
        <v/>
      </c>
      <c r="S113" s="98"/>
    </row>
    <row r="114" spans="2:19" x14ac:dyDescent="0.25">
      <c r="B114" s="152"/>
      <c r="C114" s="143"/>
      <c r="D114" s="143"/>
      <c r="E114" s="152"/>
      <c r="F114" s="153"/>
      <c r="G114" s="152"/>
      <c r="H114" s="90">
        <v>2</v>
      </c>
      <c r="I114" s="98"/>
      <c r="J114" s="99"/>
      <c r="K114" s="121" t="str">
        <f t="shared" si="30"/>
        <v/>
      </c>
      <c r="L114" s="99"/>
      <c r="M114" s="121" t="str">
        <f t="shared" si="31"/>
        <v/>
      </c>
      <c r="N114" s="99"/>
      <c r="O114" s="121" t="str">
        <f t="shared" si="32"/>
        <v/>
      </c>
      <c r="P114" s="91"/>
      <c r="Q114" s="122" t="str">
        <f t="shared" si="33"/>
        <v/>
      </c>
      <c r="R114" s="122" t="str">
        <f t="shared" si="34"/>
        <v/>
      </c>
      <c r="S114" s="98"/>
    </row>
    <row r="115" spans="2:19" x14ac:dyDescent="0.25">
      <c r="B115" s="152"/>
      <c r="C115" s="143"/>
      <c r="D115" s="143"/>
      <c r="E115" s="152"/>
      <c r="F115" s="153"/>
      <c r="G115" s="152"/>
      <c r="H115" s="90">
        <v>3</v>
      </c>
      <c r="I115" s="98"/>
      <c r="J115" s="99"/>
      <c r="K115" s="121" t="str">
        <f t="shared" si="30"/>
        <v/>
      </c>
      <c r="L115" s="99"/>
      <c r="M115" s="121" t="str">
        <f t="shared" si="31"/>
        <v/>
      </c>
      <c r="N115" s="99"/>
      <c r="O115" s="121" t="str">
        <f t="shared" si="32"/>
        <v/>
      </c>
      <c r="P115" s="91"/>
      <c r="Q115" s="122" t="str">
        <f t="shared" si="33"/>
        <v/>
      </c>
      <c r="R115" s="122" t="str">
        <f t="shared" si="34"/>
        <v/>
      </c>
      <c r="S115" s="98"/>
    </row>
    <row r="116" spans="2:19" x14ac:dyDescent="0.25">
      <c r="B116" s="152"/>
      <c r="C116" s="143"/>
      <c r="D116" s="143"/>
      <c r="E116" s="152"/>
      <c r="F116" s="153"/>
      <c r="G116" s="152"/>
      <c r="H116" s="90">
        <v>4</v>
      </c>
      <c r="I116" s="98"/>
      <c r="J116" s="99"/>
      <c r="K116" s="121" t="str">
        <f t="shared" si="30"/>
        <v/>
      </c>
      <c r="L116" s="99"/>
      <c r="M116" s="121" t="str">
        <f t="shared" si="31"/>
        <v/>
      </c>
      <c r="N116" s="99"/>
      <c r="O116" s="121" t="str">
        <f t="shared" si="32"/>
        <v/>
      </c>
      <c r="P116" s="91"/>
      <c r="Q116" s="122" t="str">
        <f t="shared" si="33"/>
        <v/>
      </c>
      <c r="R116" s="122" t="str">
        <f t="shared" si="34"/>
        <v/>
      </c>
      <c r="S116" s="98"/>
    </row>
    <row r="117" spans="2:19" x14ac:dyDescent="0.25">
      <c r="B117" s="154"/>
      <c r="C117" s="142"/>
      <c r="D117" s="142"/>
      <c r="E117" s="154"/>
      <c r="F117" s="155"/>
      <c r="G117" s="154"/>
      <c r="H117" s="108">
        <v>5</v>
      </c>
      <c r="I117" s="109"/>
      <c r="J117" s="110"/>
      <c r="K117" s="123" t="str">
        <f t="shared" si="30"/>
        <v/>
      </c>
      <c r="L117" s="110"/>
      <c r="M117" s="123" t="str">
        <f t="shared" si="31"/>
        <v/>
      </c>
      <c r="N117" s="110"/>
      <c r="O117" s="123" t="str">
        <f t="shared" si="32"/>
        <v/>
      </c>
      <c r="P117" s="105"/>
      <c r="Q117" s="124" t="str">
        <f t="shared" si="33"/>
        <v/>
      </c>
      <c r="R117" s="124" t="str">
        <f t="shared" si="34"/>
        <v/>
      </c>
      <c r="S117" s="109"/>
    </row>
    <row r="118" spans="2:19" x14ac:dyDescent="0.25">
      <c r="B118" s="152"/>
      <c r="C118" s="143"/>
      <c r="D118" s="143"/>
      <c r="E118" s="152"/>
      <c r="F118" s="153"/>
      <c r="G118" s="152"/>
      <c r="H118" s="90">
        <v>6</v>
      </c>
      <c r="I118" s="98"/>
      <c r="J118" s="99"/>
      <c r="K118" s="121" t="str">
        <f t="shared" si="30"/>
        <v/>
      </c>
      <c r="L118" s="99"/>
      <c r="M118" s="121" t="str">
        <f t="shared" si="31"/>
        <v/>
      </c>
      <c r="N118" s="99"/>
      <c r="O118" s="121" t="str">
        <f t="shared" si="32"/>
        <v/>
      </c>
      <c r="P118" s="91"/>
      <c r="Q118" s="122" t="str">
        <f t="shared" si="33"/>
        <v/>
      </c>
      <c r="R118" s="122" t="str">
        <f t="shared" si="34"/>
        <v/>
      </c>
      <c r="S118" s="98"/>
    </row>
    <row r="119" spans="2:19" x14ac:dyDescent="0.25">
      <c r="B119" s="156">
        <v>19</v>
      </c>
      <c r="C119" s="157" t="s">
        <v>53</v>
      </c>
      <c r="D119" s="157" t="s">
        <v>61</v>
      </c>
      <c r="E119" s="156" t="s">
        <v>197</v>
      </c>
      <c r="F119" s="158">
        <v>5886509.5599999996</v>
      </c>
      <c r="G119" s="156"/>
      <c r="H119" s="159"/>
      <c r="I119" s="159"/>
      <c r="J119" s="113" t="str">
        <f>_xlfn.XLOOKUP(1,$K$120:$K$127,$I$120:$I$127, "-", 0)</f>
        <v>RMB</v>
      </c>
      <c r="K119" s="159"/>
      <c r="L119" s="113" t="str">
        <f>_xlfn.XLOOKUP(1,$M$120:$M$127,$I$120:$I$127, "-", 0)</f>
        <v>RMB</v>
      </c>
      <c r="M119" s="159"/>
      <c r="N119" s="113" t="str">
        <f>_xlfn.XLOOKUP(1,$O$120:$O$127,$I$120:$I$127, "-", 0)</f>
        <v>RMB</v>
      </c>
      <c r="O119" s="159"/>
      <c r="P119" s="114" t="str">
        <f>IF(COUNTIF($P$120:$P$127,"Yes")&gt;0,"Yes","")</f>
        <v>Yes</v>
      </c>
      <c r="Q119" s="113">
        <f>SUM($Q$120:$Q$127)</f>
        <v>5717389.3200000003</v>
      </c>
      <c r="R119" s="113">
        <f>IF($Q$119&gt;0,$F$119-$Q$119,"")</f>
        <v>169120.23999999929</v>
      </c>
      <c r="S119" s="159"/>
    </row>
    <row r="120" spans="2:19" x14ac:dyDescent="0.25">
      <c r="B120" s="152"/>
      <c r="C120" s="143"/>
      <c r="D120" s="143"/>
      <c r="E120" s="152"/>
      <c r="F120" s="153"/>
      <c r="G120" s="152"/>
      <c r="H120" s="90">
        <v>1</v>
      </c>
      <c r="I120" s="98" t="s">
        <v>289</v>
      </c>
      <c r="J120" s="99">
        <v>5717389.3200000003</v>
      </c>
      <c r="K120" s="121">
        <f t="shared" ref="K120:K127" si="35">IF($J120="","",RANK(J120,$J$120:$J$127,1))</f>
        <v>1</v>
      </c>
      <c r="L120" s="99">
        <f>J120</f>
        <v>5717389.3200000003</v>
      </c>
      <c r="M120" s="121">
        <f t="shared" ref="M120:M127" si="36">IF($L120="","",RANK(L120,$L$120:$L$127,1))</f>
        <v>1</v>
      </c>
      <c r="N120" s="99">
        <f>L120</f>
        <v>5717389.3200000003</v>
      </c>
      <c r="O120" s="121">
        <f t="shared" ref="O120:O127" si="37">IF($N120="","",RANK(N120,$N$120:$N$127,1))</f>
        <v>1</v>
      </c>
      <c r="P120" s="91" t="s">
        <v>276</v>
      </c>
      <c r="Q120" s="122">
        <f t="shared" ref="Q120:Q129" si="38">IF($P120="Yes",IF($N120&gt;0,$N120,IF($L120&gt;0,$L120,IF($J120&gt;0,$J120,""))),"")</f>
        <v>5717389.3200000003</v>
      </c>
      <c r="R120" s="122">
        <f t="shared" ref="R120:R127" si="39">IFERROR(IF(INT($Q120)&gt;0,$F$119-$Q120,""),"")</f>
        <v>169120.23999999929</v>
      </c>
      <c r="S120" s="98"/>
    </row>
    <row r="121" spans="2:19" x14ac:dyDescent="0.25">
      <c r="B121" s="152"/>
      <c r="C121" s="143"/>
      <c r="D121" s="143"/>
      <c r="E121" s="152"/>
      <c r="F121" s="153"/>
      <c r="G121" s="152"/>
      <c r="H121" s="90">
        <v>2</v>
      </c>
      <c r="I121" s="98"/>
      <c r="J121" s="99"/>
      <c r="K121" s="121" t="str">
        <f t="shared" si="35"/>
        <v/>
      </c>
      <c r="L121" s="99"/>
      <c r="M121" s="121" t="str">
        <f t="shared" si="36"/>
        <v/>
      </c>
      <c r="N121" s="99"/>
      <c r="O121" s="121" t="str">
        <f t="shared" si="37"/>
        <v/>
      </c>
      <c r="P121" s="91"/>
      <c r="Q121" s="122" t="str">
        <f t="shared" si="38"/>
        <v/>
      </c>
      <c r="R121" s="122" t="str">
        <f t="shared" si="39"/>
        <v/>
      </c>
      <c r="S121" s="98"/>
    </row>
    <row r="122" spans="2:19" x14ac:dyDescent="0.25">
      <c r="B122" s="152"/>
      <c r="C122" s="143"/>
      <c r="D122" s="143"/>
      <c r="E122" s="152"/>
      <c r="F122" s="153"/>
      <c r="G122" s="152"/>
      <c r="H122" s="90">
        <v>3</v>
      </c>
      <c r="I122" s="98"/>
      <c r="J122" s="99"/>
      <c r="K122" s="121" t="str">
        <f t="shared" si="35"/>
        <v/>
      </c>
      <c r="L122" s="99"/>
      <c r="M122" s="121" t="str">
        <f t="shared" si="36"/>
        <v/>
      </c>
      <c r="N122" s="99"/>
      <c r="O122" s="121" t="str">
        <f t="shared" si="37"/>
        <v/>
      </c>
      <c r="P122" s="91"/>
      <c r="Q122" s="122" t="str">
        <f t="shared" si="38"/>
        <v/>
      </c>
      <c r="R122" s="122" t="str">
        <f t="shared" si="39"/>
        <v/>
      </c>
      <c r="S122" s="98"/>
    </row>
    <row r="123" spans="2:19" x14ac:dyDescent="0.25">
      <c r="B123" s="152"/>
      <c r="C123" s="143"/>
      <c r="D123" s="143"/>
      <c r="E123" s="152"/>
      <c r="F123" s="153"/>
      <c r="G123" s="152"/>
      <c r="H123" s="90">
        <v>4</v>
      </c>
      <c r="I123" s="98"/>
      <c r="J123" s="99"/>
      <c r="K123" s="121" t="str">
        <f t="shared" si="35"/>
        <v/>
      </c>
      <c r="L123" s="99"/>
      <c r="M123" s="121" t="str">
        <f t="shared" si="36"/>
        <v/>
      </c>
      <c r="N123" s="99"/>
      <c r="O123" s="121" t="str">
        <f t="shared" si="37"/>
        <v/>
      </c>
      <c r="P123" s="91"/>
      <c r="Q123" s="122" t="str">
        <f t="shared" si="38"/>
        <v/>
      </c>
      <c r="R123" s="122" t="str">
        <f t="shared" si="39"/>
        <v/>
      </c>
      <c r="S123" s="98"/>
    </row>
    <row r="124" spans="2:19" x14ac:dyDescent="0.25">
      <c r="B124" s="152"/>
      <c r="C124" s="143"/>
      <c r="D124" s="143"/>
      <c r="E124" s="152"/>
      <c r="F124" s="153"/>
      <c r="G124" s="152"/>
      <c r="H124" s="90">
        <v>5</v>
      </c>
      <c r="I124" s="98"/>
      <c r="J124" s="99"/>
      <c r="K124" s="121" t="str">
        <f t="shared" si="35"/>
        <v/>
      </c>
      <c r="L124" s="99"/>
      <c r="M124" s="121" t="str">
        <f t="shared" si="36"/>
        <v/>
      </c>
      <c r="N124" s="99"/>
      <c r="O124" s="121" t="str">
        <f t="shared" si="37"/>
        <v/>
      </c>
      <c r="P124" s="91"/>
      <c r="Q124" s="122" t="str">
        <f t="shared" si="38"/>
        <v/>
      </c>
      <c r="R124" s="122" t="str">
        <f t="shared" si="39"/>
        <v/>
      </c>
      <c r="S124" s="98"/>
    </row>
    <row r="125" spans="2:19" x14ac:dyDescent="0.25">
      <c r="B125" s="152"/>
      <c r="C125" s="143"/>
      <c r="D125" s="143"/>
      <c r="E125" s="152"/>
      <c r="F125" s="153"/>
      <c r="G125" s="152"/>
      <c r="H125" s="90">
        <v>6</v>
      </c>
      <c r="I125" s="98"/>
      <c r="J125" s="99"/>
      <c r="K125" s="121" t="str">
        <f t="shared" si="35"/>
        <v/>
      </c>
      <c r="L125" s="99"/>
      <c r="M125" s="121" t="str">
        <f t="shared" si="36"/>
        <v/>
      </c>
      <c r="N125" s="99"/>
      <c r="O125" s="121" t="str">
        <f t="shared" si="37"/>
        <v/>
      </c>
      <c r="P125" s="91"/>
      <c r="Q125" s="122" t="str">
        <f t="shared" si="38"/>
        <v/>
      </c>
      <c r="R125" s="122" t="str">
        <f t="shared" si="39"/>
        <v/>
      </c>
      <c r="S125" s="98"/>
    </row>
    <row r="126" spans="2:19" x14ac:dyDescent="0.25">
      <c r="B126" s="152"/>
      <c r="C126" s="143"/>
      <c r="D126" s="143"/>
      <c r="E126" s="152"/>
      <c r="F126" s="153"/>
      <c r="G126" s="152"/>
      <c r="H126" s="90">
        <v>7</v>
      </c>
      <c r="I126" s="98"/>
      <c r="J126" s="99"/>
      <c r="K126" s="121" t="str">
        <f t="shared" si="35"/>
        <v/>
      </c>
      <c r="L126" s="99"/>
      <c r="M126" s="121" t="str">
        <f t="shared" si="36"/>
        <v/>
      </c>
      <c r="N126" s="99"/>
      <c r="O126" s="121" t="str">
        <f t="shared" si="37"/>
        <v/>
      </c>
      <c r="P126" s="91"/>
      <c r="Q126" s="122" t="str">
        <f t="shared" si="38"/>
        <v/>
      </c>
      <c r="R126" s="122" t="str">
        <f t="shared" si="39"/>
        <v/>
      </c>
      <c r="S126" s="98"/>
    </row>
    <row r="127" spans="2:19" x14ac:dyDescent="0.25">
      <c r="B127" s="154"/>
      <c r="C127" s="142"/>
      <c r="D127" s="142"/>
      <c r="E127" s="154"/>
      <c r="F127" s="155"/>
      <c r="G127" s="154"/>
      <c r="H127" s="108">
        <v>8</v>
      </c>
      <c r="I127" s="109"/>
      <c r="J127" s="110"/>
      <c r="K127" s="123" t="str">
        <f t="shared" si="35"/>
        <v/>
      </c>
      <c r="L127" s="110"/>
      <c r="M127" s="123" t="str">
        <f t="shared" si="36"/>
        <v/>
      </c>
      <c r="N127" s="110"/>
      <c r="O127" s="123" t="str">
        <f t="shared" si="37"/>
        <v/>
      </c>
      <c r="P127" s="105"/>
      <c r="Q127" s="124" t="str">
        <f t="shared" si="38"/>
        <v/>
      </c>
      <c r="R127" s="124" t="str">
        <f t="shared" si="39"/>
        <v/>
      </c>
      <c r="S127" s="109"/>
    </row>
    <row r="128" spans="2:19" x14ac:dyDescent="0.25">
      <c r="B128" s="148">
        <v>20</v>
      </c>
      <c r="C128" s="149" t="s">
        <v>53</v>
      </c>
      <c r="D128" s="149" t="s">
        <v>62</v>
      </c>
      <c r="E128" s="148" t="s">
        <v>197</v>
      </c>
      <c r="F128" s="150">
        <v>4706238.4400000004</v>
      </c>
      <c r="G128" s="148"/>
      <c r="H128" s="151"/>
      <c r="I128" s="151"/>
      <c r="J128" s="96" t="str">
        <f>_xlfn.XLOOKUP(1,$K$129:$K$136,$I$129:$I$136, "-", 0)</f>
        <v>Green Concrete</v>
      </c>
      <c r="K128" s="151"/>
      <c r="L128" s="96" t="str">
        <f>_xlfn.XLOOKUP(1,$M$129:$M$136,$I$129:$I$136, "-", 0)</f>
        <v>Green Concrete</v>
      </c>
      <c r="M128" s="151"/>
      <c r="N128" s="96" t="str">
        <f>_xlfn.XLOOKUP(1,$O$129:$O$136,$I$129:$I$136, "-", 0)</f>
        <v>Green Concrete</v>
      </c>
      <c r="O128" s="151"/>
      <c r="P128" s="97" t="str">
        <f>IF(COUNTIF($P$129:$P$136,"Yes")&gt;0,"Yes","")</f>
        <v>Yes</v>
      </c>
      <c r="Q128" s="96">
        <f>SUM($Q$129:$Q$136)</f>
        <v>4706238.4400000004</v>
      </c>
      <c r="R128" s="96">
        <f>IF($Q$128&gt;0,$F$128-$Q$128,"")</f>
        <v>0</v>
      </c>
      <c r="S128" s="151"/>
    </row>
    <row r="129" spans="2:19" x14ac:dyDescent="0.25">
      <c r="B129" s="152"/>
      <c r="C129" s="143"/>
      <c r="D129" s="143"/>
      <c r="E129" s="152"/>
      <c r="F129" s="153"/>
      <c r="G129" s="152"/>
      <c r="H129" s="90">
        <v>1</v>
      </c>
      <c r="I129" s="98" t="s">
        <v>290</v>
      </c>
      <c r="J129" s="99">
        <v>4706238.4400000004</v>
      </c>
      <c r="K129" s="122">
        <v>1</v>
      </c>
      <c r="L129" s="99">
        <f>J129</f>
        <v>4706238.4400000004</v>
      </c>
      <c r="M129" s="121">
        <v>1</v>
      </c>
      <c r="N129" s="99">
        <f>L129</f>
        <v>4706238.4400000004</v>
      </c>
      <c r="O129" s="121">
        <v>1</v>
      </c>
      <c r="P129" s="91" t="s">
        <v>276</v>
      </c>
      <c r="Q129" s="122">
        <f t="shared" si="38"/>
        <v>4706238.4400000004</v>
      </c>
      <c r="R129" s="122">
        <f t="shared" ref="R129:R136" si="40">IFERROR(IF(INT($Q129)&gt;0,$F$128-$Q129,""),"")</f>
        <v>0</v>
      </c>
      <c r="S129" s="98"/>
    </row>
    <row r="130" spans="2:19" x14ac:dyDescent="0.25">
      <c r="B130" s="152"/>
      <c r="C130" s="143"/>
      <c r="D130" s="143"/>
      <c r="E130" s="152"/>
      <c r="F130" s="153"/>
      <c r="G130" s="152"/>
      <c r="H130" s="90">
        <v>2</v>
      </c>
      <c r="I130" s="98"/>
      <c r="J130" s="99"/>
      <c r="K130" s="121" t="str">
        <f t="shared" ref="K130:K136" si="41">IF($J130="","",RANK(J130,$J$129:$J$136,1))</f>
        <v/>
      </c>
      <c r="L130" s="99"/>
      <c r="M130" s="121" t="str">
        <f t="shared" ref="M130:M136" si="42">IF($L130="","",RANK(L130,$L$129:$L$136,1))</f>
        <v/>
      </c>
      <c r="N130" s="99"/>
      <c r="O130" s="121" t="str">
        <f t="shared" ref="O130:O136" si="43">IF($N130="","",RANK(N130,$N$129:$N$136,1))</f>
        <v/>
      </c>
      <c r="P130" s="91"/>
      <c r="Q130" s="122" t="str">
        <f t="shared" ref="Q130:Q136" si="44">IF($P130="Yes",IF($N130&gt;0,$N130,IF($L130&gt;0,$L130,IF($J130&gt;0,$J130,""))),"")</f>
        <v/>
      </c>
      <c r="R130" s="122" t="str">
        <f t="shared" si="40"/>
        <v/>
      </c>
      <c r="S130" s="98"/>
    </row>
    <row r="131" spans="2:19" x14ac:dyDescent="0.25">
      <c r="B131" s="152"/>
      <c r="C131" s="143"/>
      <c r="D131" s="143"/>
      <c r="E131" s="152"/>
      <c r="F131" s="153"/>
      <c r="G131" s="152"/>
      <c r="H131" s="90">
        <v>3</v>
      </c>
      <c r="I131" s="98"/>
      <c r="J131" s="99"/>
      <c r="K131" s="121" t="str">
        <f t="shared" si="41"/>
        <v/>
      </c>
      <c r="L131" s="99"/>
      <c r="M131" s="121" t="str">
        <f t="shared" si="42"/>
        <v/>
      </c>
      <c r="N131" s="99"/>
      <c r="O131" s="121" t="str">
        <f t="shared" si="43"/>
        <v/>
      </c>
      <c r="P131" s="91"/>
      <c r="Q131" s="122" t="str">
        <f t="shared" si="44"/>
        <v/>
      </c>
      <c r="R131" s="122" t="str">
        <f t="shared" si="40"/>
        <v/>
      </c>
      <c r="S131" s="98"/>
    </row>
    <row r="132" spans="2:19" x14ac:dyDescent="0.25">
      <c r="B132" s="152"/>
      <c r="C132" s="143"/>
      <c r="D132" s="143"/>
      <c r="E132" s="152"/>
      <c r="F132" s="153"/>
      <c r="G132" s="152"/>
      <c r="H132" s="90">
        <v>4</v>
      </c>
      <c r="I132" s="98"/>
      <c r="J132" s="99"/>
      <c r="K132" s="121" t="str">
        <f t="shared" si="41"/>
        <v/>
      </c>
      <c r="L132" s="99"/>
      <c r="M132" s="121" t="str">
        <f t="shared" si="42"/>
        <v/>
      </c>
      <c r="N132" s="99"/>
      <c r="O132" s="121" t="str">
        <f t="shared" si="43"/>
        <v/>
      </c>
      <c r="P132" s="91"/>
      <c r="Q132" s="122" t="str">
        <f t="shared" si="44"/>
        <v/>
      </c>
      <c r="R132" s="122" t="str">
        <f t="shared" si="40"/>
        <v/>
      </c>
      <c r="S132" s="98"/>
    </row>
    <row r="133" spans="2:19" x14ac:dyDescent="0.25">
      <c r="B133" s="152"/>
      <c r="C133" s="143"/>
      <c r="D133" s="143"/>
      <c r="E133" s="152"/>
      <c r="F133" s="153"/>
      <c r="G133" s="152"/>
      <c r="H133" s="90">
        <v>5</v>
      </c>
      <c r="I133" s="98"/>
      <c r="J133" s="99"/>
      <c r="K133" s="121" t="str">
        <f t="shared" si="41"/>
        <v/>
      </c>
      <c r="L133" s="99"/>
      <c r="M133" s="121" t="str">
        <f t="shared" si="42"/>
        <v/>
      </c>
      <c r="N133" s="99"/>
      <c r="O133" s="121" t="str">
        <f t="shared" si="43"/>
        <v/>
      </c>
      <c r="P133" s="91"/>
      <c r="Q133" s="122" t="str">
        <f t="shared" si="44"/>
        <v/>
      </c>
      <c r="R133" s="122" t="str">
        <f t="shared" si="40"/>
        <v/>
      </c>
      <c r="S133" s="98"/>
    </row>
    <row r="134" spans="2:19" x14ac:dyDescent="0.25">
      <c r="B134" s="152"/>
      <c r="C134" s="143"/>
      <c r="D134" s="143"/>
      <c r="E134" s="152"/>
      <c r="F134" s="153"/>
      <c r="G134" s="152"/>
      <c r="H134" s="90">
        <v>6</v>
      </c>
      <c r="I134" s="98"/>
      <c r="J134" s="99"/>
      <c r="K134" s="121" t="str">
        <f t="shared" si="41"/>
        <v/>
      </c>
      <c r="L134" s="99"/>
      <c r="M134" s="121" t="str">
        <f t="shared" si="42"/>
        <v/>
      </c>
      <c r="N134" s="99"/>
      <c r="O134" s="121" t="str">
        <f t="shared" si="43"/>
        <v/>
      </c>
      <c r="P134" s="91"/>
      <c r="Q134" s="122" t="str">
        <f t="shared" si="44"/>
        <v/>
      </c>
      <c r="R134" s="122" t="str">
        <f t="shared" si="40"/>
        <v/>
      </c>
      <c r="S134" s="98"/>
    </row>
    <row r="135" spans="2:19" x14ac:dyDescent="0.25">
      <c r="B135" s="152"/>
      <c r="C135" s="143"/>
      <c r="D135" s="143"/>
      <c r="E135" s="152"/>
      <c r="F135" s="153"/>
      <c r="G135" s="152"/>
      <c r="H135" s="90">
        <v>7</v>
      </c>
      <c r="I135" s="98"/>
      <c r="J135" s="99"/>
      <c r="K135" s="121" t="str">
        <f t="shared" si="41"/>
        <v/>
      </c>
      <c r="L135" s="99"/>
      <c r="M135" s="121" t="str">
        <f t="shared" si="42"/>
        <v/>
      </c>
      <c r="N135" s="99"/>
      <c r="O135" s="121" t="str">
        <f t="shared" si="43"/>
        <v/>
      </c>
      <c r="P135" s="91"/>
      <c r="Q135" s="122" t="str">
        <f t="shared" si="44"/>
        <v/>
      </c>
      <c r="R135" s="122" t="str">
        <f t="shared" si="40"/>
        <v/>
      </c>
      <c r="S135" s="98"/>
    </row>
    <row r="136" spans="2:19" x14ac:dyDescent="0.25">
      <c r="B136" s="154"/>
      <c r="C136" s="142"/>
      <c r="D136" s="142"/>
      <c r="E136" s="154"/>
      <c r="F136" s="155"/>
      <c r="G136" s="154"/>
      <c r="H136" s="108">
        <v>8</v>
      </c>
      <c r="I136" s="109"/>
      <c r="J136" s="110"/>
      <c r="K136" s="123" t="str">
        <f t="shared" si="41"/>
        <v/>
      </c>
      <c r="L136" s="110"/>
      <c r="M136" s="123" t="str">
        <f t="shared" si="42"/>
        <v/>
      </c>
      <c r="N136" s="110"/>
      <c r="O136" s="123" t="str">
        <f t="shared" si="43"/>
        <v/>
      </c>
      <c r="P136" s="105"/>
      <c r="Q136" s="124" t="str">
        <f t="shared" si="44"/>
        <v/>
      </c>
      <c r="R136" s="124" t="str">
        <f t="shared" si="40"/>
        <v/>
      </c>
      <c r="S136" s="109"/>
    </row>
    <row r="137" spans="2:19" x14ac:dyDescent="0.25">
      <c r="B137" s="148">
        <v>21</v>
      </c>
      <c r="C137" s="149" t="s">
        <v>53</v>
      </c>
      <c r="D137" s="149" t="s">
        <v>63</v>
      </c>
      <c r="E137" s="148" t="s">
        <v>197</v>
      </c>
      <c r="F137" s="150">
        <v>4703149.7699999996</v>
      </c>
      <c r="G137" s="148"/>
      <c r="H137" s="151"/>
      <c r="I137" s="151"/>
      <c r="J137" s="96" t="str">
        <f>_xlfn.XLOOKUP(1,$K$138:$K$145,$I$138:$I$145, "-", 0)</f>
        <v>Cemex Topmix LLC</v>
      </c>
      <c r="K137" s="151"/>
      <c r="L137" s="96" t="str">
        <f>_xlfn.XLOOKUP(1,$M$138:$M$145,$I$138:$I$145, "-", 0)</f>
        <v>Cemex Topmix LLC</v>
      </c>
      <c r="M137" s="151"/>
      <c r="N137" s="96" t="str">
        <f>_xlfn.XLOOKUP(1,$O$138:$O$145,$I$138:$I$145, "-", 0)</f>
        <v>Cemex Topmix LLC</v>
      </c>
      <c r="O137" s="151"/>
      <c r="P137" s="97" t="str">
        <f>IF(COUNTIF($P$138:$P$145,"Yes")&gt;0,"Yes","")</f>
        <v>Yes</v>
      </c>
      <c r="Q137" s="96">
        <f>SUM($Q$138:$Q$145)</f>
        <v>4703149.7699999996</v>
      </c>
      <c r="R137" s="96">
        <f>IF($Q$137&gt;0,$F$137-$Q$137,"")</f>
        <v>0</v>
      </c>
      <c r="S137" s="151"/>
    </row>
    <row r="138" spans="2:19" x14ac:dyDescent="0.25">
      <c r="B138" s="152"/>
      <c r="C138" s="143"/>
      <c r="D138" s="143"/>
      <c r="E138" s="152"/>
      <c r="F138" s="153"/>
      <c r="G138" s="152"/>
      <c r="H138" s="90">
        <v>1</v>
      </c>
      <c r="I138" s="98" t="s">
        <v>291</v>
      </c>
      <c r="J138" s="99">
        <v>4703149.7699999996</v>
      </c>
      <c r="K138" s="121">
        <f t="shared" ref="K138:K145" si="45">IF($J138="","",RANK(J138,$J$138:$J$145,1))</f>
        <v>1</v>
      </c>
      <c r="L138" s="99">
        <f>J138</f>
        <v>4703149.7699999996</v>
      </c>
      <c r="M138" s="121">
        <f t="shared" ref="M138:M145" si="46">IF($L138="","",RANK(L138,$L$138:$L$145,1))</f>
        <v>1</v>
      </c>
      <c r="N138" s="99">
        <f>L138</f>
        <v>4703149.7699999996</v>
      </c>
      <c r="O138" s="121">
        <f t="shared" ref="O138:O145" si="47">IF($N138="","",RANK(N138,$N$138:$N$145,1))</f>
        <v>1</v>
      </c>
      <c r="P138" s="91" t="s">
        <v>276</v>
      </c>
      <c r="Q138" s="122">
        <f t="shared" ref="Q138:Q145" si="48">IF($P138="Yes",IF($N138&gt;0,$N138,IF($L138&gt;0,$L138,IF($J138&gt;0,$J138,""))),"")</f>
        <v>4703149.7699999996</v>
      </c>
      <c r="R138" s="122">
        <f t="shared" ref="R138:R145" si="49">IFERROR(IF(INT($Q138)&gt;0,$F$137-$Q138,""),"")</f>
        <v>0</v>
      </c>
      <c r="S138" s="98"/>
    </row>
    <row r="139" spans="2:19" x14ac:dyDescent="0.25">
      <c r="B139" s="152"/>
      <c r="C139" s="143"/>
      <c r="D139" s="143"/>
      <c r="E139" s="152"/>
      <c r="F139" s="153"/>
      <c r="G139" s="152"/>
      <c r="H139" s="90">
        <v>2</v>
      </c>
      <c r="I139" s="98"/>
      <c r="J139" s="99"/>
      <c r="K139" s="121" t="str">
        <f t="shared" si="45"/>
        <v/>
      </c>
      <c r="L139" s="99"/>
      <c r="M139" s="121" t="str">
        <f t="shared" si="46"/>
        <v/>
      </c>
      <c r="N139" s="99"/>
      <c r="O139" s="121" t="str">
        <f t="shared" si="47"/>
        <v/>
      </c>
      <c r="P139" s="91"/>
      <c r="Q139" s="122" t="str">
        <f t="shared" si="48"/>
        <v/>
      </c>
      <c r="R139" s="122" t="str">
        <f t="shared" si="49"/>
        <v/>
      </c>
      <c r="S139" s="98"/>
    </row>
    <row r="140" spans="2:19" x14ac:dyDescent="0.25">
      <c r="B140" s="152"/>
      <c r="C140" s="143"/>
      <c r="D140" s="143"/>
      <c r="E140" s="152"/>
      <c r="F140" s="153"/>
      <c r="G140" s="152"/>
      <c r="H140" s="90">
        <v>3</v>
      </c>
      <c r="I140" s="98"/>
      <c r="J140" s="99"/>
      <c r="K140" s="121" t="str">
        <f t="shared" si="45"/>
        <v/>
      </c>
      <c r="L140" s="99"/>
      <c r="M140" s="121" t="str">
        <f t="shared" si="46"/>
        <v/>
      </c>
      <c r="N140" s="99"/>
      <c r="O140" s="121" t="str">
        <f t="shared" si="47"/>
        <v/>
      </c>
      <c r="P140" s="91"/>
      <c r="Q140" s="122" t="str">
        <f t="shared" si="48"/>
        <v/>
      </c>
      <c r="R140" s="122" t="str">
        <f t="shared" si="49"/>
        <v/>
      </c>
      <c r="S140" s="98"/>
    </row>
    <row r="141" spans="2:19" x14ac:dyDescent="0.25">
      <c r="B141" s="152"/>
      <c r="C141" s="143"/>
      <c r="D141" s="143"/>
      <c r="E141" s="152"/>
      <c r="F141" s="153"/>
      <c r="G141" s="152"/>
      <c r="H141" s="90">
        <v>4</v>
      </c>
      <c r="I141" s="98"/>
      <c r="J141" s="99"/>
      <c r="K141" s="121" t="str">
        <f t="shared" si="45"/>
        <v/>
      </c>
      <c r="L141" s="99"/>
      <c r="M141" s="121" t="str">
        <f t="shared" si="46"/>
        <v/>
      </c>
      <c r="N141" s="99"/>
      <c r="O141" s="121" t="str">
        <f t="shared" si="47"/>
        <v/>
      </c>
      <c r="P141" s="91"/>
      <c r="Q141" s="122" t="str">
        <f t="shared" si="48"/>
        <v/>
      </c>
      <c r="R141" s="122" t="str">
        <f t="shared" si="49"/>
        <v/>
      </c>
      <c r="S141" s="98"/>
    </row>
    <row r="142" spans="2:19" x14ac:dyDescent="0.25">
      <c r="B142" s="152"/>
      <c r="C142" s="143"/>
      <c r="D142" s="143"/>
      <c r="E142" s="152"/>
      <c r="F142" s="153"/>
      <c r="G142" s="152"/>
      <c r="H142" s="90">
        <v>5</v>
      </c>
      <c r="I142" s="98"/>
      <c r="J142" s="99"/>
      <c r="K142" s="121" t="str">
        <f t="shared" si="45"/>
        <v/>
      </c>
      <c r="L142" s="99"/>
      <c r="M142" s="121" t="str">
        <f t="shared" si="46"/>
        <v/>
      </c>
      <c r="N142" s="99"/>
      <c r="O142" s="121" t="str">
        <f t="shared" si="47"/>
        <v/>
      </c>
      <c r="P142" s="91"/>
      <c r="Q142" s="122" t="str">
        <f t="shared" si="48"/>
        <v/>
      </c>
      <c r="R142" s="122" t="str">
        <f t="shared" si="49"/>
        <v/>
      </c>
      <c r="S142" s="98"/>
    </row>
    <row r="143" spans="2:19" x14ac:dyDescent="0.25">
      <c r="B143" s="152"/>
      <c r="C143" s="143"/>
      <c r="D143" s="143"/>
      <c r="E143" s="152"/>
      <c r="F143" s="153"/>
      <c r="G143" s="152"/>
      <c r="H143" s="90">
        <v>6</v>
      </c>
      <c r="I143" s="98"/>
      <c r="J143" s="99"/>
      <c r="K143" s="121" t="str">
        <f t="shared" si="45"/>
        <v/>
      </c>
      <c r="L143" s="99"/>
      <c r="M143" s="121" t="str">
        <f t="shared" si="46"/>
        <v/>
      </c>
      <c r="N143" s="99"/>
      <c r="O143" s="121" t="str">
        <f t="shared" si="47"/>
        <v/>
      </c>
      <c r="P143" s="91"/>
      <c r="Q143" s="122" t="str">
        <f t="shared" si="48"/>
        <v/>
      </c>
      <c r="R143" s="122" t="str">
        <f t="shared" si="49"/>
        <v/>
      </c>
      <c r="S143" s="98"/>
    </row>
    <row r="144" spans="2:19" x14ac:dyDescent="0.25">
      <c r="B144" s="154"/>
      <c r="C144" s="142"/>
      <c r="D144" s="142"/>
      <c r="E144" s="154"/>
      <c r="F144" s="155"/>
      <c r="G144" s="154"/>
      <c r="H144" s="108">
        <v>7</v>
      </c>
      <c r="I144" s="109"/>
      <c r="J144" s="110"/>
      <c r="K144" s="123" t="str">
        <f t="shared" si="45"/>
        <v/>
      </c>
      <c r="L144" s="110"/>
      <c r="M144" s="123" t="str">
        <f t="shared" si="46"/>
        <v/>
      </c>
      <c r="N144" s="110"/>
      <c r="O144" s="123" t="str">
        <f t="shared" si="47"/>
        <v/>
      </c>
      <c r="P144" s="105"/>
      <c r="Q144" s="124" t="str">
        <f t="shared" si="48"/>
        <v/>
      </c>
      <c r="R144" s="124" t="str">
        <f t="shared" si="49"/>
        <v/>
      </c>
      <c r="S144" s="109"/>
    </row>
    <row r="145" spans="2:19" x14ac:dyDescent="0.25">
      <c r="B145" s="152"/>
      <c r="C145" s="143"/>
      <c r="D145" s="143"/>
      <c r="E145" s="152"/>
      <c r="F145" s="153"/>
      <c r="G145" s="152"/>
      <c r="H145" s="90">
        <v>8</v>
      </c>
      <c r="I145" s="98"/>
      <c r="J145" s="99"/>
      <c r="K145" s="121" t="str">
        <f t="shared" si="45"/>
        <v/>
      </c>
      <c r="L145" s="99"/>
      <c r="M145" s="121" t="str">
        <f t="shared" si="46"/>
        <v/>
      </c>
      <c r="N145" s="99"/>
      <c r="O145" s="121" t="str">
        <f t="shared" si="47"/>
        <v/>
      </c>
      <c r="P145" s="91"/>
      <c r="Q145" s="122" t="str">
        <f t="shared" si="48"/>
        <v/>
      </c>
      <c r="R145" s="122" t="str">
        <f t="shared" si="49"/>
        <v/>
      </c>
      <c r="S145" s="98"/>
    </row>
    <row r="146" spans="2:19" x14ac:dyDescent="0.25">
      <c r="B146" s="156">
        <v>23</v>
      </c>
      <c r="C146" s="157" t="s">
        <v>53</v>
      </c>
      <c r="D146" s="157" t="s">
        <v>64</v>
      </c>
      <c r="E146" s="156" t="s">
        <v>201</v>
      </c>
      <c r="F146" s="158">
        <v>16660000</v>
      </c>
      <c r="G146" s="156"/>
      <c r="H146" s="159"/>
      <c r="I146" s="159"/>
      <c r="J146" s="113" t="str">
        <f>_xlfn.XLOOKUP(1,$K$147:$K$154,$I$147:$I$154, "-", 0)</f>
        <v>Steel Middle (Conaras)</v>
      </c>
      <c r="K146" s="159"/>
      <c r="L146" s="113" t="str">
        <f>_xlfn.XLOOKUP(1,$M$147:$M$154,$I$147:$I$154, "-", 0)</f>
        <v>Steel Middle (Conaras)</v>
      </c>
      <c r="M146" s="159"/>
      <c r="N146" s="113" t="str">
        <f>_xlfn.XLOOKUP(1,$O$147:$O$154,$I$147:$I$154, "-", 0)</f>
        <v>Steel Middle (Conaras)</v>
      </c>
      <c r="O146" s="159"/>
      <c r="P146" s="114" t="str">
        <f>IF(COUNTIF($P$147:$P$154,"Yes")&gt;0,"Yes","")</f>
        <v>Yes</v>
      </c>
      <c r="Q146" s="113">
        <f>SUM($Q$147:$Q$154)</f>
        <v>16205000</v>
      </c>
      <c r="R146" s="113">
        <f>IF($Q$146&gt;0,$F$146-$Q$146,"")</f>
        <v>455000</v>
      </c>
      <c r="S146" s="159"/>
    </row>
    <row r="147" spans="2:19" x14ac:dyDescent="0.25">
      <c r="B147" s="152"/>
      <c r="C147" s="143"/>
      <c r="D147" s="143"/>
      <c r="E147" s="152"/>
      <c r="F147" s="153"/>
      <c r="G147" s="152"/>
      <c r="H147" s="90">
        <v>1</v>
      </c>
      <c r="I147" s="98" t="s">
        <v>292</v>
      </c>
      <c r="J147" s="99">
        <v>16205000</v>
      </c>
      <c r="K147" s="121">
        <f t="shared" ref="K147:K154" si="50">IF($J147="","",RANK(J147,$J$147:$J$154,1))</f>
        <v>1</v>
      </c>
      <c r="L147" s="99">
        <f>J147</f>
        <v>16205000</v>
      </c>
      <c r="M147" s="121">
        <f t="shared" ref="M147:M154" si="51">IF($L147="","",RANK(L147,$L$147:$L$154,1))</f>
        <v>1</v>
      </c>
      <c r="N147" s="99">
        <f>L147</f>
        <v>16205000</v>
      </c>
      <c r="O147" s="121">
        <f t="shared" ref="O147:O154" si="52">IF($N147="","",RANK(N147,$N$147:$N$154,1))</f>
        <v>1</v>
      </c>
      <c r="P147" s="91" t="s">
        <v>276</v>
      </c>
      <c r="Q147" s="122">
        <f t="shared" ref="Q147:Q154" si="53">IF($P147="Yes",IF($N147&gt;0,$N147,IF($L147&gt;0,$L147,IF($J147&gt;0,$J147,""))),"")</f>
        <v>16205000</v>
      </c>
      <c r="R147" s="122">
        <f t="shared" ref="R147:R154" si="54">IFERROR(IF(INT($Q147)&gt;0,$F$146-$Q147,""),"")</f>
        <v>455000</v>
      </c>
      <c r="S147" s="98"/>
    </row>
    <row r="148" spans="2:19" x14ac:dyDescent="0.25">
      <c r="B148" s="152"/>
      <c r="C148" s="143"/>
      <c r="D148" s="143"/>
      <c r="E148" s="152"/>
      <c r="F148" s="153"/>
      <c r="G148" s="152"/>
      <c r="H148" s="90">
        <v>2</v>
      </c>
      <c r="I148" s="98"/>
      <c r="J148" s="99"/>
      <c r="K148" s="121" t="str">
        <f t="shared" si="50"/>
        <v/>
      </c>
      <c r="L148" s="99"/>
      <c r="M148" s="121" t="str">
        <f t="shared" si="51"/>
        <v/>
      </c>
      <c r="N148" s="99"/>
      <c r="O148" s="121" t="str">
        <f t="shared" si="52"/>
        <v/>
      </c>
      <c r="P148" s="91"/>
      <c r="Q148" s="122" t="str">
        <f t="shared" si="53"/>
        <v/>
      </c>
      <c r="R148" s="122" t="str">
        <f t="shared" si="54"/>
        <v/>
      </c>
      <c r="S148" s="98"/>
    </row>
    <row r="149" spans="2:19" x14ac:dyDescent="0.25">
      <c r="B149" s="152"/>
      <c r="C149" s="143"/>
      <c r="D149" s="143"/>
      <c r="E149" s="152"/>
      <c r="F149" s="153"/>
      <c r="G149" s="152"/>
      <c r="H149" s="90">
        <v>3</v>
      </c>
      <c r="I149" s="98"/>
      <c r="J149" s="99"/>
      <c r="K149" s="121" t="str">
        <f t="shared" si="50"/>
        <v/>
      </c>
      <c r="L149" s="99"/>
      <c r="M149" s="121" t="str">
        <f t="shared" si="51"/>
        <v/>
      </c>
      <c r="N149" s="99"/>
      <c r="O149" s="121" t="str">
        <f t="shared" si="52"/>
        <v/>
      </c>
      <c r="P149" s="91"/>
      <c r="Q149" s="122" t="str">
        <f t="shared" si="53"/>
        <v/>
      </c>
      <c r="R149" s="122" t="str">
        <f t="shared" si="54"/>
        <v/>
      </c>
      <c r="S149" s="98"/>
    </row>
    <row r="150" spans="2:19" x14ac:dyDescent="0.25">
      <c r="B150" s="152"/>
      <c r="C150" s="143"/>
      <c r="D150" s="143"/>
      <c r="E150" s="152"/>
      <c r="F150" s="153"/>
      <c r="G150" s="152"/>
      <c r="H150" s="90">
        <v>4</v>
      </c>
      <c r="I150" s="98"/>
      <c r="J150" s="99"/>
      <c r="K150" s="121" t="str">
        <f t="shared" si="50"/>
        <v/>
      </c>
      <c r="L150" s="99"/>
      <c r="M150" s="121" t="str">
        <f t="shared" si="51"/>
        <v/>
      </c>
      <c r="N150" s="99"/>
      <c r="O150" s="121" t="str">
        <f t="shared" si="52"/>
        <v/>
      </c>
      <c r="P150" s="91"/>
      <c r="Q150" s="122" t="str">
        <f t="shared" si="53"/>
        <v/>
      </c>
      <c r="R150" s="122" t="str">
        <f t="shared" si="54"/>
        <v/>
      </c>
      <c r="S150" s="98"/>
    </row>
    <row r="151" spans="2:19" x14ac:dyDescent="0.25">
      <c r="B151" s="152"/>
      <c r="C151" s="143"/>
      <c r="D151" s="143"/>
      <c r="E151" s="152"/>
      <c r="F151" s="153"/>
      <c r="G151" s="152"/>
      <c r="H151" s="90">
        <v>5</v>
      </c>
      <c r="I151" s="98"/>
      <c r="J151" s="99"/>
      <c r="K151" s="121" t="str">
        <f t="shared" si="50"/>
        <v/>
      </c>
      <c r="L151" s="99"/>
      <c r="M151" s="121" t="str">
        <f t="shared" si="51"/>
        <v/>
      </c>
      <c r="N151" s="99"/>
      <c r="O151" s="121" t="str">
        <f t="shared" si="52"/>
        <v/>
      </c>
      <c r="P151" s="91"/>
      <c r="Q151" s="122" t="str">
        <f t="shared" si="53"/>
        <v/>
      </c>
      <c r="R151" s="122" t="str">
        <f t="shared" si="54"/>
        <v/>
      </c>
      <c r="S151" s="98"/>
    </row>
    <row r="152" spans="2:19" x14ac:dyDescent="0.25">
      <c r="B152" s="152"/>
      <c r="C152" s="143"/>
      <c r="D152" s="143"/>
      <c r="E152" s="152"/>
      <c r="F152" s="153"/>
      <c r="G152" s="152"/>
      <c r="H152" s="90">
        <v>6</v>
      </c>
      <c r="I152" s="98"/>
      <c r="J152" s="99"/>
      <c r="K152" s="121" t="str">
        <f t="shared" si="50"/>
        <v/>
      </c>
      <c r="L152" s="99"/>
      <c r="M152" s="121" t="str">
        <f t="shared" si="51"/>
        <v/>
      </c>
      <c r="N152" s="99"/>
      <c r="O152" s="121" t="str">
        <f t="shared" si="52"/>
        <v/>
      </c>
      <c r="P152" s="91"/>
      <c r="Q152" s="122" t="str">
        <f t="shared" si="53"/>
        <v/>
      </c>
      <c r="R152" s="122" t="str">
        <f t="shared" si="54"/>
        <v/>
      </c>
      <c r="S152" s="98"/>
    </row>
    <row r="153" spans="2:19" x14ac:dyDescent="0.25">
      <c r="B153" s="154"/>
      <c r="C153" s="142"/>
      <c r="D153" s="142"/>
      <c r="E153" s="154"/>
      <c r="F153" s="155"/>
      <c r="G153" s="154"/>
      <c r="H153" s="108">
        <v>7</v>
      </c>
      <c r="I153" s="109"/>
      <c r="J153" s="110"/>
      <c r="K153" s="123" t="str">
        <f t="shared" si="50"/>
        <v/>
      </c>
      <c r="L153" s="110"/>
      <c r="M153" s="123" t="str">
        <f t="shared" si="51"/>
        <v/>
      </c>
      <c r="N153" s="110"/>
      <c r="O153" s="123" t="str">
        <f t="shared" si="52"/>
        <v/>
      </c>
      <c r="P153" s="105"/>
      <c r="Q153" s="124" t="str">
        <f t="shared" si="53"/>
        <v/>
      </c>
      <c r="R153" s="124" t="str">
        <f t="shared" si="54"/>
        <v/>
      </c>
      <c r="S153" s="109"/>
    </row>
    <row r="154" spans="2:19" x14ac:dyDescent="0.25">
      <c r="B154" s="152"/>
      <c r="C154" s="143"/>
      <c r="D154" s="143"/>
      <c r="E154" s="152"/>
      <c r="F154" s="153"/>
      <c r="G154" s="152"/>
      <c r="H154" s="90">
        <v>8</v>
      </c>
      <c r="I154" s="98"/>
      <c r="J154" s="99"/>
      <c r="K154" s="121" t="str">
        <f t="shared" si="50"/>
        <v/>
      </c>
      <c r="L154" s="99"/>
      <c r="M154" s="121" t="str">
        <f t="shared" si="51"/>
        <v/>
      </c>
      <c r="N154" s="99"/>
      <c r="O154" s="121" t="str">
        <f t="shared" si="52"/>
        <v/>
      </c>
      <c r="P154" s="91"/>
      <c r="Q154" s="122" t="str">
        <f t="shared" si="53"/>
        <v/>
      </c>
      <c r="R154" s="122" t="str">
        <f t="shared" si="54"/>
        <v/>
      </c>
      <c r="S154" s="98"/>
    </row>
    <row r="155" spans="2:19" x14ac:dyDescent="0.25">
      <c r="B155" s="156">
        <v>25</v>
      </c>
      <c r="C155" s="157" t="s">
        <v>53</v>
      </c>
      <c r="D155" s="157" t="s">
        <v>65</v>
      </c>
      <c r="E155" s="156" t="s">
        <v>203</v>
      </c>
      <c r="F155" s="158"/>
      <c r="G155" s="156"/>
      <c r="H155" s="159"/>
      <c r="I155" s="159"/>
      <c r="J155" s="113" t="str">
        <f>_xlfn.XLOOKUP(1,$K$156:$K$162,$I$156:$I$162, "-", 0)</f>
        <v>-</v>
      </c>
      <c r="K155" s="159"/>
      <c r="L155" s="113" t="str">
        <f>_xlfn.XLOOKUP(1,$M$156:$M$162,$I$156:$I$162, "-", 0)</f>
        <v>-</v>
      </c>
      <c r="M155" s="159"/>
      <c r="N155" s="113" t="str">
        <f>_xlfn.XLOOKUP(1,$O$156:$O$162,$I$156:$I$162, "-", 0)</f>
        <v>-</v>
      </c>
      <c r="O155" s="159"/>
      <c r="P155" s="114" t="str">
        <f>IF(COUNTIF($P$156:$P$162,"Yes")&gt;0,"Yes","")</f>
        <v/>
      </c>
      <c r="Q155" s="113">
        <f>SUM($Q$156:$Q$162)</f>
        <v>0</v>
      </c>
      <c r="R155" s="113" t="str">
        <f>IF($Q$155&gt;0,$F$155-$Q$155,"")</f>
        <v/>
      </c>
      <c r="S155" s="159"/>
    </row>
    <row r="156" spans="2:19" x14ac:dyDescent="0.25">
      <c r="B156" s="152"/>
      <c r="C156" s="143"/>
      <c r="D156" s="143"/>
      <c r="E156" s="152"/>
      <c r="F156" s="153"/>
      <c r="G156" s="152"/>
      <c r="H156" s="90">
        <v>1</v>
      </c>
      <c r="I156" s="98"/>
      <c r="J156" s="99"/>
      <c r="K156" s="121" t="str">
        <f t="shared" ref="K156:K162" si="55">IF($J156="","",RANK(J156,$J$156:$J$162,1))</f>
        <v/>
      </c>
      <c r="L156" s="99"/>
      <c r="M156" s="121" t="str">
        <f t="shared" ref="M156:M162" si="56">IF($L156="","",RANK(L156,$L$156:$L$162,1))</f>
        <v/>
      </c>
      <c r="N156" s="99"/>
      <c r="O156" s="121" t="str">
        <f t="shared" ref="O156:O162" si="57">IF($N156="","",RANK(N156,$N$156:$N$162,1))</f>
        <v/>
      </c>
      <c r="P156" s="91"/>
      <c r="Q156" s="122" t="str">
        <f t="shared" ref="Q156:Q162" si="58">IF($P156="Yes",IF($N156&gt;0,$N156,IF($L156&gt;0,$L156,IF($J156&gt;0,$J156,""))),"")</f>
        <v/>
      </c>
      <c r="R156" s="122" t="str">
        <f t="shared" ref="R156:R162" si="59">IFERROR(IF(INT($Q156)&gt;0,$F$155-$Q156,""),"")</f>
        <v/>
      </c>
      <c r="S156" s="98"/>
    </row>
    <row r="157" spans="2:19" x14ac:dyDescent="0.25">
      <c r="B157" s="152"/>
      <c r="C157" s="143"/>
      <c r="D157" s="143"/>
      <c r="E157" s="152"/>
      <c r="F157" s="153"/>
      <c r="G157" s="152"/>
      <c r="H157" s="90">
        <v>2</v>
      </c>
      <c r="I157" s="98"/>
      <c r="J157" s="99"/>
      <c r="K157" s="121" t="str">
        <f t="shared" si="55"/>
        <v/>
      </c>
      <c r="L157" s="99"/>
      <c r="M157" s="121" t="str">
        <f t="shared" si="56"/>
        <v/>
      </c>
      <c r="N157" s="99"/>
      <c r="O157" s="121" t="str">
        <f t="shared" si="57"/>
        <v/>
      </c>
      <c r="P157" s="91"/>
      <c r="Q157" s="122" t="str">
        <f t="shared" si="58"/>
        <v/>
      </c>
      <c r="R157" s="122" t="str">
        <f t="shared" si="59"/>
        <v/>
      </c>
      <c r="S157" s="98"/>
    </row>
    <row r="158" spans="2:19" x14ac:dyDescent="0.25">
      <c r="B158" s="152"/>
      <c r="C158" s="143"/>
      <c r="D158" s="143"/>
      <c r="E158" s="152"/>
      <c r="F158" s="153"/>
      <c r="G158" s="152"/>
      <c r="H158" s="90">
        <v>3</v>
      </c>
      <c r="I158" s="98"/>
      <c r="J158" s="99"/>
      <c r="K158" s="121" t="str">
        <f t="shared" si="55"/>
        <v/>
      </c>
      <c r="L158" s="99"/>
      <c r="M158" s="121" t="str">
        <f t="shared" si="56"/>
        <v/>
      </c>
      <c r="N158" s="99"/>
      <c r="O158" s="121" t="str">
        <f t="shared" si="57"/>
        <v/>
      </c>
      <c r="P158" s="91"/>
      <c r="Q158" s="122" t="str">
        <f t="shared" si="58"/>
        <v/>
      </c>
      <c r="R158" s="122" t="str">
        <f t="shared" si="59"/>
        <v/>
      </c>
      <c r="S158" s="98"/>
    </row>
    <row r="159" spans="2:19" x14ac:dyDescent="0.25">
      <c r="B159" s="152"/>
      <c r="C159" s="143"/>
      <c r="D159" s="143"/>
      <c r="E159" s="152"/>
      <c r="F159" s="153"/>
      <c r="G159" s="152"/>
      <c r="H159" s="90">
        <v>4</v>
      </c>
      <c r="I159" s="98"/>
      <c r="J159" s="99"/>
      <c r="K159" s="121" t="str">
        <f t="shared" si="55"/>
        <v/>
      </c>
      <c r="L159" s="99"/>
      <c r="M159" s="121" t="str">
        <f t="shared" si="56"/>
        <v/>
      </c>
      <c r="N159" s="99"/>
      <c r="O159" s="121" t="str">
        <f t="shared" si="57"/>
        <v/>
      </c>
      <c r="P159" s="91"/>
      <c r="Q159" s="122" t="str">
        <f t="shared" si="58"/>
        <v/>
      </c>
      <c r="R159" s="122" t="str">
        <f t="shared" si="59"/>
        <v/>
      </c>
      <c r="S159" s="98"/>
    </row>
    <row r="160" spans="2:19" x14ac:dyDescent="0.25">
      <c r="B160" s="152"/>
      <c r="C160" s="143"/>
      <c r="D160" s="143"/>
      <c r="E160" s="152"/>
      <c r="F160" s="153"/>
      <c r="G160" s="152"/>
      <c r="H160" s="90">
        <v>5</v>
      </c>
      <c r="I160" s="98"/>
      <c r="J160" s="99"/>
      <c r="K160" s="121" t="str">
        <f t="shared" si="55"/>
        <v/>
      </c>
      <c r="L160" s="99"/>
      <c r="M160" s="121" t="str">
        <f t="shared" si="56"/>
        <v/>
      </c>
      <c r="N160" s="99"/>
      <c r="O160" s="121" t="str">
        <f t="shared" si="57"/>
        <v/>
      </c>
      <c r="P160" s="91"/>
      <c r="Q160" s="122" t="str">
        <f t="shared" si="58"/>
        <v/>
      </c>
      <c r="R160" s="122" t="str">
        <f t="shared" si="59"/>
        <v/>
      </c>
      <c r="S160" s="98"/>
    </row>
    <row r="161" spans="2:19" x14ac:dyDescent="0.25">
      <c r="B161" s="154"/>
      <c r="C161" s="142"/>
      <c r="D161" s="142"/>
      <c r="E161" s="154"/>
      <c r="F161" s="155"/>
      <c r="G161" s="154"/>
      <c r="H161" s="108">
        <v>6</v>
      </c>
      <c r="I161" s="109"/>
      <c r="J161" s="110"/>
      <c r="K161" s="123" t="str">
        <f t="shared" si="55"/>
        <v/>
      </c>
      <c r="L161" s="110"/>
      <c r="M161" s="123" t="str">
        <f t="shared" si="56"/>
        <v/>
      </c>
      <c r="N161" s="110"/>
      <c r="O161" s="123" t="str">
        <f t="shared" si="57"/>
        <v/>
      </c>
      <c r="P161" s="105"/>
      <c r="Q161" s="124" t="str">
        <f t="shared" si="58"/>
        <v/>
      </c>
      <c r="R161" s="124" t="str">
        <f t="shared" si="59"/>
        <v/>
      </c>
      <c r="S161" s="109"/>
    </row>
    <row r="162" spans="2:19" x14ac:dyDescent="0.25">
      <c r="B162" s="152"/>
      <c r="C162" s="143"/>
      <c r="D162" s="143"/>
      <c r="E162" s="152"/>
      <c r="F162" s="153"/>
      <c r="G162" s="152"/>
      <c r="H162" s="90">
        <v>7</v>
      </c>
      <c r="I162" s="98"/>
      <c r="J162" s="99"/>
      <c r="K162" s="121" t="str">
        <f t="shared" si="55"/>
        <v/>
      </c>
      <c r="L162" s="99"/>
      <c r="M162" s="121" t="str">
        <f t="shared" si="56"/>
        <v/>
      </c>
      <c r="N162" s="99"/>
      <c r="O162" s="121" t="str">
        <f t="shared" si="57"/>
        <v/>
      </c>
      <c r="P162" s="91"/>
      <c r="Q162" s="122" t="str">
        <f t="shared" si="58"/>
        <v/>
      </c>
      <c r="R162" s="122" t="str">
        <f t="shared" si="59"/>
        <v/>
      </c>
      <c r="S162" s="98"/>
    </row>
    <row r="163" spans="2:19" x14ac:dyDescent="0.25">
      <c r="B163" s="156">
        <v>27</v>
      </c>
      <c r="C163" s="157" t="s">
        <v>44</v>
      </c>
      <c r="D163" s="157" t="s">
        <v>66</v>
      </c>
      <c r="E163" s="156" t="s">
        <v>206</v>
      </c>
      <c r="F163" s="158"/>
      <c r="G163" s="156" t="s">
        <v>276</v>
      </c>
      <c r="H163" s="159"/>
      <c r="I163" s="159"/>
      <c r="J163" s="113" t="str">
        <f>_xlfn.XLOOKUP(1,$K$164:$K$169,$I$164:$I$169, "-", 0)</f>
        <v>-</v>
      </c>
      <c r="K163" s="159"/>
      <c r="L163" s="113" t="str">
        <f>_xlfn.XLOOKUP(1,$M$164:$M$169,$I$164:$I$169, "-", 0)</f>
        <v>-</v>
      </c>
      <c r="M163" s="159"/>
      <c r="N163" s="113" t="str">
        <f>_xlfn.XLOOKUP(1,$O$164:$O$169,$I$164:$I$169, "-", 0)</f>
        <v>-</v>
      </c>
      <c r="O163" s="159"/>
      <c r="P163" s="114" t="str">
        <f>IF(COUNTIF($P$164:$P$169,"Yes")&gt;0,"Yes","")</f>
        <v/>
      </c>
      <c r="Q163" s="113">
        <f>SUM($Q$164:$Q$169)</f>
        <v>0</v>
      </c>
      <c r="R163" s="113" t="str">
        <f>IF($Q$163&gt;0,$F$163-$Q$163,"")</f>
        <v/>
      </c>
      <c r="S163" s="159"/>
    </row>
    <row r="164" spans="2:19" x14ac:dyDescent="0.25">
      <c r="B164" s="152"/>
      <c r="C164" s="143"/>
      <c r="D164" s="143"/>
      <c r="E164" s="152"/>
      <c r="F164" s="153"/>
      <c r="G164" s="152"/>
      <c r="H164" s="90">
        <v>1</v>
      </c>
      <c r="I164" s="98"/>
      <c r="J164" s="99"/>
      <c r="K164" s="121" t="str">
        <f t="shared" ref="K164:K169" si="60">IF($J164="","",RANK(J164,$J$164:$J$169,1))</f>
        <v/>
      </c>
      <c r="L164" s="99"/>
      <c r="M164" s="121" t="str">
        <f t="shared" ref="M164:M169" si="61">IF($L164="","",RANK(L164,$L$164:$L$169,1))</f>
        <v/>
      </c>
      <c r="N164" s="99"/>
      <c r="O164" s="121" t="str">
        <f t="shared" ref="O164:O169" si="62">IF($N164="","",RANK(N164,$N$164:$N$169,1))</f>
        <v/>
      </c>
      <c r="P164" s="91"/>
      <c r="Q164" s="122" t="str">
        <f t="shared" ref="Q164:Q169" si="63">IF($P164="Yes",IF($N164&gt;0,$N164,IF($L164&gt;0,$L164,IF($J164&gt;0,$J164,""))),"")</f>
        <v/>
      </c>
      <c r="R164" s="122" t="str">
        <f t="shared" ref="R164:R169" si="64">IFERROR(IF(INT($Q164)&gt;0,$F$163-$Q164,""),"")</f>
        <v/>
      </c>
      <c r="S164" s="98"/>
    </row>
    <row r="165" spans="2:19" x14ac:dyDescent="0.25">
      <c r="B165" s="152"/>
      <c r="C165" s="143"/>
      <c r="D165" s="143"/>
      <c r="E165" s="152"/>
      <c r="F165" s="153"/>
      <c r="G165" s="152"/>
      <c r="H165" s="90">
        <v>2</v>
      </c>
      <c r="I165" s="98"/>
      <c r="J165" s="99"/>
      <c r="K165" s="121" t="str">
        <f t="shared" si="60"/>
        <v/>
      </c>
      <c r="L165" s="99"/>
      <c r="M165" s="121" t="str">
        <f t="shared" si="61"/>
        <v/>
      </c>
      <c r="N165" s="99"/>
      <c r="O165" s="121" t="str">
        <f t="shared" si="62"/>
        <v/>
      </c>
      <c r="P165" s="91"/>
      <c r="Q165" s="122" t="str">
        <f t="shared" si="63"/>
        <v/>
      </c>
      <c r="R165" s="122" t="str">
        <f t="shared" si="64"/>
        <v/>
      </c>
      <c r="S165" s="98"/>
    </row>
    <row r="166" spans="2:19" x14ac:dyDescent="0.25">
      <c r="B166" s="152"/>
      <c r="C166" s="143"/>
      <c r="D166" s="143"/>
      <c r="E166" s="152"/>
      <c r="F166" s="153"/>
      <c r="G166" s="152"/>
      <c r="H166" s="90">
        <v>3</v>
      </c>
      <c r="I166" s="98"/>
      <c r="J166" s="99"/>
      <c r="K166" s="121" t="str">
        <f t="shared" si="60"/>
        <v/>
      </c>
      <c r="L166" s="99"/>
      <c r="M166" s="121" t="str">
        <f t="shared" si="61"/>
        <v/>
      </c>
      <c r="N166" s="99"/>
      <c r="O166" s="121" t="str">
        <f t="shared" si="62"/>
        <v/>
      </c>
      <c r="P166" s="91"/>
      <c r="Q166" s="122" t="str">
        <f t="shared" si="63"/>
        <v/>
      </c>
      <c r="R166" s="122" t="str">
        <f t="shared" si="64"/>
        <v/>
      </c>
      <c r="S166" s="98"/>
    </row>
    <row r="167" spans="2:19" x14ac:dyDescent="0.25">
      <c r="B167" s="152"/>
      <c r="C167" s="143"/>
      <c r="D167" s="143"/>
      <c r="E167" s="152"/>
      <c r="F167" s="153"/>
      <c r="G167" s="152"/>
      <c r="H167" s="90">
        <v>4</v>
      </c>
      <c r="I167" s="98"/>
      <c r="J167" s="99"/>
      <c r="K167" s="121" t="str">
        <f t="shared" si="60"/>
        <v/>
      </c>
      <c r="L167" s="99"/>
      <c r="M167" s="121" t="str">
        <f t="shared" si="61"/>
        <v/>
      </c>
      <c r="N167" s="99"/>
      <c r="O167" s="121" t="str">
        <f t="shared" si="62"/>
        <v/>
      </c>
      <c r="P167" s="91"/>
      <c r="Q167" s="122" t="str">
        <f t="shared" si="63"/>
        <v/>
      </c>
      <c r="R167" s="122" t="str">
        <f t="shared" si="64"/>
        <v/>
      </c>
      <c r="S167" s="98"/>
    </row>
    <row r="168" spans="2:19" x14ac:dyDescent="0.25">
      <c r="B168" s="152"/>
      <c r="C168" s="143"/>
      <c r="D168" s="143"/>
      <c r="E168" s="152"/>
      <c r="F168" s="153"/>
      <c r="G168" s="152"/>
      <c r="H168" s="90">
        <v>5</v>
      </c>
      <c r="I168" s="98"/>
      <c r="J168" s="99"/>
      <c r="K168" s="121" t="str">
        <f t="shared" si="60"/>
        <v/>
      </c>
      <c r="L168" s="99"/>
      <c r="M168" s="121" t="str">
        <f t="shared" si="61"/>
        <v/>
      </c>
      <c r="N168" s="99"/>
      <c r="O168" s="121" t="str">
        <f t="shared" si="62"/>
        <v/>
      </c>
      <c r="P168" s="91"/>
      <c r="Q168" s="122" t="str">
        <f t="shared" si="63"/>
        <v/>
      </c>
      <c r="R168" s="122" t="str">
        <f t="shared" si="64"/>
        <v/>
      </c>
      <c r="S168" s="98"/>
    </row>
    <row r="169" spans="2:19" x14ac:dyDescent="0.25">
      <c r="B169" s="154"/>
      <c r="C169" s="142"/>
      <c r="D169" s="142"/>
      <c r="E169" s="154"/>
      <c r="F169" s="155"/>
      <c r="G169" s="154"/>
      <c r="H169" s="108">
        <v>6</v>
      </c>
      <c r="I169" s="109"/>
      <c r="J169" s="110"/>
      <c r="K169" s="123" t="str">
        <f t="shared" si="60"/>
        <v/>
      </c>
      <c r="L169" s="110"/>
      <c r="M169" s="123" t="str">
        <f t="shared" si="61"/>
        <v/>
      </c>
      <c r="N169" s="110"/>
      <c r="O169" s="123" t="str">
        <f t="shared" si="62"/>
        <v/>
      </c>
      <c r="P169" s="105"/>
      <c r="Q169" s="124" t="str">
        <f t="shared" si="63"/>
        <v/>
      </c>
      <c r="R169" s="124" t="str">
        <f t="shared" si="64"/>
        <v/>
      </c>
      <c r="S169" s="109"/>
    </row>
    <row r="170" spans="2:19" x14ac:dyDescent="0.25">
      <c r="B170" s="148">
        <v>28</v>
      </c>
      <c r="C170" s="149" t="s">
        <v>44</v>
      </c>
      <c r="D170" s="149" t="s">
        <v>67</v>
      </c>
      <c r="E170" s="148" t="s">
        <v>208</v>
      </c>
      <c r="F170" s="150"/>
      <c r="G170" s="148" t="s">
        <v>276</v>
      </c>
      <c r="H170" s="151"/>
      <c r="I170" s="151"/>
      <c r="J170" s="96" t="str">
        <f>_xlfn.XLOOKUP(1,$K$171:$K$176,$I$171:$I$176, "-", 0)</f>
        <v>-</v>
      </c>
      <c r="K170" s="151"/>
      <c r="L170" s="96" t="str">
        <f>_xlfn.XLOOKUP(1,$M$171:$M$176,$I$171:$I$176, "-", 0)</f>
        <v>-</v>
      </c>
      <c r="M170" s="151"/>
      <c r="N170" s="96" t="str">
        <f>_xlfn.XLOOKUP(1,$O$171:$O$176,$I$171:$I$176, "-", 0)</f>
        <v>-</v>
      </c>
      <c r="O170" s="151"/>
      <c r="P170" s="97" t="str">
        <f>IF(COUNTIF($P$171:$P$176,"Yes")&gt;0,"Yes","")</f>
        <v/>
      </c>
      <c r="Q170" s="96">
        <f>SUM($Q$171:$Q$176)</f>
        <v>0</v>
      </c>
      <c r="R170" s="96" t="str">
        <f>IF($Q$170&gt;0,$F$170-$Q$170,"")</f>
        <v/>
      </c>
      <c r="S170" s="151"/>
    </row>
    <row r="171" spans="2:19" x14ac:dyDescent="0.25">
      <c r="B171" s="152"/>
      <c r="C171" s="143"/>
      <c r="D171" s="143"/>
      <c r="E171" s="152"/>
      <c r="F171" s="153"/>
      <c r="G171" s="152"/>
      <c r="H171" s="90">
        <v>1</v>
      </c>
      <c r="I171" s="98"/>
      <c r="J171" s="99"/>
      <c r="K171" s="121" t="str">
        <f t="shared" ref="K171:K176" si="65">IF($J171="","",RANK(J171,$J$171:$J$176,1))</f>
        <v/>
      </c>
      <c r="L171" s="99"/>
      <c r="M171" s="121" t="str">
        <f t="shared" ref="M171:M176" si="66">IF($L171="","",RANK(L171,$L$171:$L$176,1))</f>
        <v/>
      </c>
      <c r="N171" s="99"/>
      <c r="O171" s="121" t="str">
        <f t="shared" ref="O171:O176" si="67">IF($N171="","",RANK(N171,$N$171:$N$176,1))</f>
        <v/>
      </c>
      <c r="P171" s="91"/>
      <c r="Q171" s="122" t="str">
        <f t="shared" ref="Q171:Q176" si="68">IF($P171="Yes",IF($N171&gt;0,$N171,IF($L171&gt;0,$L171,IF($J171&gt;0,$J171,""))),"")</f>
        <v/>
      </c>
      <c r="R171" s="122" t="str">
        <f t="shared" ref="R171:R176" si="69">IFERROR(IF(INT($Q171)&gt;0,$F$170-$Q171,""),"")</f>
        <v/>
      </c>
      <c r="S171" s="98"/>
    </row>
    <row r="172" spans="2:19" x14ac:dyDescent="0.25">
      <c r="B172" s="152"/>
      <c r="C172" s="143"/>
      <c r="D172" s="143"/>
      <c r="E172" s="152"/>
      <c r="F172" s="153"/>
      <c r="G172" s="152"/>
      <c r="H172" s="90">
        <v>2</v>
      </c>
      <c r="I172" s="98"/>
      <c r="J172" s="99"/>
      <c r="K172" s="121" t="str">
        <f t="shared" si="65"/>
        <v/>
      </c>
      <c r="L172" s="99"/>
      <c r="M172" s="121" t="str">
        <f t="shared" si="66"/>
        <v/>
      </c>
      <c r="N172" s="99"/>
      <c r="O172" s="121" t="str">
        <f t="shared" si="67"/>
        <v/>
      </c>
      <c r="P172" s="91"/>
      <c r="Q172" s="122" t="str">
        <f t="shared" si="68"/>
        <v/>
      </c>
      <c r="R172" s="122" t="str">
        <f t="shared" si="69"/>
        <v/>
      </c>
      <c r="S172" s="98"/>
    </row>
    <row r="173" spans="2:19" x14ac:dyDescent="0.25">
      <c r="B173" s="152"/>
      <c r="C173" s="143"/>
      <c r="D173" s="143"/>
      <c r="E173" s="152"/>
      <c r="F173" s="153"/>
      <c r="G173" s="152"/>
      <c r="H173" s="90">
        <v>3</v>
      </c>
      <c r="I173" s="98"/>
      <c r="J173" s="99"/>
      <c r="K173" s="121" t="str">
        <f t="shared" si="65"/>
        <v/>
      </c>
      <c r="L173" s="99"/>
      <c r="M173" s="121" t="str">
        <f t="shared" si="66"/>
        <v/>
      </c>
      <c r="N173" s="99"/>
      <c r="O173" s="121" t="str">
        <f t="shared" si="67"/>
        <v/>
      </c>
      <c r="P173" s="91"/>
      <c r="Q173" s="122" t="str">
        <f t="shared" si="68"/>
        <v/>
      </c>
      <c r="R173" s="122" t="str">
        <f t="shared" si="69"/>
        <v/>
      </c>
      <c r="S173" s="98"/>
    </row>
    <row r="174" spans="2:19" x14ac:dyDescent="0.25">
      <c r="B174" s="152"/>
      <c r="C174" s="143"/>
      <c r="D174" s="143"/>
      <c r="E174" s="152"/>
      <c r="F174" s="153"/>
      <c r="G174" s="152"/>
      <c r="H174" s="90">
        <v>4</v>
      </c>
      <c r="I174" s="98"/>
      <c r="J174" s="99"/>
      <c r="K174" s="121" t="str">
        <f t="shared" si="65"/>
        <v/>
      </c>
      <c r="L174" s="99"/>
      <c r="M174" s="121" t="str">
        <f t="shared" si="66"/>
        <v/>
      </c>
      <c r="N174" s="99"/>
      <c r="O174" s="121" t="str">
        <f t="shared" si="67"/>
        <v/>
      </c>
      <c r="P174" s="91"/>
      <c r="Q174" s="122" t="str">
        <f t="shared" si="68"/>
        <v/>
      </c>
      <c r="R174" s="122" t="str">
        <f t="shared" si="69"/>
        <v/>
      </c>
      <c r="S174" s="98"/>
    </row>
    <row r="175" spans="2:19" x14ac:dyDescent="0.25">
      <c r="B175" s="152"/>
      <c r="C175" s="143"/>
      <c r="D175" s="143"/>
      <c r="E175" s="152"/>
      <c r="F175" s="153"/>
      <c r="G175" s="152"/>
      <c r="H175" s="90">
        <v>5</v>
      </c>
      <c r="I175" s="98"/>
      <c r="J175" s="99"/>
      <c r="K175" s="121" t="str">
        <f t="shared" si="65"/>
        <v/>
      </c>
      <c r="L175" s="99"/>
      <c r="M175" s="121" t="str">
        <f t="shared" si="66"/>
        <v/>
      </c>
      <c r="N175" s="99"/>
      <c r="O175" s="121" t="str">
        <f t="shared" si="67"/>
        <v/>
      </c>
      <c r="P175" s="91"/>
      <c r="Q175" s="122" t="str">
        <f t="shared" si="68"/>
        <v/>
      </c>
      <c r="R175" s="122" t="str">
        <f t="shared" si="69"/>
        <v/>
      </c>
      <c r="S175" s="98"/>
    </row>
    <row r="176" spans="2:19" x14ac:dyDescent="0.25">
      <c r="B176" s="154"/>
      <c r="C176" s="142"/>
      <c r="D176" s="142"/>
      <c r="E176" s="154"/>
      <c r="F176" s="155"/>
      <c r="G176" s="154"/>
      <c r="H176" s="108">
        <v>6</v>
      </c>
      <c r="I176" s="109"/>
      <c r="J176" s="110"/>
      <c r="K176" s="123" t="str">
        <f t="shared" si="65"/>
        <v/>
      </c>
      <c r="L176" s="110"/>
      <c r="M176" s="123" t="str">
        <f t="shared" si="66"/>
        <v/>
      </c>
      <c r="N176" s="110"/>
      <c r="O176" s="123" t="str">
        <f t="shared" si="67"/>
        <v/>
      </c>
      <c r="P176" s="105"/>
      <c r="Q176" s="124" t="str">
        <f t="shared" si="68"/>
        <v/>
      </c>
      <c r="R176" s="124" t="str">
        <f t="shared" si="69"/>
        <v/>
      </c>
      <c r="S176" s="109"/>
    </row>
    <row r="177" spans="2:19" x14ac:dyDescent="0.25">
      <c r="B177" s="148">
        <v>29</v>
      </c>
      <c r="C177" s="149" t="s">
        <v>53</v>
      </c>
      <c r="D177" s="149" t="s">
        <v>68</v>
      </c>
      <c r="E177" s="148" t="s">
        <v>188</v>
      </c>
      <c r="F177" s="150"/>
      <c r="G177" s="148"/>
      <c r="H177" s="151"/>
      <c r="I177" s="151"/>
      <c r="J177" s="96" t="str">
        <f>_xlfn.XLOOKUP(1,$K$178:$K$181,$I$178:$I$181, "-", 0)</f>
        <v>-</v>
      </c>
      <c r="K177" s="151"/>
      <c r="L177" s="96" t="str">
        <f>_xlfn.XLOOKUP(1,$M$178:$M$181,$I$178:$I$181, "-", 0)</f>
        <v>-</v>
      </c>
      <c r="M177" s="151"/>
      <c r="N177" s="96" t="str">
        <f>_xlfn.XLOOKUP(1,$O$178:$O$181,$I$178:$I$181, "-", 0)</f>
        <v>-</v>
      </c>
      <c r="O177" s="151"/>
      <c r="P177" s="97" t="str">
        <f>IF(COUNTIF($P$178:$P$181,"Yes")&gt;0,"Yes","")</f>
        <v/>
      </c>
      <c r="Q177" s="96">
        <f>SUM($Q$178:$Q$181)</f>
        <v>0</v>
      </c>
      <c r="R177" s="96" t="str">
        <f>IF($Q$177&gt;0,$F$177-$Q$177,"")</f>
        <v/>
      </c>
      <c r="S177" s="151"/>
    </row>
    <row r="178" spans="2:19" x14ac:dyDescent="0.25">
      <c r="B178" s="152"/>
      <c r="C178" s="143"/>
      <c r="D178" s="143"/>
      <c r="E178" s="152"/>
      <c r="F178" s="153"/>
      <c r="G178" s="152"/>
      <c r="H178" s="90">
        <v>1</v>
      </c>
      <c r="I178" s="98"/>
      <c r="J178" s="99"/>
      <c r="K178" s="121" t="str">
        <f>IF($J178="","",RANK(J178,$J$178:$J$181,1))</f>
        <v/>
      </c>
      <c r="L178" s="99"/>
      <c r="M178" s="121" t="str">
        <f>IF($L178="","",RANK(L178,$L$178:$L$181,1))</f>
        <v/>
      </c>
      <c r="N178" s="99"/>
      <c r="O178" s="121" t="str">
        <f>IF($N178="","",RANK(N178,$N$178:$N$181,1))</f>
        <v/>
      </c>
      <c r="P178" s="91"/>
      <c r="Q178" s="122" t="str">
        <f>IF($P178="Yes",IF($N178&gt;0,$N178,IF($L178&gt;0,$L178,IF($J178&gt;0,$J178,""))),"")</f>
        <v/>
      </c>
      <c r="R178" s="122" t="str">
        <f>IFERROR(IF(INT($Q178)&gt;0,$F$177-$Q178,""),"")</f>
        <v/>
      </c>
      <c r="S178" s="98"/>
    </row>
    <row r="179" spans="2:19" x14ac:dyDescent="0.25">
      <c r="B179" s="152"/>
      <c r="C179" s="143"/>
      <c r="D179" s="143"/>
      <c r="E179" s="152"/>
      <c r="F179" s="153"/>
      <c r="G179" s="152"/>
      <c r="H179" s="90">
        <v>2</v>
      </c>
      <c r="I179" s="98"/>
      <c r="J179" s="99"/>
      <c r="K179" s="121" t="str">
        <f>IF($J179="","",RANK(J179,$J$178:$J$181,1))</f>
        <v/>
      </c>
      <c r="L179" s="99"/>
      <c r="M179" s="121" t="str">
        <f>IF($L179="","",RANK(L179,$L$178:$L$181,1))</f>
        <v/>
      </c>
      <c r="N179" s="99"/>
      <c r="O179" s="121" t="str">
        <f>IF($N179="","",RANK(N179,$N$178:$N$181,1))</f>
        <v/>
      </c>
      <c r="P179" s="91"/>
      <c r="Q179" s="122" t="str">
        <f>IF($P179="Yes",IF($N179&gt;0,$N179,IF($L179&gt;0,$L179,IF($J179&gt;0,$J179,""))),"")</f>
        <v/>
      </c>
      <c r="R179" s="122" t="str">
        <f>IFERROR(IF(INT($Q179)&gt;0,$F$177-$Q179,""),"")</f>
        <v/>
      </c>
      <c r="S179" s="98"/>
    </row>
    <row r="180" spans="2:19" x14ac:dyDescent="0.25">
      <c r="B180" s="152"/>
      <c r="C180" s="143"/>
      <c r="D180" s="143"/>
      <c r="E180" s="152"/>
      <c r="F180" s="153"/>
      <c r="G180" s="152"/>
      <c r="H180" s="90">
        <v>3</v>
      </c>
      <c r="I180" s="98"/>
      <c r="J180" s="99"/>
      <c r="K180" s="121" t="str">
        <f>IF($J180="","",RANK(J180,$J$178:$J$181,1))</f>
        <v/>
      </c>
      <c r="L180" s="99"/>
      <c r="M180" s="121" t="str">
        <f>IF($L180="","",RANK(L180,$L$178:$L$181,1))</f>
        <v/>
      </c>
      <c r="N180" s="99"/>
      <c r="O180" s="121" t="str">
        <f>IF($N180="","",RANK(N180,$N$178:$N$181,1))</f>
        <v/>
      </c>
      <c r="P180" s="91"/>
      <c r="Q180" s="122" t="str">
        <f>IF($P180="Yes",IF($N180&gt;0,$N180,IF($L180&gt;0,$L180,IF($J180&gt;0,$J180,""))),"")</f>
        <v/>
      </c>
      <c r="R180" s="122" t="str">
        <f>IFERROR(IF(INT($Q180)&gt;0,$F$177-$Q180,""),"")</f>
        <v/>
      </c>
      <c r="S180" s="98"/>
    </row>
    <row r="181" spans="2:19" x14ac:dyDescent="0.25">
      <c r="B181" s="154"/>
      <c r="C181" s="142"/>
      <c r="D181" s="142"/>
      <c r="E181" s="154"/>
      <c r="F181" s="155"/>
      <c r="G181" s="154"/>
      <c r="H181" s="108">
        <v>4</v>
      </c>
      <c r="I181" s="109"/>
      <c r="J181" s="110"/>
      <c r="K181" s="123" t="str">
        <f>IF($J181="","",RANK(J181,$J$178:$J$181,1))</f>
        <v/>
      </c>
      <c r="L181" s="110"/>
      <c r="M181" s="123" t="str">
        <f>IF($L181="","",RANK(L181,$L$178:$L$181,1))</f>
        <v/>
      </c>
      <c r="N181" s="110"/>
      <c r="O181" s="123" t="str">
        <f>IF($N181="","",RANK(N181,$N$178:$N$181,1))</f>
        <v/>
      </c>
      <c r="P181" s="105"/>
      <c r="Q181" s="124" t="str">
        <f>IF($P181="Yes",IF($N181&gt;0,$N181,IF($L181&gt;0,$L181,IF($J181&gt;0,$J181,""))),"")</f>
        <v/>
      </c>
      <c r="R181" s="124" t="str">
        <f>IFERROR(IF(INT($Q181)&gt;0,$F$177-$Q181,""),"")</f>
        <v/>
      </c>
      <c r="S181" s="109"/>
    </row>
    <row r="182" spans="2:19" x14ac:dyDescent="0.25">
      <c r="B182" s="160">
        <v>30</v>
      </c>
      <c r="C182" s="161" t="s">
        <v>44</v>
      </c>
      <c r="D182" s="161" t="s">
        <v>69</v>
      </c>
      <c r="E182" s="160" t="s">
        <v>212</v>
      </c>
      <c r="F182" s="162"/>
      <c r="G182" s="160"/>
      <c r="H182" s="163"/>
      <c r="I182" s="163"/>
      <c r="J182" s="134" t="str">
        <f>_xlfn.XLOOKUP(1,$K$183:$K$183,$I$183:$I$183, "-", 0)</f>
        <v>-</v>
      </c>
      <c r="K182" s="163"/>
      <c r="L182" s="134" t="str">
        <f>_xlfn.XLOOKUP(1,$M$183:$M$183,$I$183:$I$183, "-", 0)</f>
        <v>-</v>
      </c>
      <c r="M182" s="163"/>
      <c r="N182" s="134" t="str">
        <f>_xlfn.XLOOKUP(1,$O$183:$O$183,$I$183:$I$183, "-", 0)</f>
        <v>-</v>
      </c>
      <c r="O182" s="163"/>
      <c r="P182" s="135" t="str">
        <f>IF(COUNTIF($P$183:$P$183,"Yes")&gt;0,"Yes","")</f>
        <v/>
      </c>
      <c r="Q182" s="134">
        <f>SUM($Q$183:$Q$183)</f>
        <v>0</v>
      </c>
      <c r="R182" s="134" t="str">
        <f>IF($Q$182&gt;0,$F$182-$Q$182,"")</f>
        <v/>
      </c>
      <c r="S182" s="163"/>
    </row>
    <row r="183" spans="2:19" x14ac:dyDescent="0.25">
      <c r="B183" s="152"/>
      <c r="C183" s="143"/>
      <c r="D183" s="143"/>
      <c r="E183" s="152"/>
      <c r="F183" s="153"/>
      <c r="G183" s="152"/>
      <c r="H183" s="90">
        <v>1</v>
      </c>
      <c r="I183" s="98"/>
      <c r="J183" s="99"/>
      <c r="K183" s="121" t="str">
        <f>IF($J183="","",RANK(J183,$J$183:$J$183,1))</f>
        <v/>
      </c>
      <c r="L183" s="99"/>
      <c r="M183" s="121" t="str">
        <f>IF($L183="","",RANK(L183,$L$183:$L$183,1))</f>
        <v/>
      </c>
      <c r="N183" s="99"/>
      <c r="O183" s="121" t="str">
        <f>IF($N183="","",RANK(N183,$N$183:$N$183,1))</f>
        <v/>
      </c>
      <c r="P183" s="91"/>
      <c r="Q183" s="122" t="str">
        <f>IF($P183="Yes",IF($N183&gt;0,$N183,IF($L183&gt;0,$L183,IF($J183&gt;0,$J183,""))),"")</f>
        <v/>
      </c>
      <c r="R183" s="122" t="str">
        <f>IFERROR(IF(INT($Q183)&gt;0,$F$182-$Q183,""),"")</f>
        <v/>
      </c>
      <c r="S183" s="98"/>
    </row>
    <row r="184" spans="2:19" x14ac:dyDescent="0.25">
      <c r="B184" s="156">
        <v>32</v>
      </c>
      <c r="C184" s="157" t="s">
        <v>53</v>
      </c>
      <c r="D184" s="157" t="s">
        <v>70</v>
      </c>
      <c r="E184" s="156" t="s">
        <v>214</v>
      </c>
      <c r="F184" s="158"/>
      <c r="G184" s="156"/>
      <c r="H184" s="159"/>
      <c r="I184" s="159"/>
      <c r="J184" s="113" t="str">
        <f>_xlfn.XLOOKUP(1,$K$185:$K$186,$I$185:$I$186, "-", 0)</f>
        <v>-</v>
      </c>
      <c r="K184" s="159"/>
      <c r="L184" s="113" t="str">
        <f>_xlfn.XLOOKUP(1,$M$185:$M$186,$I$185:$I$186, "-", 0)</f>
        <v>-</v>
      </c>
      <c r="M184" s="159"/>
      <c r="N184" s="113" t="str">
        <f>_xlfn.XLOOKUP(1,$O$185:$O$186,$I$185:$I$186, "-", 0)</f>
        <v>-</v>
      </c>
      <c r="O184" s="159"/>
      <c r="P184" s="114" t="str">
        <f>IF(COUNTIF($P$185:$P$186,"Yes")&gt;0,"Yes","")</f>
        <v/>
      </c>
      <c r="Q184" s="113">
        <f>SUM($Q$185:$Q$186)</f>
        <v>0</v>
      </c>
      <c r="R184" s="113" t="str">
        <f>IF($Q$184&gt;0,$F$184-$Q$184,"")</f>
        <v/>
      </c>
      <c r="S184" s="159"/>
    </row>
    <row r="185" spans="2:19" x14ac:dyDescent="0.25">
      <c r="B185" s="154"/>
      <c r="C185" s="142"/>
      <c r="D185" s="142"/>
      <c r="E185" s="154"/>
      <c r="F185" s="155"/>
      <c r="G185" s="154"/>
      <c r="H185" s="108">
        <v>1</v>
      </c>
      <c r="I185" s="109"/>
      <c r="J185" s="110"/>
      <c r="K185" s="123" t="str">
        <f>IF($J185="","",RANK(J185,$J$185:$J$186,1))</f>
        <v/>
      </c>
      <c r="L185" s="110"/>
      <c r="M185" s="123" t="str">
        <f>IF($L185="","",RANK(L185,$L$185:$L$186,1))</f>
        <v/>
      </c>
      <c r="N185" s="110"/>
      <c r="O185" s="123" t="str">
        <f>IF($N185="","",RANK(N185,$N$185:$N$186,1))</f>
        <v/>
      </c>
      <c r="P185" s="105"/>
      <c r="Q185" s="124" t="str">
        <f>IF($P185="Yes",IF($N185&gt;0,$N185,IF($L185&gt;0,$L185,IF($J185&gt;0,$J185,""))),"")</f>
        <v/>
      </c>
      <c r="R185" s="124" t="str">
        <f>IFERROR(IF(INT($Q185)&gt;0,$F$184-$Q185,""),"")</f>
        <v/>
      </c>
      <c r="S185" s="109"/>
    </row>
    <row r="186" spans="2:19" x14ac:dyDescent="0.25">
      <c r="B186" s="152"/>
      <c r="C186" s="143"/>
      <c r="D186" s="143"/>
      <c r="E186" s="152"/>
      <c r="F186" s="153"/>
      <c r="G186" s="152"/>
      <c r="H186" s="90">
        <v>2</v>
      </c>
      <c r="I186" s="98"/>
      <c r="J186" s="99"/>
      <c r="K186" s="121" t="str">
        <f>IF($J186="","",RANK(J186,$J$185:$J$186,1))</f>
        <v/>
      </c>
      <c r="L186" s="99"/>
      <c r="M186" s="121" t="str">
        <f>IF($L186="","",RANK(L186,$L$185:$L$186,1))</f>
        <v/>
      </c>
      <c r="N186" s="99"/>
      <c r="O186" s="121" t="str">
        <f>IF($N186="","",RANK(N186,$N$185:$N$186,1))</f>
        <v/>
      </c>
      <c r="P186" s="91"/>
      <c r="Q186" s="122" t="str">
        <f>IF($P186="Yes",IF($N186&gt;0,$N186,IF($L186&gt;0,$L186,IF($J186&gt;0,$J186,""))),"")</f>
        <v/>
      </c>
      <c r="R186" s="122" t="str">
        <f>IFERROR(IF(INT($Q186)&gt;0,$F$184-$Q186,""),"")</f>
        <v/>
      </c>
      <c r="S186" s="98"/>
    </row>
    <row r="187" spans="2:19" x14ac:dyDescent="0.25">
      <c r="B187" s="156">
        <v>34</v>
      </c>
      <c r="C187" s="157" t="s">
        <v>44</v>
      </c>
      <c r="D187" s="157" t="s">
        <v>71</v>
      </c>
      <c r="E187" s="156" t="s">
        <v>215</v>
      </c>
      <c r="F187" s="158">
        <v>17465568.510000002</v>
      </c>
      <c r="G187" s="156" t="s">
        <v>276</v>
      </c>
      <c r="H187" s="159"/>
      <c r="I187" s="159"/>
      <c r="J187" s="113" t="str">
        <f>_xlfn.XLOOKUP(1,$K$188:$K$192,$I$188:$I$192, "-", 0)</f>
        <v xml:space="preserve">Imada </v>
      </c>
      <c r="K187" s="159"/>
      <c r="L187" s="113" t="str">
        <f>_xlfn.XLOOKUP(1,$M$188:$M$192,$I$188:$I$192, "-", 0)</f>
        <v xml:space="preserve">Imada </v>
      </c>
      <c r="M187" s="159"/>
      <c r="N187" s="113" t="str">
        <f>_xlfn.XLOOKUP(1,$O$188:$O$192,$I$188:$I$192, "-", 0)</f>
        <v xml:space="preserve">Imada </v>
      </c>
      <c r="O187" s="159"/>
      <c r="P187" s="114" t="str">
        <f>IF(COUNTIF($P$188:$P$192,"Yes")&gt;0,"Yes","")</f>
        <v>Yes</v>
      </c>
      <c r="Q187" s="113">
        <f>SUM($Q$188:$Q$192)</f>
        <v>16329223.630000001</v>
      </c>
      <c r="R187" s="113">
        <f>IF($Q$187&gt;0,$F$187-$Q$187,"")</f>
        <v>1136344.8800000008</v>
      </c>
      <c r="S187" s="159"/>
    </row>
    <row r="188" spans="2:19" x14ac:dyDescent="0.25">
      <c r="B188" s="152"/>
      <c r="C188" s="143"/>
      <c r="D188" s="143"/>
      <c r="E188" s="152"/>
      <c r="F188" s="153"/>
      <c r="G188" s="152"/>
      <c r="H188" s="90">
        <v>1</v>
      </c>
      <c r="I188" s="98" t="s">
        <v>293</v>
      </c>
      <c r="J188" s="99">
        <v>16329223.630000001</v>
      </c>
      <c r="K188" s="121">
        <f>IF($J188="","",RANK(J188,$J$188:$J$192,1))</f>
        <v>1</v>
      </c>
      <c r="L188" s="99">
        <f>J188</f>
        <v>16329223.630000001</v>
      </c>
      <c r="M188" s="121">
        <f>IF($L188="","",RANK(L188,$L$188:$L$192,1))</f>
        <v>1</v>
      </c>
      <c r="N188" s="99">
        <f>L188</f>
        <v>16329223.630000001</v>
      </c>
      <c r="O188" s="121">
        <f>IF($N188="","",RANK(N188,$N$188:$N$192,1))</f>
        <v>1</v>
      </c>
      <c r="P188" s="91" t="s">
        <v>276</v>
      </c>
      <c r="Q188" s="122">
        <f>IF($P188="Yes",IF($N188&gt;0,$N188,IF($L188&gt;0,$L188,IF($J188&gt;0,$J188,""))),"")</f>
        <v>16329223.630000001</v>
      </c>
      <c r="R188" s="122">
        <f>IFERROR(IF(INT($Q188)&gt;0,$F$187-$Q188,""),"")</f>
        <v>1136344.8800000008</v>
      </c>
      <c r="S188" s="98"/>
    </row>
    <row r="189" spans="2:19" x14ac:dyDescent="0.25">
      <c r="B189" s="152"/>
      <c r="C189" s="143"/>
      <c r="D189" s="143"/>
      <c r="E189" s="152"/>
      <c r="F189" s="153"/>
      <c r="G189" s="152"/>
      <c r="H189" s="90">
        <v>2</v>
      </c>
      <c r="I189" s="98"/>
      <c r="J189" s="99"/>
      <c r="K189" s="121" t="str">
        <f>IF($J189="","",RANK(J189,$J$188:$J$192,1))</f>
        <v/>
      </c>
      <c r="L189" s="99"/>
      <c r="M189" s="121" t="str">
        <f>IF($L189="","",RANK(L189,$L$188:$L$192,1))</f>
        <v/>
      </c>
      <c r="N189" s="99"/>
      <c r="O189" s="121" t="str">
        <f>IF($N189="","",RANK(N189,$N$188:$N$192,1))</f>
        <v/>
      </c>
      <c r="P189" s="91"/>
      <c r="Q189" s="122" t="str">
        <f>IF($P189="Yes",IF($N189&gt;0,$N189,IF($L189&gt;0,$L189,IF($J189&gt;0,$J189,""))),"")</f>
        <v/>
      </c>
      <c r="R189" s="122" t="str">
        <f>IFERROR(IF(INT($Q189)&gt;0,$F$187-$Q189,""),"")</f>
        <v/>
      </c>
      <c r="S189" s="98"/>
    </row>
    <row r="190" spans="2:19" x14ac:dyDescent="0.25">
      <c r="B190" s="152"/>
      <c r="C190" s="143"/>
      <c r="D190" s="143"/>
      <c r="E190" s="152"/>
      <c r="F190" s="153"/>
      <c r="G190" s="152"/>
      <c r="H190" s="90">
        <v>3</v>
      </c>
      <c r="I190" s="98"/>
      <c r="J190" s="99"/>
      <c r="K190" s="121" t="str">
        <f>IF($J190="","",RANK(J190,$J$188:$J$192,1))</f>
        <v/>
      </c>
      <c r="L190" s="99"/>
      <c r="M190" s="121" t="str">
        <f>IF($L190="","",RANK(L190,$L$188:$L$192,1))</f>
        <v/>
      </c>
      <c r="N190" s="99"/>
      <c r="O190" s="121" t="str">
        <f>IF($N190="","",RANK(N190,$N$188:$N$192,1))</f>
        <v/>
      </c>
      <c r="P190" s="91"/>
      <c r="Q190" s="122" t="str">
        <f>IF($P190="Yes",IF($N190&gt;0,$N190,IF($L190&gt;0,$L190,IF($J190&gt;0,$J190,""))),"")</f>
        <v/>
      </c>
      <c r="R190" s="122" t="str">
        <f>IFERROR(IF(INT($Q190)&gt;0,$F$187-$Q190,""),"")</f>
        <v/>
      </c>
      <c r="S190" s="98"/>
    </row>
    <row r="191" spans="2:19" x14ac:dyDescent="0.25">
      <c r="B191" s="152"/>
      <c r="C191" s="143"/>
      <c r="D191" s="143"/>
      <c r="E191" s="152"/>
      <c r="F191" s="153"/>
      <c r="G191" s="152"/>
      <c r="H191" s="90">
        <v>4</v>
      </c>
      <c r="I191" s="98"/>
      <c r="J191" s="99"/>
      <c r="K191" s="121" t="str">
        <f>IF($J191="","",RANK(J191,$J$188:$J$192,1))</f>
        <v/>
      </c>
      <c r="L191" s="99"/>
      <c r="M191" s="121" t="str">
        <f>IF($L191="","",RANK(L191,$L$188:$L$192,1))</f>
        <v/>
      </c>
      <c r="N191" s="99"/>
      <c r="O191" s="121" t="str">
        <f>IF($N191="","",RANK(N191,$N$188:$N$192,1))</f>
        <v/>
      </c>
      <c r="P191" s="91"/>
      <c r="Q191" s="122" t="str">
        <f>IF($P191="Yes",IF($N191&gt;0,$N191,IF($L191&gt;0,$L191,IF($J191&gt;0,$J191,""))),"")</f>
        <v/>
      </c>
      <c r="R191" s="122" t="str">
        <f>IFERROR(IF(INT($Q191)&gt;0,$F$187-$Q191,""),"")</f>
        <v/>
      </c>
      <c r="S191" s="98"/>
    </row>
    <row r="192" spans="2:19" x14ac:dyDescent="0.25">
      <c r="B192" s="154"/>
      <c r="C192" s="142"/>
      <c r="D192" s="142"/>
      <c r="E192" s="154"/>
      <c r="F192" s="155"/>
      <c r="G192" s="154"/>
      <c r="H192" s="108">
        <v>5</v>
      </c>
      <c r="I192" s="109"/>
      <c r="J192" s="110"/>
      <c r="K192" s="123" t="str">
        <f>IF($J192="","",RANK(J192,$J$188:$J$192,1))</f>
        <v/>
      </c>
      <c r="L192" s="110"/>
      <c r="M192" s="123" t="str">
        <f>IF($L192="","",RANK(L192,$L$188:$L$192,1))</f>
        <v/>
      </c>
      <c r="N192" s="110"/>
      <c r="O192" s="123" t="str">
        <f>IF($N192="","",RANK(N192,$N$188:$N$192,1))</f>
        <v/>
      </c>
      <c r="P192" s="105"/>
      <c r="Q192" s="124" t="str">
        <f>IF($P192="Yes",IF($N192&gt;0,$N192,IF($L192&gt;0,$L192,IF($J192&gt;0,$J192,""))),"")</f>
        <v/>
      </c>
      <c r="R192" s="124" t="str">
        <f>IFERROR(IF(INT($Q192)&gt;0,$F$187-$Q192,""),"")</f>
        <v/>
      </c>
      <c r="S192" s="109"/>
    </row>
    <row r="193" spans="2:19" x14ac:dyDescent="0.25">
      <c r="B193" s="148">
        <v>35</v>
      </c>
      <c r="C193" s="149" t="s">
        <v>44</v>
      </c>
      <c r="D193" s="149" t="s">
        <v>72</v>
      </c>
      <c r="E193" s="148" t="s">
        <v>215</v>
      </c>
      <c r="F193" s="150">
        <v>18488309.149999999</v>
      </c>
      <c r="G193" s="148" t="s">
        <v>276</v>
      </c>
      <c r="H193" s="151"/>
      <c r="I193" s="151"/>
      <c r="J193" s="96" t="str">
        <f>_xlfn.XLOOKUP(1,$K$194:$K$198,$I$194:$I$198, "-", 0)</f>
        <v xml:space="preserve">Marbeya </v>
      </c>
      <c r="K193" s="151"/>
      <c r="L193" s="96" t="str">
        <f>_xlfn.XLOOKUP(1,$M$194:$M$198,$I$194:$I$198, "-", 0)</f>
        <v xml:space="preserve">Marbeya </v>
      </c>
      <c r="M193" s="151"/>
      <c r="N193" s="96" t="str">
        <f>_xlfn.XLOOKUP(1,$O$194:$O$198,$I$194:$I$198, "-", 0)</f>
        <v xml:space="preserve">Marbeya </v>
      </c>
      <c r="O193" s="151"/>
      <c r="P193" s="97" t="str">
        <f>IF(COUNTIF($P$194:$P$198,"Yes")&gt;0,"Yes","")</f>
        <v>Yes</v>
      </c>
      <c r="Q193" s="96">
        <f>SUM($Q$194:$Q$198)</f>
        <v>17645603.719999999</v>
      </c>
      <c r="R193" s="96">
        <f>IF($Q$193&gt;0,$F$193-$Q$193,"")</f>
        <v>842705.4299999997</v>
      </c>
      <c r="S193" s="151"/>
    </row>
    <row r="194" spans="2:19" x14ac:dyDescent="0.25">
      <c r="B194" s="152"/>
      <c r="C194" s="143"/>
      <c r="D194" s="143"/>
      <c r="E194" s="152"/>
      <c r="F194" s="153"/>
      <c r="G194" s="152"/>
      <c r="H194" s="90">
        <v>1</v>
      </c>
      <c r="I194" s="98" t="s">
        <v>294</v>
      </c>
      <c r="J194" s="99">
        <v>17645603.719999999</v>
      </c>
      <c r="K194" s="121">
        <f>IF($J194="","",RANK(J194,$J$194:$J$198,1))</f>
        <v>1</v>
      </c>
      <c r="L194" s="99">
        <f>J194</f>
        <v>17645603.719999999</v>
      </c>
      <c r="M194" s="121">
        <f>IF($L194="","",RANK(L194,$L$194:$L$198,1))</f>
        <v>1</v>
      </c>
      <c r="N194" s="99">
        <f>L194</f>
        <v>17645603.719999999</v>
      </c>
      <c r="O194" s="121">
        <f>IF($N194="","",RANK(N194,$N$194:$N$198,1))</f>
        <v>1</v>
      </c>
      <c r="P194" s="91" t="s">
        <v>276</v>
      </c>
      <c r="Q194" s="122">
        <f>IF($P194="Yes",IF($N194&gt;0,$N194,IF($L194&gt;0,$L194,IF($J194&gt;0,$J194,""))),"")</f>
        <v>17645603.719999999</v>
      </c>
      <c r="R194" s="122">
        <f>IFERROR(IF(INT($Q194)&gt;0,$F$193-$Q194,""),"")</f>
        <v>842705.4299999997</v>
      </c>
      <c r="S194" s="98"/>
    </row>
    <row r="195" spans="2:19" x14ac:dyDescent="0.25">
      <c r="B195" s="152"/>
      <c r="C195" s="143"/>
      <c r="D195" s="143"/>
      <c r="E195" s="152"/>
      <c r="F195" s="153"/>
      <c r="G195" s="152"/>
      <c r="H195" s="90">
        <v>2</v>
      </c>
      <c r="I195" s="98"/>
      <c r="J195" s="99"/>
      <c r="K195" s="121" t="str">
        <f>IF($J195="","",RANK(J195,$J$194:$J$198,1))</f>
        <v/>
      </c>
      <c r="L195" s="99"/>
      <c r="M195" s="121" t="str">
        <f>IF($L195="","",RANK(L195,$L$194:$L$198,1))</f>
        <v/>
      </c>
      <c r="N195" s="99"/>
      <c r="O195" s="121" t="str">
        <f>IF($N195="","",RANK(N195,$N$194:$N$198,1))</f>
        <v/>
      </c>
      <c r="P195" s="91"/>
      <c r="Q195" s="122" t="str">
        <f>IF($P195="Yes",IF($N195&gt;0,$N195,IF($L195&gt;0,$L195,IF($J195&gt;0,$J195,""))),"")</f>
        <v/>
      </c>
      <c r="R195" s="122" t="str">
        <f>IFERROR(IF(INT($Q195)&gt;0,$F$193-$Q195,""),"")</f>
        <v/>
      </c>
      <c r="S195" s="98"/>
    </row>
    <row r="196" spans="2:19" x14ac:dyDescent="0.25">
      <c r="B196" s="152"/>
      <c r="C196" s="143"/>
      <c r="D196" s="143"/>
      <c r="E196" s="152"/>
      <c r="F196" s="153"/>
      <c r="G196" s="152"/>
      <c r="H196" s="90">
        <v>3</v>
      </c>
      <c r="I196" s="98"/>
      <c r="J196" s="99"/>
      <c r="K196" s="121" t="str">
        <f>IF($J196="","",RANK(J196,$J$194:$J$198,1))</f>
        <v/>
      </c>
      <c r="L196" s="99"/>
      <c r="M196" s="121" t="str">
        <f>IF($L196="","",RANK(L196,$L$194:$L$198,1))</f>
        <v/>
      </c>
      <c r="N196" s="99"/>
      <c r="O196" s="121" t="str">
        <f>IF($N196="","",RANK(N196,$N$194:$N$198,1))</f>
        <v/>
      </c>
      <c r="P196" s="91"/>
      <c r="Q196" s="122" t="str">
        <f>IF($P196="Yes",IF($N196&gt;0,$N196,IF($L196&gt;0,$L196,IF($J196&gt;0,$J196,""))),"")</f>
        <v/>
      </c>
      <c r="R196" s="122" t="str">
        <f>IFERROR(IF(INT($Q196)&gt;0,$F$193-$Q196,""),"")</f>
        <v/>
      </c>
      <c r="S196" s="98"/>
    </row>
    <row r="197" spans="2:19" x14ac:dyDescent="0.25">
      <c r="B197" s="152"/>
      <c r="C197" s="143"/>
      <c r="D197" s="143"/>
      <c r="E197" s="152"/>
      <c r="F197" s="153"/>
      <c r="G197" s="152"/>
      <c r="H197" s="90">
        <v>4</v>
      </c>
      <c r="I197" s="98"/>
      <c r="J197" s="99"/>
      <c r="K197" s="121" t="str">
        <f>IF($J197="","",RANK(J197,$J$194:$J$198,1))</f>
        <v/>
      </c>
      <c r="L197" s="99"/>
      <c r="M197" s="121" t="str">
        <f>IF($L197="","",RANK(L197,$L$194:$L$198,1))</f>
        <v/>
      </c>
      <c r="N197" s="99"/>
      <c r="O197" s="121" t="str">
        <f>IF($N197="","",RANK(N197,$N$194:$N$198,1))</f>
        <v/>
      </c>
      <c r="P197" s="91"/>
      <c r="Q197" s="122" t="str">
        <f>IF($P197="Yes",IF($N197&gt;0,$N197,IF($L197&gt;0,$L197,IF($J197&gt;0,$J197,""))),"")</f>
        <v/>
      </c>
      <c r="R197" s="122" t="str">
        <f>IFERROR(IF(INT($Q197)&gt;0,$F$193-$Q197,""),"")</f>
        <v/>
      </c>
      <c r="S197" s="98"/>
    </row>
    <row r="198" spans="2:19" x14ac:dyDescent="0.25">
      <c r="B198" s="154"/>
      <c r="C198" s="142"/>
      <c r="D198" s="142"/>
      <c r="E198" s="154"/>
      <c r="F198" s="155"/>
      <c r="G198" s="154"/>
      <c r="H198" s="108">
        <v>5</v>
      </c>
      <c r="I198" s="109"/>
      <c r="J198" s="110"/>
      <c r="K198" s="123" t="str">
        <f>IF($J198="","",RANK(J198,$J$194:$J$198,1))</f>
        <v/>
      </c>
      <c r="L198" s="110"/>
      <c r="M198" s="123" t="str">
        <f>IF($L198="","",RANK(L198,$L$194:$L$198,1))</f>
        <v/>
      </c>
      <c r="N198" s="110"/>
      <c r="O198" s="123" t="str">
        <f>IF($N198="","",RANK(N198,$N$194:$N$198,1))</f>
        <v/>
      </c>
      <c r="P198" s="105"/>
      <c r="Q198" s="124" t="str">
        <f>IF($P198="Yes",IF($N198&gt;0,$N198,IF($L198&gt;0,$L198,IF($J198&gt;0,$J198,""))),"")</f>
        <v/>
      </c>
      <c r="R198" s="124" t="str">
        <f>IFERROR(IF(INT($Q198)&gt;0,$F$193-$Q198,""),"")</f>
        <v/>
      </c>
      <c r="S198" s="109"/>
    </row>
    <row r="199" spans="2:19" x14ac:dyDescent="0.25">
      <c r="B199" s="148">
        <v>36</v>
      </c>
      <c r="C199" s="149" t="s">
        <v>44</v>
      </c>
      <c r="D199" s="149" t="s">
        <v>218</v>
      </c>
      <c r="E199" s="148" t="s">
        <v>219</v>
      </c>
      <c r="F199" s="150"/>
      <c r="G199" s="148" t="s">
        <v>276</v>
      </c>
      <c r="H199" s="151"/>
      <c r="I199" s="151"/>
      <c r="J199" s="96" t="str">
        <f>_xlfn.XLOOKUP(1,$K$200:$K$203,$I$200:$I$203, "-", 0)</f>
        <v>-</v>
      </c>
      <c r="K199" s="151"/>
      <c r="L199" s="96" t="str">
        <f>_xlfn.XLOOKUP(1,$M$200:$M$203,$I$200:$I$203, "-", 0)</f>
        <v>-</v>
      </c>
      <c r="M199" s="151"/>
      <c r="N199" s="96" t="str">
        <f>_xlfn.XLOOKUP(1,$O$200:$O$203,$I$200:$I$203, "-", 0)</f>
        <v>-</v>
      </c>
      <c r="O199" s="151"/>
      <c r="P199" s="97" t="str">
        <f>IF(COUNTIF($P$200:$P$203,"Yes")&gt;0,"Yes","")</f>
        <v/>
      </c>
      <c r="Q199" s="96">
        <f>SUM($Q$200:$Q$203)</f>
        <v>0</v>
      </c>
      <c r="R199" s="96" t="str">
        <f>IF($Q$199&gt;0,$F$199-$Q$199,"")</f>
        <v/>
      </c>
      <c r="S199" s="151"/>
    </row>
    <row r="200" spans="2:19" x14ac:dyDescent="0.25">
      <c r="B200" s="152"/>
      <c r="C200" s="143"/>
      <c r="D200" s="143"/>
      <c r="E200" s="152"/>
      <c r="F200" s="153"/>
      <c r="G200" s="152"/>
      <c r="H200" s="90">
        <v>1</v>
      </c>
      <c r="I200" s="98"/>
      <c r="J200" s="99"/>
      <c r="K200" s="121" t="str">
        <f>IF($J200="","",RANK(J200,$J$200:$J$203,1))</f>
        <v/>
      </c>
      <c r="L200" s="99"/>
      <c r="M200" s="121" t="str">
        <f>IF($L200="","",RANK(L200,$L$200:$L$203,1))</f>
        <v/>
      </c>
      <c r="N200" s="99"/>
      <c r="O200" s="121" t="str">
        <f>IF($N200="","",RANK(N200,$N$200:$N$203,1))</f>
        <v/>
      </c>
      <c r="P200" s="91"/>
      <c r="Q200" s="122" t="str">
        <f>IF($P200="Yes",IF($N200&gt;0,$N200,IF($L200&gt;0,$L200,IF($J200&gt;0,$J200,""))),"")</f>
        <v/>
      </c>
      <c r="R200" s="122" t="str">
        <f>IFERROR(IF(INT($Q200)&gt;0,$F$199-$Q200,""),"")</f>
        <v/>
      </c>
      <c r="S200" s="98"/>
    </row>
    <row r="201" spans="2:19" x14ac:dyDescent="0.25">
      <c r="B201" s="152"/>
      <c r="C201" s="143"/>
      <c r="D201" s="143"/>
      <c r="E201" s="152"/>
      <c r="F201" s="153"/>
      <c r="G201" s="152"/>
      <c r="H201" s="90">
        <v>2</v>
      </c>
      <c r="I201" s="98"/>
      <c r="J201" s="99"/>
      <c r="K201" s="121" t="str">
        <f>IF($J201="","",RANK(J201,$J$200:$J$203,1))</f>
        <v/>
      </c>
      <c r="L201" s="99"/>
      <c r="M201" s="121" t="str">
        <f>IF($L201="","",RANK(L201,$L$200:$L$203,1))</f>
        <v/>
      </c>
      <c r="N201" s="99"/>
      <c r="O201" s="121" t="str">
        <f>IF($N201="","",RANK(N201,$N$200:$N$203,1))</f>
        <v/>
      </c>
      <c r="P201" s="91"/>
      <c r="Q201" s="122" t="str">
        <f>IF($P201="Yes",IF($N201&gt;0,$N201,IF($L201&gt;0,$L201,IF($J201&gt;0,$J201,""))),"")</f>
        <v/>
      </c>
      <c r="R201" s="122" t="str">
        <f>IFERROR(IF(INT($Q201)&gt;0,$F$199-$Q201,""),"")</f>
        <v/>
      </c>
      <c r="S201" s="98"/>
    </row>
    <row r="202" spans="2:19" x14ac:dyDescent="0.25">
      <c r="B202" s="154"/>
      <c r="C202" s="142"/>
      <c r="D202" s="142"/>
      <c r="E202" s="154"/>
      <c r="F202" s="155"/>
      <c r="G202" s="154"/>
      <c r="H202" s="108">
        <v>3</v>
      </c>
      <c r="I202" s="109"/>
      <c r="J202" s="110"/>
      <c r="K202" s="123" t="str">
        <f>IF($J202="","",RANK(J202,$J$200:$J$203,1))</f>
        <v/>
      </c>
      <c r="L202" s="110"/>
      <c r="M202" s="123" t="str">
        <f>IF($L202="","",RANK(L202,$L$200:$L$203,1))</f>
        <v/>
      </c>
      <c r="N202" s="110"/>
      <c r="O202" s="123" t="str">
        <f>IF($N202="","",RANK(N202,$N$200:$N$203,1))</f>
        <v/>
      </c>
      <c r="P202" s="105"/>
      <c r="Q202" s="124" t="str">
        <f>IF($P202="Yes",IF($N202&gt;0,$N202,IF($L202&gt;0,$L202,IF($J202&gt;0,$J202,""))),"")</f>
        <v/>
      </c>
      <c r="R202" s="124" t="str">
        <f>IFERROR(IF(INT($Q202)&gt;0,$F$199-$Q202,""),"")</f>
        <v/>
      </c>
      <c r="S202" s="109"/>
    </row>
    <row r="203" spans="2:19" x14ac:dyDescent="0.25">
      <c r="B203" s="152"/>
      <c r="C203" s="143"/>
      <c r="D203" s="143"/>
      <c r="E203" s="152"/>
      <c r="F203" s="153"/>
      <c r="G203" s="152"/>
      <c r="H203" s="90">
        <v>4</v>
      </c>
      <c r="I203" s="98"/>
      <c r="J203" s="99"/>
      <c r="K203" s="121" t="str">
        <f>IF($J203="","",RANK(J203,$J$200:$J$203,1))</f>
        <v/>
      </c>
      <c r="L203" s="99"/>
      <c r="M203" s="121" t="str">
        <f>IF($L203="","",RANK(L203,$L$200:$L$203,1))</f>
        <v/>
      </c>
      <c r="N203" s="99"/>
      <c r="O203" s="121" t="str">
        <f>IF($N203="","",RANK(N203,$N$200:$N$203,1))</f>
        <v/>
      </c>
      <c r="P203" s="91"/>
      <c r="Q203" s="122" t="str">
        <f>IF($P203="Yes",IF($N203&gt;0,$N203,IF($L203&gt;0,$L203,IF($J203&gt;0,$J203,""))),"")</f>
        <v/>
      </c>
      <c r="R203" s="122" t="str">
        <f>IFERROR(IF(INT($Q203)&gt;0,$F$199-$Q203,""),"")</f>
        <v/>
      </c>
      <c r="S203" s="98"/>
    </row>
    <row r="204" spans="2:19" x14ac:dyDescent="0.25">
      <c r="B204" s="156">
        <v>38</v>
      </c>
      <c r="C204" s="157" t="s">
        <v>44</v>
      </c>
      <c r="D204" s="157" t="s">
        <v>74</v>
      </c>
      <c r="E204" s="156" t="s">
        <v>220</v>
      </c>
      <c r="F204" s="158"/>
      <c r="G204" s="156" t="s">
        <v>276</v>
      </c>
      <c r="H204" s="159"/>
      <c r="I204" s="159"/>
      <c r="J204" s="113" t="str">
        <f>_xlfn.XLOOKUP(1,$K$205:$K$207,$I$205:$I$207, "-", 0)</f>
        <v>-</v>
      </c>
      <c r="K204" s="159"/>
      <c r="L204" s="113" t="str">
        <f>_xlfn.XLOOKUP(1,$M$205:$M$207,$I$205:$I$207, "-", 0)</f>
        <v>-</v>
      </c>
      <c r="M204" s="159"/>
      <c r="N204" s="113" t="str">
        <f>_xlfn.XLOOKUP(1,$O$205:$O$207,$I$205:$I$207, "-", 0)</f>
        <v>-</v>
      </c>
      <c r="O204" s="159"/>
      <c r="P204" s="114" t="str">
        <f>IF(COUNTIF($P$205:$P$207,"Yes")&gt;0,"Yes","")</f>
        <v/>
      </c>
      <c r="Q204" s="113">
        <f>SUM($Q$205:$Q$207)</f>
        <v>0</v>
      </c>
      <c r="R204" s="113" t="str">
        <f>IF($Q$204&gt;0,$F$204-$Q$204,"")</f>
        <v/>
      </c>
      <c r="S204" s="159"/>
    </row>
    <row r="205" spans="2:19" x14ac:dyDescent="0.25">
      <c r="B205" s="152"/>
      <c r="C205" s="143"/>
      <c r="D205" s="143"/>
      <c r="E205" s="152"/>
      <c r="F205" s="153"/>
      <c r="G205" s="152"/>
      <c r="H205" s="90">
        <v>1</v>
      </c>
      <c r="I205" s="98"/>
      <c r="J205" s="99"/>
      <c r="K205" s="121" t="str">
        <f>IF($J205="","",RANK(J205,$J$205:$J$207,1))</f>
        <v/>
      </c>
      <c r="L205" s="99"/>
      <c r="M205" s="121" t="str">
        <f>IF($L205="","",RANK(L205,$L$205:$L$207,1))</f>
        <v/>
      </c>
      <c r="N205" s="99"/>
      <c r="O205" s="121" t="str">
        <f>IF($N205="","",RANK(N205,$N$205:$N$207,1))</f>
        <v/>
      </c>
      <c r="P205" s="91"/>
      <c r="Q205" s="122" t="str">
        <f>IF($P205="Yes",IF($N205&gt;0,$N205,IF($L205&gt;0,$L205,IF($J205&gt;0,$J205,""))),"")</f>
        <v/>
      </c>
      <c r="R205" s="122" t="str">
        <f>IFERROR(IF(INT($Q205)&gt;0,$F$204-$Q205,""),"")</f>
        <v/>
      </c>
      <c r="S205" s="98"/>
    </row>
    <row r="206" spans="2:19" x14ac:dyDescent="0.25">
      <c r="B206" s="152"/>
      <c r="C206" s="143"/>
      <c r="D206" s="143"/>
      <c r="E206" s="152"/>
      <c r="F206" s="153"/>
      <c r="G206" s="152"/>
      <c r="H206" s="90">
        <v>2</v>
      </c>
      <c r="I206" s="98"/>
      <c r="J206" s="99"/>
      <c r="K206" s="121" t="str">
        <f>IF($J206="","",RANK(J206,$J$205:$J$207,1))</f>
        <v/>
      </c>
      <c r="L206" s="99"/>
      <c r="M206" s="121" t="str">
        <f>IF($L206="","",RANK(L206,$L$205:$L$207,1))</f>
        <v/>
      </c>
      <c r="N206" s="99"/>
      <c r="O206" s="121" t="str">
        <f>IF($N206="","",RANK(N206,$N$205:$N$207,1))</f>
        <v/>
      </c>
      <c r="P206" s="91"/>
      <c r="Q206" s="122" t="str">
        <f>IF($P206="Yes",IF($N206&gt;0,$N206,IF($L206&gt;0,$L206,IF($J206&gt;0,$J206,""))),"")</f>
        <v/>
      </c>
      <c r="R206" s="122" t="str">
        <f>IFERROR(IF(INT($Q206)&gt;0,$F$204-$Q206,""),"")</f>
        <v/>
      </c>
      <c r="S206" s="98"/>
    </row>
    <row r="207" spans="2:19" x14ac:dyDescent="0.25">
      <c r="B207" s="154"/>
      <c r="C207" s="142"/>
      <c r="D207" s="142"/>
      <c r="E207" s="154"/>
      <c r="F207" s="155"/>
      <c r="G207" s="154"/>
      <c r="H207" s="108">
        <v>3</v>
      </c>
      <c r="I207" s="109"/>
      <c r="J207" s="110"/>
      <c r="K207" s="123" t="str">
        <f>IF($J207="","",RANK(J207,$J$205:$J$207,1))</f>
        <v/>
      </c>
      <c r="L207" s="110"/>
      <c r="M207" s="123" t="str">
        <f>IF($L207="","",RANK(L207,$L$205:$L$207,1))</f>
        <v/>
      </c>
      <c r="N207" s="110"/>
      <c r="O207" s="123" t="str">
        <f>IF($N207="","",RANK(N207,$N$205:$N$207,1))</f>
        <v/>
      </c>
      <c r="P207" s="105"/>
      <c r="Q207" s="124" t="str">
        <f>IF($P207="Yes",IF($N207&gt;0,$N207,IF($L207&gt;0,$L207,IF($J207&gt;0,$J207,""))),"")</f>
        <v/>
      </c>
      <c r="R207" s="124" t="str">
        <f>IFERROR(IF(INT($Q207)&gt;0,$F$204-$Q207,""),"")</f>
        <v/>
      </c>
      <c r="S207" s="109"/>
    </row>
    <row r="208" spans="2:19" x14ac:dyDescent="0.25">
      <c r="B208" s="148">
        <v>39</v>
      </c>
      <c r="C208" s="149" t="s">
        <v>44</v>
      </c>
      <c r="D208" s="149" t="s">
        <v>75</v>
      </c>
      <c r="E208" s="148" t="s">
        <v>220</v>
      </c>
      <c r="F208" s="150"/>
      <c r="G208" s="148" t="s">
        <v>276</v>
      </c>
      <c r="H208" s="151"/>
      <c r="I208" s="151"/>
      <c r="J208" s="96" t="str">
        <f>_xlfn.XLOOKUP(1,$K$209:$K$211,$I$209:$I$211, "-", 0)</f>
        <v>-</v>
      </c>
      <c r="K208" s="151"/>
      <c r="L208" s="96" t="str">
        <f>_xlfn.XLOOKUP(1,$M$209:$M$211,$I$209:$I$211, "-", 0)</f>
        <v>-</v>
      </c>
      <c r="M208" s="151"/>
      <c r="N208" s="96" t="str">
        <f>_xlfn.XLOOKUP(1,$O$209:$O$211,$I$209:$I$211, "-", 0)</f>
        <v>-</v>
      </c>
      <c r="O208" s="151"/>
      <c r="P208" s="97" t="str">
        <f>IF(COUNTIF($P$209:$P$211,"Yes")&gt;0,"Yes","")</f>
        <v/>
      </c>
      <c r="Q208" s="96">
        <f>SUM($Q$209:$Q$211)</f>
        <v>0</v>
      </c>
      <c r="R208" s="96" t="str">
        <f>IF($Q$208&gt;0,$F$208-$Q$208,"")</f>
        <v/>
      </c>
      <c r="S208" s="151"/>
    </row>
    <row r="209" spans="2:19" x14ac:dyDescent="0.25">
      <c r="B209" s="152"/>
      <c r="C209" s="143"/>
      <c r="D209" s="143"/>
      <c r="E209" s="152"/>
      <c r="F209" s="153"/>
      <c r="G209" s="152"/>
      <c r="H209" s="90">
        <v>1</v>
      </c>
      <c r="I209" s="98"/>
      <c r="J209" s="99"/>
      <c r="K209" s="121" t="str">
        <f>IF($J209="","",RANK(J209,$J$209:$J$211,1))</f>
        <v/>
      </c>
      <c r="L209" s="99"/>
      <c r="M209" s="121" t="str">
        <f>IF($L209="","",RANK(L209,$L$209:$L$211,1))</f>
        <v/>
      </c>
      <c r="N209" s="99"/>
      <c r="O209" s="121" t="str">
        <f>IF($N209="","",RANK(N209,$N$209:$N$211,1))</f>
        <v/>
      </c>
      <c r="P209" s="91"/>
      <c r="Q209" s="122" t="str">
        <f>IF($P209="Yes",IF($N209&gt;0,$N209,IF($L209&gt;0,$L209,IF($J209&gt;0,$J209,""))),"")</f>
        <v/>
      </c>
      <c r="R209" s="122" t="str">
        <f>IFERROR(IF(INT($Q209)&gt;0,$F$208-$Q209,""),"")</f>
        <v/>
      </c>
      <c r="S209" s="98"/>
    </row>
    <row r="210" spans="2:19" x14ac:dyDescent="0.25">
      <c r="B210" s="152"/>
      <c r="C210" s="143"/>
      <c r="D210" s="143"/>
      <c r="E210" s="152"/>
      <c r="F210" s="153"/>
      <c r="G210" s="152"/>
      <c r="H210" s="90">
        <v>2</v>
      </c>
      <c r="I210" s="98"/>
      <c r="J210" s="99"/>
      <c r="K210" s="121" t="str">
        <f>IF($J210="","",RANK(J210,$J$209:$J$211,1))</f>
        <v/>
      </c>
      <c r="L210" s="99"/>
      <c r="M210" s="121" t="str">
        <f>IF($L210="","",RANK(L210,$L$209:$L$211,1))</f>
        <v/>
      </c>
      <c r="N210" s="99"/>
      <c r="O210" s="121" t="str">
        <f>IF($N210="","",RANK(N210,$N$209:$N$211,1))</f>
        <v/>
      </c>
      <c r="P210" s="91"/>
      <c r="Q210" s="122" t="str">
        <f>IF($P210="Yes",IF($N210&gt;0,$N210,IF($L210&gt;0,$L210,IF($J210&gt;0,$J210,""))),"")</f>
        <v/>
      </c>
      <c r="R210" s="122" t="str">
        <f>IFERROR(IF(INT($Q210)&gt;0,$F$208-$Q210,""),"")</f>
        <v/>
      </c>
      <c r="S210" s="98"/>
    </row>
    <row r="211" spans="2:19" x14ac:dyDescent="0.25">
      <c r="B211" s="154"/>
      <c r="C211" s="142"/>
      <c r="D211" s="142"/>
      <c r="E211" s="154"/>
      <c r="F211" s="155"/>
      <c r="G211" s="154"/>
      <c r="H211" s="108">
        <v>3</v>
      </c>
      <c r="I211" s="109"/>
      <c r="J211" s="110"/>
      <c r="K211" s="123" t="str">
        <f>IF($J211="","",RANK(J211,$J$209:$J$211,1))</f>
        <v/>
      </c>
      <c r="L211" s="110"/>
      <c r="M211" s="123" t="str">
        <f>IF($L211="","",RANK(L211,$L$209:$L$211,1))</f>
        <v/>
      </c>
      <c r="N211" s="110"/>
      <c r="O211" s="123" t="str">
        <f>IF($N211="","",RANK(N211,$N$209:$N$211,1))</f>
        <v/>
      </c>
      <c r="P211" s="105"/>
      <c r="Q211" s="124" t="str">
        <f>IF($P211="Yes",IF($N211&gt;0,$N211,IF($L211&gt;0,$L211,IF($J211&gt;0,$J211,""))),"")</f>
        <v/>
      </c>
      <c r="R211" s="124" t="str">
        <f>IFERROR(IF(INT($Q211)&gt;0,$F$208-$Q211,""),"")</f>
        <v/>
      </c>
      <c r="S211" s="109"/>
    </row>
    <row r="212" spans="2:19" x14ac:dyDescent="0.25">
      <c r="B212" s="148">
        <v>40</v>
      </c>
      <c r="C212" s="149" t="s">
        <v>44</v>
      </c>
      <c r="D212" s="149" t="s">
        <v>221</v>
      </c>
      <c r="E212" s="148" t="s">
        <v>214</v>
      </c>
      <c r="F212" s="150"/>
      <c r="G212" s="148" t="s">
        <v>276</v>
      </c>
      <c r="H212" s="151"/>
      <c r="I212" s="151"/>
      <c r="J212" s="96" t="str">
        <f>_xlfn.XLOOKUP(1,$K$213:$K$213,$I$213:$I$213, "-", 0)</f>
        <v>-</v>
      </c>
      <c r="K212" s="151"/>
      <c r="L212" s="96" t="str">
        <f>_xlfn.XLOOKUP(1,$M$213:$M$213,$I$213:$I$213, "-", 0)</f>
        <v>-</v>
      </c>
      <c r="M212" s="151"/>
      <c r="N212" s="96" t="str">
        <f>_xlfn.XLOOKUP(1,$O$213:$O$213,$I$213:$I$213, "-", 0)</f>
        <v>-</v>
      </c>
      <c r="O212" s="151"/>
      <c r="P212" s="97" t="str">
        <f>IF(COUNTIF($P$213:$P$213,"Yes")&gt;0,"Yes","")</f>
        <v/>
      </c>
      <c r="Q212" s="96">
        <f>SUM($Q$213:$Q$213)</f>
        <v>0</v>
      </c>
      <c r="R212" s="96" t="str">
        <f>IF($Q$212&gt;0,$F$212-$Q$212,"")</f>
        <v/>
      </c>
      <c r="S212" s="151"/>
    </row>
    <row r="213" spans="2:19" x14ac:dyDescent="0.25">
      <c r="B213" s="154"/>
      <c r="C213" s="142"/>
      <c r="D213" s="142"/>
      <c r="E213" s="154"/>
      <c r="F213" s="155"/>
      <c r="G213" s="154"/>
      <c r="H213" s="108">
        <v>1</v>
      </c>
      <c r="I213" s="109"/>
      <c r="J213" s="110"/>
      <c r="K213" s="123" t="str">
        <f>IF($J213="","",RANK(J213,$J$213:$J$213,1))</f>
        <v/>
      </c>
      <c r="L213" s="110"/>
      <c r="M213" s="123" t="str">
        <f>IF($L213="","",RANK(L213,$L$213:$L$213,1))</f>
        <v/>
      </c>
      <c r="N213" s="110"/>
      <c r="O213" s="123" t="str">
        <f>IF($N213="","",RANK(N213,$N$213:$N$213,1))</f>
        <v/>
      </c>
      <c r="P213" s="105"/>
      <c r="Q213" s="124" t="str">
        <f>IF($P213="Yes",IF($N213&gt;0,$N213,IF($L213&gt;0,$L213,IF($J213&gt;0,$J213,""))),"")</f>
        <v/>
      </c>
      <c r="R213" s="124" t="str">
        <f>IFERROR(IF(INT($Q213)&gt;0,$F$212-$Q213,""),"")</f>
        <v/>
      </c>
      <c r="S213" s="109"/>
    </row>
    <row r="214" spans="2:19" x14ac:dyDescent="0.25">
      <c r="B214" s="148">
        <v>41</v>
      </c>
      <c r="C214" s="149" t="s">
        <v>44</v>
      </c>
      <c r="D214" s="149" t="s">
        <v>77</v>
      </c>
      <c r="E214" s="148" t="s">
        <v>222</v>
      </c>
      <c r="F214" s="150"/>
      <c r="G214" s="148"/>
      <c r="H214" s="151"/>
      <c r="I214" s="151"/>
      <c r="J214" s="96" t="str">
        <f>_xlfn.XLOOKUP(1,$K$215:$K$223,$I$215:$I$223, "-", 0)</f>
        <v>-</v>
      </c>
      <c r="K214" s="151"/>
      <c r="L214" s="96" t="str">
        <f>_xlfn.XLOOKUP(1,$M$215:$M$223,$I$215:$I$223, "-", 0)</f>
        <v>-</v>
      </c>
      <c r="M214" s="151"/>
      <c r="N214" s="96" t="str">
        <f>_xlfn.XLOOKUP(1,$O$215:$O$223,$I$215:$I$223, "-", 0)</f>
        <v>-</v>
      </c>
      <c r="O214" s="151"/>
      <c r="P214" s="97" t="str">
        <f>IF(COUNTIF($P$215:$P$223,"Yes")&gt;0,"Yes","")</f>
        <v/>
      </c>
      <c r="Q214" s="96">
        <f>SUM($Q$215:$Q$223)</f>
        <v>0</v>
      </c>
      <c r="R214" s="96" t="str">
        <f>IF($Q$214&gt;0,$F$214-$Q$214,"")</f>
        <v/>
      </c>
      <c r="S214" s="151"/>
    </row>
    <row r="215" spans="2:19" x14ac:dyDescent="0.25">
      <c r="B215" s="152"/>
      <c r="C215" s="143"/>
      <c r="D215" s="143"/>
      <c r="E215" s="152"/>
      <c r="F215" s="153"/>
      <c r="G215" s="152"/>
      <c r="H215" s="90">
        <v>1</v>
      </c>
      <c r="I215" s="98"/>
      <c r="J215" s="99"/>
      <c r="K215" s="121" t="str">
        <f t="shared" ref="K215:K223" si="70">IF($J215="","",RANK(J215,$J$215:$J$223,1))</f>
        <v/>
      </c>
      <c r="L215" s="99"/>
      <c r="M215" s="121" t="str">
        <f t="shared" ref="M215:M223" si="71">IF($L215="","",RANK(L215,$L$215:$L$223,1))</f>
        <v/>
      </c>
      <c r="N215" s="99"/>
      <c r="O215" s="121" t="str">
        <f t="shared" ref="O215:O223" si="72">IF($N215="","",RANK(N215,$N$215:$N$223,1))</f>
        <v/>
      </c>
      <c r="P215" s="91"/>
      <c r="Q215" s="122" t="str">
        <f t="shared" ref="Q215:Q223" si="73">IF($P215="Yes",IF($N215&gt;0,$N215,IF($L215&gt;0,$L215,IF($J215&gt;0,$J215,""))),"")</f>
        <v/>
      </c>
      <c r="R215" s="122" t="str">
        <f t="shared" ref="R215:R223" si="74">IFERROR(IF(INT($Q215)&gt;0,$F$214-$Q215,""),"")</f>
        <v/>
      </c>
      <c r="S215" s="98"/>
    </row>
    <row r="216" spans="2:19" x14ac:dyDescent="0.25">
      <c r="B216" s="152"/>
      <c r="C216" s="143"/>
      <c r="D216" s="143"/>
      <c r="E216" s="152"/>
      <c r="F216" s="153"/>
      <c r="G216" s="152"/>
      <c r="H216" s="90">
        <v>2</v>
      </c>
      <c r="I216" s="98"/>
      <c r="J216" s="99"/>
      <c r="K216" s="121" t="str">
        <f t="shared" si="70"/>
        <v/>
      </c>
      <c r="L216" s="99"/>
      <c r="M216" s="121" t="str">
        <f t="shared" si="71"/>
        <v/>
      </c>
      <c r="N216" s="99"/>
      <c r="O216" s="121" t="str">
        <f t="shared" si="72"/>
        <v/>
      </c>
      <c r="P216" s="91"/>
      <c r="Q216" s="122" t="str">
        <f t="shared" si="73"/>
        <v/>
      </c>
      <c r="R216" s="122" t="str">
        <f t="shared" si="74"/>
        <v/>
      </c>
      <c r="S216" s="98"/>
    </row>
    <row r="217" spans="2:19" x14ac:dyDescent="0.25">
      <c r="B217" s="152"/>
      <c r="C217" s="143"/>
      <c r="D217" s="143"/>
      <c r="E217" s="152"/>
      <c r="F217" s="153"/>
      <c r="G217" s="152"/>
      <c r="H217" s="90">
        <v>3</v>
      </c>
      <c r="I217" s="98"/>
      <c r="J217" s="99"/>
      <c r="K217" s="121" t="str">
        <f t="shared" si="70"/>
        <v/>
      </c>
      <c r="L217" s="99"/>
      <c r="M217" s="121" t="str">
        <f t="shared" si="71"/>
        <v/>
      </c>
      <c r="N217" s="99"/>
      <c r="O217" s="121" t="str">
        <f t="shared" si="72"/>
        <v/>
      </c>
      <c r="P217" s="91"/>
      <c r="Q217" s="122" t="str">
        <f t="shared" si="73"/>
        <v/>
      </c>
      <c r="R217" s="122" t="str">
        <f t="shared" si="74"/>
        <v/>
      </c>
      <c r="S217" s="98"/>
    </row>
    <row r="218" spans="2:19" x14ac:dyDescent="0.25">
      <c r="B218" s="152"/>
      <c r="C218" s="143"/>
      <c r="D218" s="143"/>
      <c r="E218" s="152"/>
      <c r="F218" s="153"/>
      <c r="G218" s="152"/>
      <c r="H218" s="90">
        <v>4</v>
      </c>
      <c r="I218" s="98"/>
      <c r="J218" s="99"/>
      <c r="K218" s="121" t="str">
        <f t="shared" si="70"/>
        <v/>
      </c>
      <c r="L218" s="99"/>
      <c r="M218" s="121" t="str">
        <f t="shared" si="71"/>
        <v/>
      </c>
      <c r="N218" s="99"/>
      <c r="O218" s="121" t="str">
        <f t="shared" si="72"/>
        <v/>
      </c>
      <c r="P218" s="91"/>
      <c r="Q218" s="122" t="str">
        <f t="shared" si="73"/>
        <v/>
      </c>
      <c r="R218" s="122" t="str">
        <f t="shared" si="74"/>
        <v/>
      </c>
      <c r="S218" s="98"/>
    </row>
    <row r="219" spans="2:19" x14ac:dyDescent="0.25">
      <c r="B219" s="152"/>
      <c r="C219" s="143"/>
      <c r="D219" s="143"/>
      <c r="E219" s="152"/>
      <c r="F219" s="153"/>
      <c r="G219" s="152"/>
      <c r="H219" s="90">
        <v>5</v>
      </c>
      <c r="I219" s="98"/>
      <c r="J219" s="99"/>
      <c r="K219" s="121" t="str">
        <f t="shared" si="70"/>
        <v/>
      </c>
      <c r="L219" s="99"/>
      <c r="M219" s="121" t="str">
        <f t="shared" si="71"/>
        <v/>
      </c>
      <c r="N219" s="99"/>
      <c r="O219" s="121" t="str">
        <f t="shared" si="72"/>
        <v/>
      </c>
      <c r="P219" s="91"/>
      <c r="Q219" s="122" t="str">
        <f t="shared" si="73"/>
        <v/>
      </c>
      <c r="R219" s="122" t="str">
        <f t="shared" si="74"/>
        <v/>
      </c>
      <c r="S219" s="98"/>
    </row>
    <row r="220" spans="2:19" x14ac:dyDescent="0.25">
      <c r="B220" s="152"/>
      <c r="C220" s="143"/>
      <c r="D220" s="143"/>
      <c r="E220" s="152"/>
      <c r="F220" s="153"/>
      <c r="G220" s="152"/>
      <c r="H220" s="90">
        <v>6</v>
      </c>
      <c r="I220" s="98"/>
      <c r="J220" s="99"/>
      <c r="K220" s="121" t="str">
        <f t="shared" si="70"/>
        <v/>
      </c>
      <c r="L220" s="99"/>
      <c r="M220" s="121" t="str">
        <f t="shared" si="71"/>
        <v/>
      </c>
      <c r="N220" s="99"/>
      <c r="O220" s="121" t="str">
        <f t="shared" si="72"/>
        <v/>
      </c>
      <c r="P220" s="91"/>
      <c r="Q220" s="122" t="str">
        <f t="shared" si="73"/>
        <v/>
      </c>
      <c r="R220" s="122" t="str">
        <f t="shared" si="74"/>
        <v/>
      </c>
      <c r="S220" s="98"/>
    </row>
    <row r="221" spans="2:19" x14ac:dyDescent="0.25">
      <c r="B221" s="152"/>
      <c r="C221" s="143"/>
      <c r="D221" s="143"/>
      <c r="E221" s="152"/>
      <c r="F221" s="153"/>
      <c r="G221" s="152"/>
      <c r="H221" s="90">
        <v>7</v>
      </c>
      <c r="I221" s="98"/>
      <c r="J221" s="99"/>
      <c r="K221" s="121" t="str">
        <f t="shared" si="70"/>
        <v/>
      </c>
      <c r="L221" s="99"/>
      <c r="M221" s="121" t="str">
        <f t="shared" si="71"/>
        <v/>
      </c>
      <c r="N221" s="99"/>
      <c r="O221" s="121" t="str">
        <f t="shared" si="72"/>
        <v/>
      </c>
      <c r="P221" s="91"/>
      <c r="Q221" s="122" t="str">
        <f t="shared" si="73"/>
        <v/>
      </c>
      <c r="R221" s="122" t="str">
        <f t="shared" si="74"/>
        <v/>
      </c>
      <c r="S221" s="98"/>
    </row>
    <row r="222" spans="2:19" x14ac:dyDescent="0.25">
      <c r="B222" s="152"/>
      <c r="C222" s="143"/>
      <c r="D222" s="143"/>
      <c r="E222" s="152"/>
      <c r="F222" s="153"/>
      <c r="G222" s="152"/>
      <c r="H222" s="90">
        <v>8</v>
      </c>
      <c r="I222" s="98"/>
      <c r="J222" s="99"/>
      <c r="K222" s="121" t="str">
        <f t="shared" si="70"/>
        <v/>
      </c>
      <c r="L222" s="99"/>
      <c r="M222" s="121" t="str">
        <f t="shared" si="71"/>
        <v/>
      </c>
      <c r="N222" s="99"/>
      <c r="O222" s="121" t="str">
        <f t="shared" si="72"/>
        <v/>
      </c>
      <c r="P222" s="91"/>
      <c r="Q222" s="122" t="str">
        <f t="shared" si="73"/>
        <v/>
      </c>
      <c r="R222" s="122" t="str">
        <f t="shared" si="74"/>
        <v/>
      </c>
      <c r="S222" s="98"/>
    </row>
    <row r="223" spans="2:19" x14ac:dyDescent="0.25">
      <c r="B223" s="154"/>
      <c r="C223" s="142"/>
      <c r="D223" s="142"/>
      <c r="E223" s="154"/>
      <c r="F223" s="155"/>
      <c r="G223" s="154"/>
      <c r="H223" s="108">
        <v>9</v>
      </c>
      <c r="I223" s="109"/>
      <c r="J223" s="110"/>
      <c r="K223" s="123" t="str">
        <f t="shared" si="70"/>
        <v/>
      </c>
      <c r="L223" s="110"/>
      <c r="M223" s="123" t="str">
        <f t="shared" si="71"/>
        <v/>
      </c>
      <c r="N223" s="110"/>
      <c r="O223" s="123" t="str">
        <f t="shared" si="72"/>
        <v/>
      </c>
      <c r="P223" s="105"/>
      <c r="Q223" s="124" t="str">
        <f t="shared" si="73"/>
        <v/>
      </c>
      <c r="R223" s="124" t="str">
        <f t="shared" si="74"/>
        <v/>
      </c>
      <c r="S223" s="109"/>
    </row>
    <row r="224" spans="2:19" x14ac:dyDescent="0.25">
      <c r="B224" s="148">
        <v>42</v>
      </c>
      <c r="C224" s="149" t="s">
        <v>44</v>
      </c>
      <c r="D224" s="149" t="s">
        <v>78</v>
      </c>
      <c r="E224" s="148" t="s">
        <v>222</v>
      </c>
      <c r="F224" s="150"/>
      <c r="G224" s="148"/>
      <c r="H224" s="151"/>
      <c r="I224" s="151"/>
      <c r="J224" s="96" t="str">
        <f>_xlfn.XLOOKUP(1,$K$225:$K$233,$I$225:$I$233, "-", 0)</f>
        <v>-</v>
      </c>
      <c r="K224" s="151"/>
      <c r="L224" s="96" t="str">
        <f>_xlfn.XLOOKUP(1,$M$225:$M$233,$I$225:$I$233, "-", 0)</f>
        <v>-</v>
      </c>
      <c r="M224" s="151"/>
      <c r="N224" s="96" t="str">
        <f>_xlfn.XLOOKUP(1,$O$225:$O$233,$I$225:$I$233, "-", 0)</f>
        <v>-</v>
      </c>
      <c r="O224" s="151"/>
      <c r="P224" s="97" t="str">
        <f>IF(COUNTIF($P$225:$P$233,"Yes")&gt;0,"Yes","")</f>
        <v/>
      </c>
      <c r="Q224" s="96">
        <f>SUM($Q$225:$Q$233)</f>
        <v>0</v>
      </c>
      <c r="R224" s="96" t="str">
        <f>IF($Q$224&gt;0,$F$224-$Q$224,"")</f>
        <v/>
      </c>
      <c r="S224" s="151"/>
    </row>
    <row r="225" spans="2:19" x14ac:dyDescent="0.25">
      <c r="B225" s="152"/>
      <c r="C225" s="143"/>
      <c r="D225" s="143"/>
      <c r="E225" s="152"/>
      <c r="F225" s="153"/>
      <c r="G225" s="152"/>
      <c r="H225" s="90">
        <v>1</v>
      </c>
      <c r="I225" s="98"/>
      <c r="J225" s="99"/>
      <c r="K225" s="121" t="str">
        <f t="shared" ref="K225:K233" si="75">IF($J225="","",RANK(J225,$J$225:$J$233,1))</f>
        <v/>
      </c>
      <c r="L225" s="99"/>
      <c r="M225" s="121" t="str">
        <f t="shared" ref="M225:M233" si="76">IF($L225="","",RANK(L225,$L$225:$L$233,1))</f>
        <v/>
      </c>
      <c r="N225" s="99"/>
      <c r="O225" s="121" t="str">
        <f t="shared" ref="O225:O233" si="77">IF($N225="","",RANK(N225,$N$225:$N$233,1))</f>
        <v/>
      </c>
      <c r="P225" s="91"/>
      <c r="Q225" s="122" t="str">
        <f t="shared" ref="Q225:Q233" si="78">IF($P225="Yes",IF($N225&gt;0,$N225,IF($L225&gt;0,$L225,IF($J225&gt;0,$J225,""))),"")</f>
        <v/>
      </c>
      <c r="R225" s="122" t="str">
        <f t="shared" ref="R225:R233" si="79">IFERROR(IF(INT($Q225)&gt;0,$F$224-$Q225,""),"")</f>
        <v/>
      </c>
      <c r="S225" s="98"/>
    </row>
    <row r="226" spans="2:19" x14ac:dyDescent="0.25">
      <c r="B226" s="152"/>
      <c r="C226" s="143"/>
      <c r="D226" s="143"/>
      <c r="E226" s="152"/>
      <c r="F226" s="153"/>
      <c r="G226" s="152"/>
      <c r="H226" s="90">
        <v>2</v>
      </c>
      <c r="I226" s="98"/>
      <c r="J226" s="99"/>
      <c r="K226" s="121" t="str">
        <f t="shared" si="75"/>
        <v/>
      </c>
      <c r="L226" s="99"/>
      <c r="M226" s="121" t="str">
        <f t="shared" si="76"/>
        <v/>
      </c>
      <c r="N226" s="99"/>
      <c r="O226" s="121" t="str">
        <f t="shared" si="77"/>
        <v/>
      </c>
      <c r="P226" s="91"/>
      <c r="Q226" s="122" t="str">
        <f t="shared" si="78"/>
        <v/>
      </c>
      <c r="R226" s="122" t="str">
        <f t="shared" si="79"/>
        <v/>
      </c>
      <c r="S226" s="98"/>
    </row>
    <row r="227" spans="2:19" x14ac:dyDescent="0.25">
      <c r="B227" s="152"/>
      <c r="C227" s="143"/>
      <c r="D227" s="143"/>
      <c r="E227" s="152"/>
      <c r="F227" s="153"/>
      <c r="G227" s="152"/>
      <c r="H227" s="90">
        <v>3</v>
      </c>
      <c r="I227" s="98"/>
      <c r="J227" s="99"/>
      <c r="K227" s="121" t="str">
        <f t="shared" si="75"/>
        <v/>
      </c>
      <c r="L227" s="99"/>
      <c r="M227" s="121" t="str">
        <f t="shared" si="76"/>
        <v/>
      </c>
      <c r="N227" s="99"/>
      <c r="O227" s="121" t="str">
        <f t="shared" si="77"/>
        <v/>
      </c>
      <c r="P227" s="91"/>
      <c r="Q227" s="122" t="str">
        <f t="shared" si="78"/>
        <v/>
      </c>
      <c r="R227" s="122" t="str">
        <f t="shared" si="79"/>
        <v/>
      </c>
      <c r="S227" s="98"/>
    </row>
    <row r="228" spans="2:19" x14ac:dyDescent="0.25">
      <c r="B228" s="152"/>
      <c r="C228" s="143"/>
      <c r="D228" s="143"/>
      <c r="E228" s="152"/>
      <c r="F228" s="153"/>
      <c r="G228" s="152"/>
      <c r="H228" s="90">
        <v>4</v>
      </c>
      <c r="I228" s="98"/>
      <c r="J228" s="99"/>
      <c r="K228" s="121" t="str">
        <f t="shared" si="75"/>
        <v/>
      </c>
      <c r="L228" s="99"/>
      <c r="M228" s="121" t="str">
        <f t="shared" si="76"/>
        <v/>
      </c>
      <c r="N228" s="99"/>
      <c r="O228" s="121" t="str">
        <f t="shared" si="77"/>
        <v/>
      </c>
      <c r="P228" s="91"/>
      <c r="Q228" s="122" t="str">
        <f t="shared" si="78"/>
        <v/>
      </c>
      <c r="R228" s="122" t="str">
        <f t="shared" si="79"/>
        <v/>
      </c>
      <c r="S228" s="98"/>
    </row>
    <row r="229" spans="2:19" x14ac:dyDescent="0.25">
      <c r="B229" s="152"/>
      <c r="C229" s="143"/>
      <c r="D229" s="143"/>
      <c r="E229" s="152"/>
      <c r="F229" s="153"/>
      <c r="G229" s="152"/>
      <c r="H229" s="90">
        <v>5</v>
      </c>
      <c r="I229" s="98"/>
      <c r="J229" s="99"/>
      <c r="K229" s="121" t="str">
        <f t="shared" si="75"/>
        <v/>
      </c>
      <c r="L229" s="99"/>
      <c r="M229" s="121" t="str">
        <f t="shared" si="76"/>
        <v/>
      </c>
      <c r="N229" s="99"/>
      <c r="O229" s="121" t="str">
        <f t="shared" si="77"/>
        <v/>
      </c>
      <c r="P229" s="91"/>
      <c r="Q229" s="122" t="str">
        <f t="shared" si="78"/>
        <v/>
      </c>
      <c r="R229" s="122" t="str">
        <f t="shared" si="79"/>
        <v/>
      </c>
      <c r="S229" s="98"/>
    </row>
    <row r="230" spans="2:19" x14ac:dyDescent="0.25">
      <c r="B230" s="152"/>
      <c r="C230" s="143"/>
      <c r="D230" s="143"/>
      <c r="E230" s="152"/>
      <c r="F230" s="153"/>
      <c r="G230" s="152"/>
      <c r="H230" s="90">
        <v>6</v>
      </c>
      <c r="I230" s="98"/>
      <c r="J230" s="99"/>
      <c r="K230" s="121" t="str">
        <f t="shared" si="75"/>
        <v/>
      </c>
      <c r="L230" s="99"/>
      <c r="M230" s="121" t="str">
        <f t="shared" si="76"/>
        <v/>
      </c>
      <c r="N230" s="99"/>
      <c r="O230" s="121" t="str">
        <f t="shared" si="77"/>
        <v/>
      </c>
      <c r="P230" s="91"/>
      <c r="Q230" s="122" t="str">
        <f t="shared" si="78"/>
        <v/>
      </c>
      <c r="R230" s="122" t="str">
        <f t="shared" si="79"/>
        <v/>
      </c>
      <c r="S230" s="98"/>
    </row>
    <row r="231" spans="2:19" x14ac:dyDescent="0.25">
      <c r="B231" s="152"/>
      <c r="C231" s="143"/>
      <c r="D231" s="143"/>
      <c r="E231" s="152"/>
      <c r="F231" s="153"/>
      <c r="G231" s="152"/>
      <c r="H231" s="90">
        <v>7</v>
      </c>
      <c r="I231" s="98"/>
      <c r="J231" s="99"/>
      <c r="K231" s="121" t="str">
        <f t="shared" si="75"/>
        <v/>
      </c>
      <c r="L231" s="99"/>
      <c r="M231" s="121" t="str">
        <f t="shared" si="76"/>
        <v/>
      </c>
      <c r="N231" s="99"/>
      <c r="O231" s="121" t="str">
        <f t="shared" si="77"/>
        <v/>
      </c>
      <c r="P231" s="91"/>
      <c r="Q231" s="122" t="str">
        <f t="shared" si="78"/>
        <v/>
      </c>
      <c r="R231" s="122" t="str">
        <f t="shared" si="79"/>
        <v/>
      </c>
      <c r="S231" s="98"/>
    </row>
    <row r="232" spans="2:19" x14ac:dyDescent="0.25">
      <c r="B232" s="152"/>
      <c r="C232" s="143"/>
      <c r="D232" s="143"/>
      <c r="E232" s="152"/>
      <c r="F232" s="153"/>
      <c r="G232" s="152"/>
      <c r="H232" s="90">
        <v>8</v>
      </c>
      <c r="I232" s="98"/>
      <c r="J232" s="99"/>
      <c r="K232" s="121" t="str">
        <f t="shared" si="75"/>
        <v/>
      </c>
      <c r="L232" s="99"/>
      <c r="M232" s="121" t="str">
        <f t="shared" si="76"/>
        <v/>
      </c>
      <c r="N232" s="99"/>
      <c r="O232" s="121" t="str">
        <f t="shared" si="77"/>
        <v/>
      </c>
      <c r="P232" s="91"/>
      <c r="Q232" s="122" t="str">
        <f t="shared" si="78"/>
        <v/>
      </c>
      <c r="R232" s="122" t="str">
        <f t="shared" si="79"/>
        <v/>
      </c>
      <c r="S232" s="98"/>
    </row>
    <row r="233" spans="2:19" x14ac:dyDescent="0.25">
      <c r="B233" s="154"/>
      <c r="C233" s="142"/>
      <c r="D233" s="142"/>
      <c r="E233" s="154"/>
      <c r="F233" s="155"/>
      <c r="G233" s="154"/>
      <c r="H233" s="108">
        <v>9</v>
      </c>
      <c r="I233" s="109"/>
      <c r="J233" s="110"/>
      <c r="K233" s="123" t="str">
        <f t="shared" si="75"/>
        <v/>
      </c>
      <c r="L233" s="110"/>
      <c r="M233" s="123" t="str">
        <f t="shared" si="76"/>
        <v/>
      </c>
      <c r="N233" s="110"/>
      <c r="O233" s="123" t="str">
        <f t="shared" si="77"/>
        <v/>
      </c>
      <c r="P233" s="105"/>
      <c r="Q233" s="124" t="str">
        <f t="shared" si="78"/>
        <v/>
      </c>
      <c r="R233" s="124" t="str">
        <f t="shared" si="79"/>
        <v/>
      </c>
      <c r="S233" s="109"/>
    </row>
    <row r="234" spans="2:19" x14ac:dyDescent="0.25">
      <c r="B234" s="148">
        <v>43</v>
      </c>
      <c r="C234" s="149" t="s">
        <v>44</v>
      </c>
      <c r="D234" s="149" t="s">
        <v>79</v>
      </c>
      <c r="E234" s="148" t="s">
        <v>223</v>
      </c>
      <c r="F234" s="150"/>
      <c r="G234" s="148"/>
      <c r="H234" s="151"/>
      <c r="I234" s="151"/>
      <c r="J234" s="96" t="str">
        <f>_xlfn.XLOOKUP(1,$K$235:$K$244,$I$235:$I$244, "-", 0)</f>
        <v>-</v>
      </c>
      <c r="K234" s="151"/>
      <c r="L234" s="96" t="str">
        <f>_xlfn.XLOOKUP(1,$M$235:$M$244,$I$235:$I$244, "-", 0)</f>
        <v>-</v>
      </c>
      <c r="M234" s="151"/>
      <c r="N234" s="96" t="str">
        <f>_xlfn.XLOOKUP(1,$O$235:$O$244,$I$235:$I$244, "-", 0)</f>
        <v>-</v>
      </c>
      <c r="O234" s="151"/>
      <c r="P234" s="97" t="str">
        <f>IF(COUNTIF($P$235:$P$244,"Yes")&gt;0,"Yes","")</f>
        <v/>
      </c>
      <c r="Q234" s="96">
        <f>SUM($Q$235:$Q$244)</f>
        <v>0</v>
      </c>
      <c r="R234" s="96" t="str">
        <f>IF($Q$234&gt;0,$F$234-$Q$234,"")</f>
        <v/>
      </c>
      <c r="S234" s="151"/>
    </row>
    <row r="235" spans="2:19" x14ac:dyDescent="0.25">
      <c r="B235" s="152"/>
      <c r="C235" s="143"/>
      <c r="D235" s="143"/>
      <c r="E235" s="152"/>
      <c r="F235" s="153"/>
      <c r="G235" s="152"/>
      <c r="H235" s="90">
        <v>1</v>
      </c>
      <c r="I235" s="98"/>
      <c r="J235" s="99"/>
      <c r="K235" s="121" t="str">
        <f t="shared" ref="K235:K244" si="80">IF($J235="","",RANK(J235,$J$235:$J$244,1))</f>
        <v/>
      </c>
      <c r="L235" s="99"/>
      <c r="M235" s="121" t="str">
        <f t="shared" ref="M235:M244" si="81">IF($L235="","",RANK(L235,$L$235:$L$244,1))</f>
        <v/>
      </c>
      <c r="N235" s="99"/>
      <c r="O235" s="121" t="str">
        <f t="shared" ref="O235:O244" si="82">IF($N235="","",RANK(N235,$N$235:$N$244,1))</f>
        <v/>
      </c>
      <c r="P235" s="91"/>
      <c r="Q235" s="122" t="str">
        <f t="shared" ref="Q235:Q244" si="83">IF($P235="Yes",IF($N235&gt;0,$N235,IF($L235&gt;0,$L235,IF($J235&gt;0,$J235,""))),"")</f>
        <v/>
      </c>
      <c r="R235" s="122" t="str">
        <f t="shared" ref="R235:R244" si="84">IFERROR(IF(INT($Q235)&gt;0,$F$234-$Q235,""),"")</f>
        <v/>
      </c>
      <c r="S235" s="98"/>
    </row>
    <row r="236" spans="2:19" x14ac:dyDescent="0.25">
      <c r="B236" s="152"/>
      <c r="C236" s="143"/>
      <c r="D236" s="143"/>
      <c r="E236" s="152"/>
      <c r="F236" s="153"/>
      <c r="G236" s="152"/>
      <c r="H236" s="90">
        <v>2</v>
      </c>
      <c r="I236" s="98"/>
      <c r="J236" s="99"/>
      <c r="K236" s="121" t="str">
        <f t="shared" si="80"/>
        <v/>
      </c>
      <c r="L236" s="99"/>
      <c r="M236" s="121" t="str">
        <f t="shared" si="81"/>
        <v/>
      </c>
      <c r="N236" s="99"/>
      <c r="O236" s="121" t="str">
        <f t="shared" si="82"/>
        <v/>
      </c>
      <c r="P236" s="91"/>
      <c r="Q236" s="122" t="str">
        <f t="shared" si="83"/>
        <v/>
      </c>
      <c r="R236" s="122" t="str">
        <f t="shared" si="84"/>
        <v/>
      </c>
      <c r="S236" s="98"/>
    </row>
    <row r="237" spans="2:19" x14ac:dyDescent="0.25">
      <c r="B237" s="152"/>
      <c r="C237" s="143"/>
      <c r="D237" s="143"/>
      <c r="E237" s="152"/>
      <c r="F237" s="153"/>
      <c r="G237" s="152"/>
      <c r="H237" s="90">
        <v>3</v>
      </c>
      <c r="I237" s="98"/>
      <c r="J237" s="99"/>
      <c r="K237" s="121" t="str">
        <f t="shared" si="80"/>
        <v/>
      </c>
      <c r="L237" s="99"/>
      <c r="M237" s="121" t="str">
        <f t="shared" si="81"/>
        <v/>
      </c>
      <c r="N237" s="99"/>
      <c r="O237" s="121" t="str">
        <f t="shared" si="82"/>
        <v/>
      </c>
      <c r="P237" s="91"/>
      <c r="Q237" s="122" t="str">
        <f t="shared" si="83"/>
        <v/>
      </c>
      <c r="R237" s="122" t="str">
        <f t="shared" si="84"/>
        <v/>
      </c>
      <c r="S237" s="98"/>
    </row>
    <row r="238" spans="2:19" x14ac:dyDescent="0.25">
      <c r="B238" s="152"/>
      <c r="C238" s="143"/>
      <c r="D238" s="143"/>
      <c r="E238" s="152"/>
      <c r="F238" s="153"/>
      <c r="G238" s="152"/>
      <c r="H238" s="90">
        <v>4</v>
      </c>
      <c r="I238" s="98"/>
      <c r="J238" s="99"/>
      <c r="K238" s="121" t="str">
        <f t="shared" si="80"/>
        <v/>
      </c>
      <c r="L238" s="99"/>
      <c r="M238" s="121" t="str">
        <f t="shared" si="81"/>
        <v/>
      </c>
      <c r="N238" s="99"/>
      <c r="O238" s="121" t="str">
        <f t="shared" si="82"/>
        <v/>
      </c>
      <c r="P238" s="91"/>
      <c r="Q238" s="122" t="str">
        <f t="shared" si="83"/>
        <v/>
      </c>
      <c r="R238" s="122" t="str">
        <f t="shared" si="84"/>
        <v/>
      </c>
      <c r="S238" s="98"/>
    </row>
    <row r="239" spans="2:19" x14ac:dyDescent="0.25">
      <c r="B239" s="152"/>
      <c r="C239" s="143"/>
      <c r="D239" s="143"/>
      <c r="E239" s="152"/>
      <c r="F239" s="153"/>
      <c r="G239" s="152"/>
      <c r="H239" s="90">
        <v>5</v>
      </c>
      <c r="I239" s="98"/>
      <c r="J239" s="99"/>
      <c r="K239" s="121" t="str">
        <f t="shared" si="80"/>
        <v/>
      </c>
      <c r="L239" s="99"/>
      <c r="M239" s="121" t="str">
        <f t="shared" si="81"/>
        <v/>
      </c>
      <c r="N239" s="99"/>
      <c r="O239" s="121" t="str">
        <f t="shared" si="82"/>
        <v/>
      </c>
      <c r="P239" s="91"/>
      <c r="Q239" s="122" t="str">
        <f t="shared" si="83"/>
        <v/>
      </c>
      <c r="R239" s="122" t="str">
        <f t="shared" si="84"/>
        <v/>
      </c>
      <c r="S239" s="98"/>
    </row>
    <row r="240" spans="2:19" x14ac:dyDescent="0.25">
      <c r="B240" s="152"/>
      <c r="C240" s="143"/>
      <c r="D240" s="143"/>
      <c r="E240" s="152"/>
      <c r="F240" s="153"/>
      <c r="G240" s="152"/>
      <c r="H240" s="90">
        <v>6</v>
      </c>
      <c r="I240" s="98"/>
      <c r="J240" s="99"/>
      <c r="K240" s="121" t="str">
        <f t="shared" si="80"/>
        <v/>
      </c>
      <c r="L240" s="99"/>
      <c r="M240" s="121" t="str">
        <f t="shared" si="81"/>
        <v/>
      </c>
      <c r="N240" s="99"/>
      <c r="O240" s="121" t="str">
        <f t="shared" si="82"/>
        <v/>
      </c>
      <c r="P240" s="91"/>
      <c r="Q240" s="122" t="str">
        <f t="shared" si="83"/>
        <v/>
      </c>
      <c r="R240" s="122" t="str">
        <f t="shared" si="84"/>
        <v/>
      </c>
      <c r="S240" s="98"/>
    </row>
    <row r="241" spans="2:19" x14ac:dyDescent="0.25">
      <c r="B241" s="152"/>
      <c r="C241" s="143"/>
      <c r="D241" s="143"/>
      <c r="E241" s="152"/>
      <c r="F241" s="153"/>
      <c r="G241" s="152"/>
      <c r="H241" s="90">
        <v>7</v>
      </c>
      <c r="I241" s="98"/>
      <c r="J241" s="99"/>
      <c r="K241" s="121" t="str">
        <f t="shared" si="80"/>
        <v/>
      </c>
      <c r="L241" s="99"/>
      <c r="M241" s="121" t="str">
        <f t="shared" si="81"/>
        <v/>
      </c>
      <c r="N241" s="99"/>
      <c r="O241" s="121" t="str">
        <f t="shared" si="82"/>
        <v/>
      </c>
      <c r="P241" s="91"/>
      <c r="Q241" s="122" t="str">
        <f t="shared" si="83"/>
        <v/>
      </c>
      <c r="R241" s="122" t="str">
        <f t="shared" si="84"/>
        <v/>
      </c>
      <c r="S241" s="98"/>
    </row>
    <row r="242" spans="2:19" x14ac:dyDescent="0.25">
      <c r="B242" s="152"/>
      <c r="C242" s="143"/>
      <c r="D242" s="143"/>
      <c r="E242" s="152"/>
      <c r="F242" s="153"/>
      <c r="G242" s="152"/>
      <c r="H242" s="90">
        <v>8</v>
      </c>
      <c r="I242" s="98"/>
      <c r="J242" s="99"/>
      <c r="K242" s="121" t="str">
        <f t="shared" si="80"/>
        <v/>
      </c>
      <c r="L242" s="99"/>
      <c r="M242" s="121" t="str">
        <f t="shared" si="81"/>
        <v/>
      </c>
      <c r="N242" s="99"/>
      <c r="O242" s="121" t="str">
        <f t="shared" si="82"/>
        <v/>
      </c>
      <c r="P242" s="91"/>
      <c r="Q242" s="122" t="str">
        <f t="shared" si="83"/>
        <v/>
      </c>
      <c r="R242" s="122" t="str">
        <f t="shared" si="84"/>
        <v/>
      </c>
      <c r="S242" s="98"/>
    </row>
    <row r="243" spans="2:19" x14ac:dyDescent="0.25">
      <c r="B243" s="154"/>
      <c r="C243" s="142"/>
      <c r="D243" s="142"/>
      <c r="E243" s="154"/>
      <c r="F243" s="155"/>
      <c r="G243" s="154"/>
      <c r="H243" s="108">
        <v>9</v>
      </c>
      <c r="I243" s="109"/>
      <c r="J243" s="110"/>
      <c r="K243" s="123" t="str">
        <f t="shared" si="80"/>
        <v/>
      </c>
      <c r="L243" s="110"/>
      <c r="M243" s="123" t="str">
        <f t="shared" si="81"/>
        <v/>
      </c>
      <c r="N243" s="110"/>
      <c r="O243" s="123" t="str">
        <f t="shared" si="82"/>
        <v/>
      </c>
      <c r="P243" s="105"/>
      <c r="Q243" s="124" t="str">
        <f t="shared" si="83"/>
        <v/>
      </c>
      <c r="R243" s="124" t="str">
        <f t="shared" si="84"/>
        <v/>
      </c>
      <c r="S243" s="109"/>
    </row>
    <row r="244" spans="2:19" x14ac:dyDescent="0.25">
      <c r="B244" s="152"/>
      <c r="C244" s="143"/>
      <c r="D244" s="143"/>
      <c r="E244" s="152"/>
      <c r="F244" s="153"/>
      <c r="G244" s="152"/>
      <c r="H244" s="90">
        <v>10</v>
      </c>
      <c r="I244" s="98"/>
      <c r="J244" s="99"/>
      <c r="K244" s="121" t="str">
        <f t="shared" si="80"/>
        <v/>
      </c>
      <c r="L244" s="99"/>
      <c r="M244" s="121" t="str">
        <f t="shared" si="81"/>
        <v/>
      </c>
      <c r="N244" s="99"/>
      <c r="O244" s="121" t="str">
        <f t="shared" si="82"/>
        <v/>
      </c>
      <c r="P244" s="91"/>
      <c r="Q244" s="122" t="str">
        <f t="shared" si="83"/>
        <v/>
      </c>
      <c r="R244" s="122" t="str">
        <f t="shared" si="84"/>
        <v/>
      </c>
      <c r="S244" s="98"/>
    </row>
    <row r="245" spans="2:19" x14ac:dyDescent="0.25">
      <c r="B245" s="156">
        <v>45</v>
      </c>
      <c r="C245" s="157" t="s">
        <v>44</v>
      </c>
      <c r="D245" s="157" t="s">
        <v>80</v>
      </c>
      <c r="E245" s="156" t="s">
        <v>225</v>
      </c>
      <c r="F245" s="158"/>
      <c r="G245" s="156"/>
      <c r="H245" s="159"/>
      <c r="I245" s="159"/>
      <c r="J245" s="113" t="str">
        <f>_xlfn.XLOOKUP(1,$K$246:$K$262,$I$246:$I$262, "-", 0)</f>
        <v>-</v>
      </c>
      <c r="K245" s="159"/>
      <c r="L245" s="113" t="str">
        <f>_xlfn.XLOOKUP(1,$M$246:$M$262,$I$246:$I$262, "-", 0)</f>
        <v>-</v>
      </c>
      <c r="M245" s="159"/>
      <c r="N245" s="113" t="str">
        <f>_xlfn.XLOOKUP(1,$O$246:$O$262,$I$246:$I$262, "-", 0)</f>
        <v>-</v>
      </c>
      <c r="O245" s="159"/>
      <c r="P245" s="114" t="str">
        <f>IF(COUNTIF($P$246:$P$262,"Yes")&gt;0,"Yes","")</f>
        <v/>
      </c>
      <c r="Q245" s="113">
        <f>SUM($Q$246:$Q$262)</f>
        <v>0</v>
      </c>
      <c r="R245" s="113" t="str">
        <f>IF($Q$245&gt;0,$F$245-$Q$245,"")</f>
        <v/>
      </c>
      <c r="S245" s="159"/>
    </row>
    <row r="246" spans="2:19" x14ac:dyDescent="0.25">
      <c r="B246" s="152"/>
      <c r="C246" s="143"/>
      <c r="D246" s="143"/>
      <c r="E246" s="152"/>
      <c r="F246" s="153"/>
      <c r="G246" s="152"/>
      <c r="H246" s="90">
        <v>1</v>
      </c>
      <c r="I246" s="98"/>
      <c r="J246" s="99"/>
      <c r="K246" s="121" t="str">
        <f t="shared" ref="K246:K262" si="85">IF($J246="","",RANK(J246,$J$246:$J$262,1))</f>
        <v/>
      </c>
      <c r="L246" s="99"/>
      <c r="M246" s="121" t="str">
        <f t="shared" ref="M246:M262" si="86">IF($L246="","",RANK(L246,$L$246:$L$262,1))</f>
        <v/>
      </c>
      <c r="N246" s="99"/>
      <c r="O246" s="121" t="str">
        <f t="shared" ref="O246:O262" si="87">IF($N246="","",RANK(N246,$N$246:$N$262,1))</f>
        <v/>
      </c>
      <c r="P246" s="91"/>
      <c r="Q246" s="122" t="str">
        <f t="shared" ref="Q246:Q262" si="88">IF($P246="Yes",IF($N246&gt;0,$N246,IF($L246&gt;0,$L246,IF($J246&gt;0,$J246,""))),"")</f>
        <v/>
      </c>
      <c r="R246" s="122" t="str">
        <f t="shared" ref="R246:R262" si="89">IFERROR(IF(INT($Q246)&gt;0,$F$245-$Q246,""),"")</f>
        <v/>
      </c>
      <c r="S246" s="98"/>
    </row>
    <row r="247" spans="2:19" x14ac:dyDescent="0.25">
      <c r="B247" s="152"/>
      <c r="C247" s="143"/>
      <c r="D247" s="143"/>
      <c r="E247" s="152"/>
      <c r="F247" s="153"/>
      <c r="G247" s="152"/>
      <c r="H247" s="90">
        <v>2</v>
      </c>
      <c r="I247" s="98"/>
      <c r="J247" s="99"/>
      <c r="K247" s="121" t="str">
        <f t="shared" si="85"/>
        <v/>
      </c>
      <c r="L247" s="99"/>
      <c r="M247" s="121" t="str">
        <f t="shared" si="86"/>
        <v/>
      </c>
      <c r="N247" s="99"/>
      <c r="O247" s="121" t="str">
        <f t="shared" si="87"/>
        <v/>
      </c>
      <c r="P247" s="91"/>
      <c r="Q247" s="122" t="str">
        <f t="shared" si="88"/>
        <v/>
      </c>
      <c r="R247" s="122" t="str">
        <f t="shared" si="89"/>
        <v/>
      </c>
      <c r="S247" s="98"/>
    </row>
    <row r="248" spans="2:19" x14ac:dyDescent="0.25">
      <c r="B248" s="152"/>
      <c r="C248" s="143"/>
      <c r="D248" s="143"/>
      <c r="E248" s="152"/>
      <c r="F248" s="153"/>
      <c r="G248" s="152"/>
      <c r="H248" s="90">
        <v>3</v>
      </c>
      <c r="I248" s="98"/>
      <c r="J248" s="99"/>
      <c r="K248" s="121" t="str">
        <f t="shared" si="85"/>
        <v/>
      </c>
      <c r="L248" s="99"/>
      <c r="M248" s="121" t="str">
        <f t="shared" si="86"/>
        <v/>
      </c>
      <c r="N248" s="99"/>
      <c r="O248" s="121" t="str">
        <f t="shared" si="87"/>
        <v/>
      </c>
      <c r="P248" s="91"/>
      <c r="Q248" s="122" t="str">
        <f t="shared" si="88"/>
        <v/>
      </c>
      <c r="R248" s="122" t="str">
        <f t="shared" si="89"/>
        <v/>
      </c>
      <c r="S248" s="98"/>
    </row>
    <row r="249" spans="2:19" x14ac:dyDescent="0.25">
      <c r="B249" s="152"/>
      <c r="C249" s="143"/>
      <c r="D249" s="143"/>
      <c r="E249" s="152"/>
      <c r="F249" s="153"/>
      <c r="G249" s="152"/>
      <c r="H249" s="90">
        <v>4</v>
      </c>
      <c r="I249" s="98"/>
      <c r="J249" s="99"/>
      <c r="K249" s="121" t="str">
        <f t="shared" si="85"/>
        <v/>
      </c>
      <c r="L249" s="99"/>
      <c r="M249" s="121" t="str">
        <f t="shared" si="86"/>
        <v/>
      </c>
      <c r="N249" s="99"/>
      <c r="O249" s="121" t="str">
        <f t="shared" si="87"/>
        <v/>
      </c>
      <c r="P249" s="91"/>
      <c r="Q249" s="122" t="str">
        <f t="shared" si="88"/>
        <v/>
      </c>
      <c r="R249" s="122" t="str">
        <f t="shared" si="89"/>
        <v/>
      </c>
      <c r="S249" s="98"/>
    </row>
    <row r="250" spans="2:19" x14ac:dyDescent="0.25">
      <c r="B250" s="152"/>
      <c r="C250" s="143"/>
      <c r="D250" s="143"/>
      <c r="E250" s="152"/>
      <c r="F250" s="153"/>
      <c r="G250" s="152"/>
      <c r="H250" s="90">
        <v>5</v>
      </c>
      <c r="I250" s="98"/>
      <c r="J250" s="99"/>
      <c r="K250" s="121" t="str">
        <f t="shared" si="85"/>
        <v/>
      </c>
      <c r="L250" s="99"/>
      <c r="M250" s="121" t="str">
        <f t="shared" si="86"/>
        <v/>
      </c>
      <c r="N250" s="99"/>
      <c r="O250" s="121" t="str">
        <f t="shared" si="87"/>
        <v/>
      </c>
      <c r="P250" s="91"/>
      <c r="Q250" s="122" t="str">
        <f t="shared" si="88"/>
        <v/>
      </c>
      <c r="R250" s="122" t="str">
        <f t="shared" si="89"/>
        <v/>
      </c>
      <c r="S250" s="98"/>
    </row>
    <row r="251" spans="2:19" x14ac:dyDescent="0.25">
      <c r="B251" s="152"/>
      <c r="C251" s="143"/>
      <c r="D251" s="143"/>
      <c r="E251" s="152"/>
      <c r="F251" s="153"/>
      <c r="G251" s="152"/>
      <c r="H251" s="90">
        <v>6</v>
      </c>
      <c r="I251" s="98"/>
      <c r="J251" s="99"/>
      <c r="K251" s="121" t="str">
        <f t="shared" si="85"/>
        <v/>
      </c>
      <c r="L251" s="99"/>
      <c r="M251" s="121" t="str">
        <f t="shared" si="86"/>
        <v/>
      </c>
      <c r="N251" s="99"/>
      <c r="O251" s="121" t="str">
        <f t="shared" si="87"/>
        <v/>
      </c>
      <c r="P251" s="91"/>
      <c r="Q251" s="122" t="str">
        <f t="shared" si="88"/>
        <v/>
      </c>
      <c r="R251" s="122" t="str">
        <f t="shared" si="89"/>
        <v/>
      </c>
      <c r="S251" s="98"/>
    </row>
    <row r="252" spans="2:19" x14ac:dyDescent="0.25">
      <c r="B252" s="152"/>
      <c r="C252" s="143"/>
      <c r="D252" s="143"/>
      <c r="E252" s="152"/>
      <c r="F252" s="153"/>
      <c r="G252" s="152"/>
      <c r="H252" s="90">
        <v>7</v>
      </c>
      <c r="I252" s="98"/>
      <c r="J252" s="99"/>
      <c r="K252" s="121" t="str">
        <f t="shared" si="85"/>
        <v/>
      </c>
      <c r="L252" s="99"/>
      <c r="M252" s="121" t="str">
        <f t="shared" si="86"/>
        <v/>
      </c>
      <c r="N252" s="99"/>
      <c r="O252" s="121" t="str">
        <f t="shared" si="87"/>
        <v/>
      </c>
      <c r="P252" s="91"/>
      <c r="Q252" s="122" t="str">
        <f t="shared" si="88"/>
        <v/>
      </c>
      <c r="R252" s="122" t="str">
        <f t="shared" si="89"/>
        <v/>
      </c>
      <c r="S252" s="98"/>
    </row>
    <row r="253" spans="2:19" x14ac:dyDescent="0.25">
      <c r="B253" s="152"/>
      <c r="C253" s="143"/>
      <c r="D253" s="143"/>
      <c r="E253" s="152"/>
      <c r="F253" s="153"/>
      <c r="G253" s="152"/>
      <c r="H253" s="90">
        <v>8</v>
      </c>
      <c r="I253" s="98"/>
      <c r="J253" s="99"/>
      <c r="K253" s="121" t="str">
        <f t="shared" si="85"/>
        <v/>
      </c>
      <c r="L253" s="99"/>
      <c r="M253" s="121" t="str">
        <f t="shared" si="86"/>
        <v/>
      </c>
      <c r="N253" s="99"/>
      <c r="O253" s="121" t="str">
        <f t="shared" si="87"/>
        <v/>
      </c>
      <c r="P253" s="91"/>
      <c r="Q253" s="122" t="str">
        <f t="shared" si="88"/>
        <v/>
      </c>
      <c r="R253" s="122" t="str">
        <f t="shared" si="89"/>
        <v/>
      </c>
      <c r="S253" s="98"/>
    </row>
    <row r="254" spans="2:19" x14ac:dyDescent="0.25">
      <c r="B254" s="152"/>
      <c r="C254" s="143"/>
      <c r="D254" s="143"/>
      <c r="E254" s="152"/>
      <c r="F254" s="153"/>
      <c r="G254" s="152"/>
      <c r="H254" s="90">
        <v>9</v>
      </c>
      <c r="I254" s="98"/>
      <c r="J254" s="99"/>
      <c r="K254" s="121" t="str">
        <f t="shared" si="85"/>
        <v/>
      </c>
      <c r="L254" s="99"/>
      <c r="M254" s="121" t="str">
        <f t="shared" si="86"/>
        <v/>
      </c>
      <c r="N254" s="99"/>
      <c r="O254" s="121" t="str">
        <f t="shared" si="87"/>
        <v/>
      </c>
      <c r="P254" s="91"/>
      <c r="Q254" s="122" t="str">
        <f t="shared" si="88"/>
        <v/>
      </c>
      <c r="R254" s="122" t="str">
        <f t="shared" si="89"/>
        <v/>
      </c>
      <c r="S254" s="98"/>
    </row>
    <row r="255" spans="2:19" x14ac:dyDescent="0.25">
      <c r="B255" s="152"/>
      <c r="C255" s="143"/>
      <c r="D255" s="143"/>
      <c r="E255" s="152"/>
      <c r="F255" s="153"/>
      <c r="G255" s="152"/>
      <c r="H255" s="90">
        <v>10</v>
      </c>
      <c r="I255" s="98"/>
      <c r="J255" s="99"/>
      <c r="K255" s="121" t="str">
        <f t="shared" si="85"/>
        <v/>
      </c>
      <c r="L255" s="99"/>
      <c r="M255" s="121" t="str">
        <f t="shared" si="86"/>
        <v/>
      </c>
      <c r="N255" s="99"/>
      <c r="O255" s="121" t="str">
        <f t="shared" si="87"/>
        <v/>
      </c>
      <c r="P255" s="91"/>
      <c r="Q255" s="122" t="str">
        <f t="shared" si="88"/>
        <v/>
      </c>
      <c r="R255" s="122" t="str">
        <f t="shared" si="89"/>
        <v/>
      </c>
      <c r="S255" s="98"/>
    </row>
    <row r="256" spans="2:19" x14ac:dyDescent="0.25">
      <c r="B256" s="152"/>
      <c r="C256" s="143"/>
      <c r="D256" s="143"/>
      <c r="E256" s="152"/>
      <c r="F256" s="153"/>
      <c r="G256" s="152"/>
      <c r="H256" s="90">
        <v>11</v>
      </c>
      <c r="I256" s="98"/>
      <c r="J256" s="99"/>
      <c r="K256" s="121" t="str">
        <f t="shared" si="85"/>
        <v/>
      </c>
      <c r="L256" s="99"/>
      <c r="M256" s="121" t="str">
        <f t="shared" si="86"/>
        <v/>
      </c>
      <c r="N256" s="99"/>
      <c r="O256" s="121" t="str">
        <f t="shared" si="87"/>
        <v/>
      </c>
      <c r="P256" s="91"/>
      <c r="Q256" s="122" t="str">
        <f t="shared" si="88"/>
        <v/>
      </c>
      <c r="R256" s="122" t="str">
        <f t="shared" si="89"/>
        <v/>
      </c>
      <c r="S256" s="98"/>
    </row>
    <row r="257" spans="2:19" x14ac:dyDescent="0.25">
      <c r="B257" s="152"/>
      <c r="C257" s="143"/>
      <c r="D257" s="143"/>
      <c r="E257" s="152"/>
      <c r="F257" s="153"/>
      <c r="G257" s="152"/>
      <c r="H257" s="90">
        <v>12</v>
      </c>
      <c r="I257" s="98"/>
      <c r="J257" s="99"/>
      <c r="K257" s="121" t="str">
        <f t="shared" si="85"/>
        <v/>
      </c>
      <c r="L257" s="99"/>
      <c r="M257" s="121" t="str">
        <f t="shared" si="86"/>
        <v/>
      </c>
      <c r="N257" s="99"/>
      <c r="O257" s="121" t="str">
        <f t="shared" si="87"/>
        <v/>
      </c>
      <c r="P257" s="91"/>
      <c r="Q257" s="122" t="str">
        <f t="shared" si="88"/>
        <v/>
      </c>
      <c r="R257" s="122" t="str">
        <f t="shared" si="89"/>
        <v/>
      </c>
      <c r="S257" s="98"/>
    </row>
    <row r="258" spans="2:19" x14ac:dyDescent="0.25">
      <c r="B258" s="152"/>
      <c r="C258" s="143"/>
      <c r="D258" s="143"/>
      <c r="E258" s="152"/>
      <c r="F258" s="153"/>
      <c r="G258" s="152"/>
      <c r="H258" s="90">
        <v>13</v>
      </c>
      <c r="I258" s="98"/>
      <c r="J258" s="99"/>
      <c r="K258" s="121" t="str">
        <f t="shared" si="85"/>
        <v/>
      </c>
      <c r="L258" s="99"/>
      <c r="M258" s="121" t="str">
        <f t="shared" si="86"/>
        <v/>
      </c>
      <c r="N258" s="99"/>
      <c r="O258" s="121" t="str">
        <f t="shared" si="87"/>
        <v/>
      </c>
      <c r="P258" s="91"/>
      <c r="Q258" s="122" t="str">
        <f t="shared" si="88"/>
        <v/>
      </c>
      <c r="R258" s="122" t="str">
        <f t="shared" si="89"/>
        <v/>
      </c>
      <c r="S258" s="98"/>
    </row>
    <row r="259" spans="2:19" x14ac:dyDescent="0.25">
      <c r="B259" s="152"/>
      <c r="C259" s="143"/>
      <c r="D259" s="143"/>
      <c r="E259" s="152"/>
      <c r="F259" s="153"/>
      <c r="G259" s="152"/>
      <c r="H259" s="90">
        <v>14</v>
      </c>
      <c r="I259" s="98"/>
      <c r="J259" s="99"/>
      <c r="K259" s="121" t="str">
        <f t="shared" si="85"/>
        <v/>
      </c>
      <c r="L259" s="99"/>
      <c r="M259" s="121" t="str">
        <f t="shared" si="86"/>
        <v/>
      </c>
      <c r="N259" s="99"/>
      <c r="O259" s="121" t="str">
        <f t="shared" si="87"/>
        <v/>
      </c>
      <c r="P259" s="91"/>
      <c r="Q259" s="122" t="str">
        <f t="shared" si="88"/>
        <v/>
      </c>
      <c r="R259" s="122" t="str">
        <f t="shared" si="89"/>
        <v/>
      </c>
      <c r="S259" s="98"/>
    </row>
    <row r="260" spans="2:19" x14ac:dyDescent="0.25">
      <c r="B260" s="152"/>
      <c r="C260" s="143"/>
      <c r="D260" s="143"/>
      <c r="E260" s="152"/>
      <c r="F260" s="153"/>
      <c r="G260" s="152"/>
      <c r="H260" s="90">
        <v>15</v>
      </c>
      <c r="I260" s="98"/>
      <c r="J260" s="99"/>
      <c r="K260" s="121" t="str">
        <f t="shared" si="85"/>
        <v/>
      </c>
      <c r="L260" s="99"/>
      <c r="M260" s="121" t="str">
        <f t="shared" si="86"/>
        <v/>
      </c>
      <c r="N260" s="99"/>
      <c r="O260" s="121" t="str">
        <f t="shared" si="87"/>
        <v/>
      </c>
      <c r="P260" s="91"/>
      <c r="Q260" s="122" t="str">
        <f t="shared" si="88"/>
        <v/>
      </c>
      <c r="R260" s="122" t="str">
        <f t="shared" si="89"/>
        <v/>
      </c>
      <c r="S260" s="98"/>
    </row>
    <row r="261" spans="2:19" x14ac:dyDescent="0.25">
      <c r="B261" s="154"/>
      <c r="C261" s="142"/>
      <c r="D261" s="142"/>
      <c r="E261" s="154"/>
      <c r="F261" s="155"/>
      <c r="G261" s="154"/>
      <c r="H261" s="108">
        <v>16</v>
      </c>
      <c r="I261" s="109"/>
      <c r="J261" s="110"/>
      <c r="K261" s="123" t="str">
        <f t="shared" si="85"/>
        <v/>
      </c>
      <c r="L261" s="110"/>
      <c r="M261" s="123" t="str">
        <f t="shared" si="86"/>
        <v/>
      </c>
      <c r="N261" s="110"/>
      <c r="O261" s="123" t="str">
        <f t="shared" si="87"/>
        <v/>
      </c>
      <c r="P261" s="105"/>
      <c r="Q261" s="124" t="str">
        <f t="shared" si="88"/>
        <v/>
      </c>
      <c r="R261" s="124" t="str">
        <f t="shared" si="89"/>
        <v/>
      </c>
      <c r="S261" s="109"/>
    </row>
    <row r="262" spans="2:19" x14ac:dyDescent="0.25">
      <c r="B262" s="152"/>
      <c r="C262" s="143"/>
      <c r="D262" s="143"/>
      <c r="E262" s="152"/>
      <c r="F262" s="153"/>
      <c r="G262" s="152"/>
      <c r="H262" s="90">
        <v>17</v>
      </c>
      <c r="I262" s="98"/>
      <c r="J262" s="99"/>
      <c r="K262" s="121" t="str">
        <f t="shared" si="85"/>
        <v/>
      </c>
      <c r="L262" s="99"/>
      <c r="M262" s="121" t="str">
        <f t="shared" si="86"/>
        <v/>
      </c>
      <c r="N262" s="99"/>
      <c r="O262" s="121" t="str">
        <f t="shared" si="87"/>
        <v/>
      </c>
      <c r="P262" s="91"/>
      <c r="Q262" s="122" t="str">
        <f t="shared" si="88"/>
        <v/>
      </c>
      <c r="R262" s="122" t="str">
        <f t="shared" si="89"/>
        <v/>
      </c>
      <c r="S262" s="98"/>
    </row>
    <row r="263" spans="2:19" x14ac:dyDescent="0.25">
      <c r="B263" s="156">
        <v>48</v>
      </c>
      <c r="C263" s="157" t="s">
        <v>44</v>
      </c>
      <c r="D263" s="157" t="s">
        <v>81</v>
      </c>
      <c r="E263" s="156" t="s">
        <v>226</v>
      </c>
      <c r="F263" s="158"/>
      <c r="G263" s="156"/>
      <c r="H263" s="159"/>
      <c r="I263" s="159"/>
      <c r="J263" s="113" t="str">
        <f>_xlfn.XLOOKUP(1,$K$264:$K$268,$I$264:$I$268, "-", 0)</f>
        <v>-</v>
      </c>
      <c r="K263" s="159"/>
      <c r="L263" s="113" t="str">
        <f>_xlfn.XLOOKUP(1,$M$264:$M$268,$I$264:$I$268, "-", 0)</f>
        <v>-</v>
      </c>
      <c r="M263" s="159"/>
      <c r="N263" s="113" t="str">
        <f>_xlfn.XLOOKUP(1,$O$264:$O$268,$I$264:$I$268, "-", 0)</f>
        <v>-</v>
      </c>
      <c r="O263" s="159"/>
      <c r="P263" s="114" t="str">
        <f>IF(COUNTIF($P$264:$P$268,"Yes")&gt;0,"Yes","")</f>
        <v/>
      </c>
      <c r="Q263" s="113">
        <f>SUM($Q$264:$Q$268)</f>
        <v>0</v>
      </c>
      <c r="R263" s="113" t="str">
        <f>IF($Q$263&gt;0,$F$263-$Q$263,"")</f>
        <v/>
      </c>
      <c r="S263" s="159"/>
    </row>
    <row r="264" spans="2:19" x14ac:dyDescent="0.25">
      <c r="B264" s="152"/>
      <c r="C264" s="143"/>
      <c r="D264" s="143"/>
      <c r="E264" s="152"/>
      <c r="F264" s="153"/>
      <c r="G264" s="152"/>
      <c r="H264" s="90">
        <v>1</v>
      </c>
      <c r="I264" s="98"/>
      <c r="J264" s="99"/>
      <c r="K264" s="121" t="str">
        <f>IF($J264="","",RANK(J264,$J$264:$J$268,1))</f>
        <v/>
      </c>
      <c r="L264" s="99"/>
      <c r="M264" s="121" t="str">
        <f>IF($L264="","",RANK(L264,$L$264:$L$268,1))</f>
        <v/>
      </c>
      <c r="N264" s="99"/>
      <c r="O264" s="121" t="str">
        <f>IF($N264="","",RANK(N264,$N$264:$N$268,1))</f>
        <v/>
      </c>
      <c r="P264" s="91"/>
      <c r="Q264" s="122" t="str">
        <f>IF($P264="Yes",IF($N264&gt;0,$N264,IF($L264&gt;0,$L264,IF($J264&gt;0,$J264,""))),"")</f>
        <v/>
      </c>
      <c r="R264" s="122" t="str">
        <f>IFERROR(IF(INT($Q264)&gt;0,$F$263-$Q264,""),"")</f>
        <v/>
      </c>
      <c r="S264" s="98"/>
    </row>
    <row r="265" spans="2:19" x14ac:dyDescent="0.25">
      <c r="B265" s="152"/>
      <c r="C265" s="143"/>
      <c r="D265" s="143"/>
      <c r="E265" s="152"/>
      <c r="F265" s="153"/>
      <c r="G265" s="152"/>
      <c r="H265" s="90">
        <v>2</v>
      </c>
      <c r="I265" s="98"/>
      <c r="J265" s="99"/>
      <c r="K265" s="121" t="str">
        <f>IF($J265="","",RANK(J265,$J$264:$J$268,1))</f>
        <v/>
      </c>
      <c r="L265" s="99"/>
      <c r="M265" s="121" t="str">
        <f>IF($L265="","",RANK(L265,$L$264:$L$268,1))</f>
        <v/>
      </c>
      <c r="N265" s="99"/>
      <c r="O265" s="121" t="str">
        <f>IF($N265="","",RANK(N265,$N$264:$N$268,1))</f>
        <v/>
      </c>
      <c r="P265" s="91"/>
      <c r="Q265" s="122" t="str">
        <f>IF($P265="Yes",IF($N265&gt;0,$N265,IF($L265&gt;0,$L265,IF($J265&gt;0,$J265,""))),"")</f>
        <v/>
      </c>
      <c r="R265" s="122" t="str">
        <f>IFERROR(IF(INT($Q265)&gt;0,$F$263-$Q265,""),"")</f>
        <v/>
      </c>
      <c r="S265" s="98"/>
    </row>
    <row r="266" spans="2:19" x14ac:dyDescent="0.25">
      <c r="B266" s="152"/>
      <c r="C266" s="143"/>
      <c r="D266" s="143"/>
      <c r="E266" s="152"/>
      <c r="F266" s="153"/>
      <c r="G266" s="152"/>
      <c r="H266" s="90">
        <v>3</v>
      </c>
      <c r="I266" s="98"/>
      <c r="J266" s="99"/>
      <c r="K266" s="121" t="str">
        <f>IF($J266="","",RANK(J266,$J$264:$J$268,1))</f>
        <v/>
      </c>
      <c r="L266" s="99"/>
      <c r="M266" s="121" t="str">
        <f>IF($L266="","",RANK(L266,$L$264:$L$268,1))</f>
        <v/>
      </c>
      <c r="N266" s="99"/>
      <c r="O266" s="121" t="str">
        <f>IF($N266="","",RANK(N266,$N$264:$N$268,1))</f>
        <v/>
      </c>
      <c r="P266" s="91"/>
      <c r="Q266" s="122" t="str">
        <f>IF($P266="Yes",IF($N266&gt;0,$N266,IF($L266&gt;0,$L266,IF($J266&gt;0,$J266,""))),"")</f>
        <v/>
      </c>
      <c r="R266" s="122" t="str">
        <f>IFERROR(IF(INT($Q266)&gt;0,$F$263-$Q266,""),"")</f>
        <v/>
      </c>
      <c r="S266" s="98"/>
    </row>
    <row r="267" spans="2:19" x14ac:dyDescent="0.25">
      <c r="B267" s="154"/>
      <c r="C267" s="142"/>
      <c r="D267" s="142"/>
      <c r="E267" s="154"/>
      <c r="F267" s="155"/>
      <c r="G267" s="154"/>
      <c r="H267" s="108">
        <v>4</v>
      </c>
      <c r="I267" s="109"/>
      <c r="J267" s="110"/>
      <c r="K267" s="123" t="str">
        <f>IF($J267="","",RANK(J267,$J$264:$J$268,1))</f>
        <v/>
      </c>
      <c r="L267" s="110"/>
      <c r="M267" s="123" t="str">
        <f>IF($L267="","",RANK(L267,$L$264:$L$268,1))</f>
        <v/>
      </c>
      <c r="N267" s="110"/>
      <c r="O267" s="123" t="str">
        <f>IF($N267="","",RANK(N267,$N$264:$N$268,1))</f>
        <v/>
      </c>
      <c r="P267" s="105"/>
      <c r="Q267" s="124" t="str">
        <f>IF($P267="Yes",IF($N267&gt;0,$N267,IF($L267&gt;0,$L267,IF($J267&gt;0,$J267,""))),"")</f>
        <v/>
      </c>
      <c r="R267" s="124" t="str">
        <f>IFERROR(IF(INT($Q267)&gt;0,$F$263-$Q267,""),"")</f>
        <v/>
      </c>
      <c r="S267" s="109"/>
    </row>
    <row r="268" spans="2:19" x14ac:dyDescent="0.25">
      <c r="B268" s="152"/>
      <c r="C268" s="143"/>
      <c r="D268" s="143"/>
      <c r="E268" s="152"/>
      <c r="F268" s="153"/>
      <c r="G268" s="152"/>
      <c r="H268" s="90">
        <v>5</v>
      </c>
      <c r="I268" s="98"/>
      <c r="J268" s="99"/>
      <c r="K268" s="121" t="str">
        <f>IF($J268="","",RANK(J268,$J$264:$J$268,1))</f>
        <v/>
      </c>
      <c r="L268" s="99"/>
      <c r="M268" s="121" t="str">
        <f>IF($L268="","",RANK(L268,$L$264:$L$268,1))</f>
        <v/>
      </c>
      <c r="N268" s="99"/>
      <c r="O268" s="121" t="str">
        <f>IF($N268="","",RANK(N268,$N$264:$N$268,1))</f>
        <v/>
      </c>
      <c r="P268" s="91"/>
      <c r="Q268" s="122" t="str">
        <f>IF($P268="Yes",IF($N268&gt;0,$N268,IF($L268&gt;0,$L268,IF($J268&gt;0,$J268,""))),"")</f>
        <v/>
      </c>
      <c r="R268" s="122" t="str">
        <f>IFERROR(IF(INT($Q268)&gt;0,$F$263-$Q268,""),"")</f>
        <v/>
      </c>
      <c r="S268" s="98"/>
    </row>
    <row r="269" spans="2:19" x14ac:dyDescent="0.25">
      <c r="B269" s="156">
        <v>52</v>
      </c>
      <c r="C269" s="157" t="s">
        <v>44</v>
      </c>
      <c r="D269" s="157" t="s">
        <v>82</v>
      </c>
      <c r="E269" s="156" t="s">
        <v>227</v>
      </c>
      <c r="F269" s="158"/>
      <c r="G269" s="156"/>
      <c r="H269" s="159"/>
      <c r="I269" s="159"/>
      <c r="J269" s="113" t="str">
        <f>_xlfn.XLOOKUP(1,$K$270:$K$279,$I$270:$I$279, "-", 0)</f>
        <v>-</v>
      </c>
      <c r="K269" s="159"/>
      <c r="L269" s="113" t="str">
        <f>_xlfn.XLOOKUP(1,$M$270:$M$279,$I$270:$I$279, "-", 0)</f>
        <v>-</v>
      </c>
      <c r="M269" s="159"/>
      <c r="N269" s="113" t="str">
        <f>_xlfn.XLOOKUP(1,$O$270:$O$279,$I$270:$I$279, "-", 0)</f>
        <v>-</v>
      </c>
      <c r="O269" s="159"/>
      <c r="P269" s="114" t="str">
        <f>IF(COUNTIF($P$270:$P$279,"Yes")&gt;0,"Yes","")</f>
        <v/>
      </c>
      <c r="Q269" s="113">
        <f>SUM($Q$270:$Q$279)</f>
        <v>0</v>
      </c>
      <c r="R269" s="113" t="str">
        <f>IF($Q$269&gt;0,$F$269-$Q$269,"")</f>
        <v/>
      </c>
      <c r="S269" s="159"/>
    </row>
    <row r="270" spans="2:19" x14ac:dyDescent="0.25">
      <c r="B270" s="152"/>
      <c r="C270" s="143"/>
      <c r="D270" s="143"/>
      <c r="E270" s="152"/>
      <c r="F270" s="153"/>
      <c r="G270" s="152"/>
      <c r="H270" s="90">
        <v>1</v>
      </c>
      <c r="I270" s="98"/>
      <c r="J270" s="99"/>
      <c r="K270" s="121" t="str">
        <f t="shared" ref="K270:K279" si="90">IF($J270="","",RANK(J270,$J$270:$J$279,1))</f>
        <v/>
      </c>
      <c r="L270" s="99"/>
      <c r="M270" s="121" t="str">
        <f t="shared" ref="M270:M279" si="91">IF($L270="","",RANK(L270,$L$270:$L$279,1))</f>
        <v/>
      </c>
      <c r="N270" s="99"/>
      <c r="O270" s="121" t="str">
        <f t="shared" ref="O270:O279" si="92">IF($N270="","",RANK(N270,$N$270:$N$279,1))</f>
        <v/>
      </c>
      <c r="P270" s="91"/>
      <c r="Q270" s="122" t="str">
        <f t="shared" ref="Q270:Q279" si="93">IF($P270="Yes",IF($N270&gt;0,$N270,IF($L270&gt;0,$L270,IF($J270&gt;0,$J270,""))),"")</f>
        <v/>
      </c>
      <c r="R270" s="122" t="str">
        <f t="shared" ref="R270:R279" si="94">IFERROR(IF(INT($Q270)&gt;0,$F$269-$Q270,""),"")</f>
        <v/>
      </c>
      <c r="S270" s="98"/>
    </row>
    <row r="271" spans="2:19" x14ac:dyDescent="0.25">
      <c r="B271" s="152"/>
      <c r="C271" s="143"/>
      <c r="D271" s="143"/>
      <c r="E271" s="152"/>
      <c r="F271" s="153"/>
      <c r="G271" s="152"/>
      <c r="H271" s="90">
        <v>2</v>
      </c>
      <c r="I271" s="98"/>
      <c r="J271" s="99"/>
      <c r="K271" s="121" t="str">
        <f t="shared" si="90"/>
        <v/>
      </c>
      <c r="L271" s="99"/>
      <c r="M271" s="121" t="str">
        <f t="shared" si="91"/>
        <v/>
      </c>
      <c r="N271" s="99"/>
      <c r="O271" s="121" t="str">
        <f t="shared" si="92"/>
        <v/>
      </c>
      <c r="P271" s="91"/>
      <c r="Q271" s="122" t="str">
        <f t="shared" si="93"/>
        <v/>
      </c>
      <c r="R271" s="122" t="str">
        <f t="shared" si="94"/>
        <v/>
      </c>
      <c r="S271" s="98"/>
    </row>
    <row r="272" spans="2:19" x14ac:dyDescent="0.25">
      <c r="B272" s="152"/>
      <c r="C272" s="143"/>
      <c r="D272" s="143"/>
      <c r="E272" s="152"/>
      <c r="F272" s="153"/>
      <c r="G272" s="152"/>
      <c r="H272" s="90">
        <v>3</v>
      </c>
      <c r="I272" s="98"/>
      <c r="J272" s="99"/>
      <c r="K272" s="121" t="str">
        <f t="shared" si="90"/>
        <v/>
      </c>
      <c r="L272" s="99"/>
      <c r="M272" s="121" t="str">
        <f t="shared" si="91"/>
        <v/>
      </c>
      <c r="N272" s="99"/>
      <c r="O272" s="121" t="str">
        <f t="shared" si="92"/>
        <v/>
      </c>
      <c r="P272" s="91"/>
      <c r="Q272" s="122" t="str">
        <f t="shared" si="93"/>
        <v/>
      </c>
      <c r="R272" s="122" t="str">
        <f t="shared" si="94"/>
        <v/>
      </c>
      <c r="S272" s="98"/>
    </row>
    <row r="273" spans="2:19" x14ac:dyDescent="0.25">
      <c r="B273" s="152"/>
      <c r="C273" s="143"/>
      <c r="D273" s="143"/>
      <c r="E273" s="152"/>
      <c r="F273" s="153"/>
      <c r="G273" s="152"/>
      <c r="H273" s="90">
        <v>4</v>
      </c>
      <c r="I273" s="98"/>
      <c r="J273" s="99"/>
      <c r="K273" s="121" t="str">
        <f t="shared" si="90"/>
        <v/>
      </c>
      <c r="L273" s="99"/>
      <c r="M273" s="121" t="str">
        <f t="shared" si="91"/>
        <v/>
      </c>
      <c r="N273" s="99"/>
      <c r="O273" s="121" t="str">
        <f t="shared" si="92"/>
        <v/>
      </c>
      <c r="P273" s="91"/>
      <c r="Q273" s="122" t="str">
        <f t="shared" si="93"/>
        <v/>
      </c>
      <c r="R273" s="122" t="str">
        <f t="shared" si="94"/>
        <v/>
      </c>
      <c r="S273" s="98"/>
    </row>
    <row r="274" spans="2:19" x14ac:dyDescent="0.25">
      <c r="B274" s="152"/>
      <c r="C274" s="143"/>
      <c r="D274" s="143"/>
      <c r="E274" s="152"/>
      <c r="F274" s="153"/>
      <c r="G274" s="152"/>
      <c r="H274" s="90">
        <v>5</v>
      </c>
      <c r="I274" s="98"/>
      <c r="J274" s="99"/>
      <c r="K274" s="121" t="str">
        <f t="shared" si="90"/>
        <v/>
      </c>
      <c r="L274" s="99"/>
      <c r="M274" s="121" t="str">
        <f t="shared" si="91"/>
        <v/>
      </c>
      <c r="N274" s="99"/>
      <c r="O274" s="121" t="str">
        <f t="shared" si="92"/>
        <v/>
      </c>
      <c r="P274" s="91"/>
      <c r="Q274" s="122" t="str">
        <f t="shared" si="93"/>
        <v/>
      </c>
      <c r="R274" s="122" t="str">
        <f t="shared" si="94"/>
        <v/>
      </c>
      <c r="S274" s="98"/>
    </row>
    <row r="275" spans="2:19" x14ac:dyDescent="0.25">
      <c r="B275" s="152"/>
      <c r="C275" s="143"/>
      <c r="D275" s="143"/>
      <c r="E275" s="152"/>
      <c r="F275" s="153"/>
      <c r="G275" s="152"/>
      <c r="H275" s="90">
        <v>6</v>
      </c>
      <c r="I275" s="98"/>
      <c r="J275" s="99"/>
      <c r="K275" s="121" t="str">
        <f t="shared" si="90"/>
        <v/>
      </c>
      <c r="L275" s="99"/>
      <c r="M275" s="121" t="str">
        <f t="shared" si="91"/>
        <v/>
      </c>
      <c r="N275" s="99"/>
      <c r="O275" s="121" t="str">
        <f t="shared" si="92"/>
        <v/>
      </c>
      <c r="P275" s="91"/>
      <c r="Q275" s="122" t="str">
        <f t="shared" si="93"/>
        <v/>
      </c>
      <c r="R275" s="122" t="str">
        <f t="shared" si="94"/>
        <v/>
      </c>
      <c r="S275" s="98"/>
    </row>
    <row r="276" spans="2:19" x14ac:dyDescent="0.25">
      <c r="B276" s="152"/>
      <c r="C276" s="143"/>
      <c r="D276" s="143"/>
      <c r="E276" s="152"/>
      <c r="F276" s="153"/>
      <c r="G276" s="152"/>
      <c r="H276" s="90">
        <v>7</v>
      </c>
      <c r="I276" s="98"/>
      <c r="J276" s="99"/>
      <c r="K276" s="121" t="str">
        <f t="shared" si="90"/>
        <v/>
      </c>
      <c r="L276" s="99"/>
      <c r="M276" s="121" t="str">
        <f t="shared" si="91"/>
        <v/>
      </c>
      <c r="N276" s="99"/>
      <c r="O276" s="121" t="str">
        <f t="shared" si="92"/>
        <v/>
      </c>
      <c r="P276" s="91"/>
      <c r="Q276" s="122" t="str">
        <f t="shared" si="93"/>
        <v/>
      </c>
      <c r="R276" s="122" t="str">
        <f t="shared" si="94"/>
        <v/>
      </c>
      <c r="S276" s="98"/>
    </row>
    <row r="277" spans="2:19" x14ac:dyDescent="0.25">
      <c r="B277" s="152"/>
      <c r="C277" s="143"/>
      <c r="D277" s="143"/>
      <c r="E277" s="152"/>
      <c r="F277" s="153"/>
      <c r="G277" s="152"/>
      <c r="H277" s="90">
        <v>8</v>
      </c>
      <c r="I277" s="98"/>
      <c r="J277" s="99"/>
      <c r="K277" s="121" t="str">
        <f t="shared" si="90"/>
        <v/>
      </c>
      <c r="L277" s="99"/>
      <c r="M277" s="121" t="str">
        <f t="shared" si="91"/>
        <v/>
      </c>
      <c r="N277" s="99"/>
      <c r="O277" s="121" t="str">
        <f t="shared" si="92"/>
        <v/>
      </c>
      <c r="P277" s="91"/>
      <c r="Q277" s="122" t="str">
        <f t="shared" si="93"/>
        <v/>
      </c>
      <c r="R277" s="122" t="str">
        <f t="shared" si="94"/>
        <v/>
      </c>
      <c r="S277" s="98"/>
    </row>
    <row r="278" spans="2:19" x14ac:dyDescent="0.25">
      <c r="B278" s="152"/>
      <c r="C278" s="143"/>
      <c r="D278" s="143"/>
      <c r="E278" s="152"/>
      <c r="F278" s="153"/>
      <c r="G278" s="152"/>
      <c r="H278" s="90">
        <v>9</v>
      </c>
      <c r="I278" s="98"/>
      <c r="J278" s="99"/>
      <c r="K278" s="121" t="str">
        <f t="shared" si="90"/>
        <v/>
      </c>
      <c r="L278" s="99"/>
      <c r="M278" s="121" t="str">
        <f t="shared" si="91"/>
        <v/>
      </c>
      <c r="N278" s="99"/>
      <c r="O278" s="121" t="str">
        <f t="shared" si="92"/>
        <v/>
      </c>
      <c r="P278" s="91"/>
      <c r="Q278" s="122" t="str">
        <f t="shared" si="93"/>
        <v/>
      </c>
      <c r="R278" s="122" t="str">
        <f t="shared" si="94"/>
        <v/>
      </c>
      <c r="S278" s="98"/>
    </row>
    <row r="279" spans="2:19" x14ac:dyDescent="0.25">
      <c r="B279" s="154"/>
      <c r="C279" s="142"/>
      <c r="D279" s="142"/>
      <c r="E279" s="154"/>
      <c r="F279" s="155"/>
      <c r="G279" s="154"/>
      <c r="H279" s="108">
        <v>10</v>
      </c>
      <c r="I279" s="109"/>
      <c r="J279" s="110"/>
      <c r="K279" s="123" t="str">
        <f t="shared" si="90"/>
        <v/>
      </c>
      <c r="L279" s="110"/>
      <c r="M279" s="123" t="str">
        <f t="shared" si="91"/>
        <v/>
      </c>
      <c r="N279" s="110"/>
      <c r="O279" s="123" t="str">
        <f t="shared" si="92"/>
        <v/>
      </c>
      <c r="P279" s="105"/>
      <c r="Q279" s="124" t="str">
        <f t="shared" si="93"/>
        <v/>
      </c>
      <c r="R279" s="124" t="str">
        <f t="shared" si="94"/>
        <v/>
      </c>
      <c r="S279" s="109"/>
    </row>
    <row r="280" spans="2:19" x14ac:dyDescent="0.25">
      <c r="B280" s="148">
        <v>53</v>
      </c>
      <c r="C280" s="149" t="s">
        <v>44</v>
      </c>
      <c r="D280" s="149" t="s">
        <v>83</v>
      </c>
      <c r="E280" s="148" t="s">
        <v>227</v>
      </c>
      <c r="F280" s="150"/>
      <c r="G280" s="148"/>
      <c r="H280" s="151"/>
      <c r="I280" s="151"/>
      <c r="J280" s="96" t="str">
        <f>_xlfn.XLOOKUP(1,$K$281:$K$290,$I$281:$I$290, "-", 0)</f>
        <v>-</v>
      </c>
      <c r="K280" s="151"/>
      <c r="L280" s="96" t="str">
        <f>_xlfn.XLOOKUP(1,$M$281:$M$290,$I$281:$I$290, "-", 0)</f>
        <v>-</v>
      </c>
      <c r="M280" s="151"/>
      <c r="N280" s="96" t="str">
        <f>_xlfn.XLOOKUP(1,$O$281:$O$290,$I$281:$I$290, "-", 0)</f>
        <v>-</v>
      </c>
      <c r="O280" s="151"/>
      <c r="P280" s="97" t="str">
        <f>IF(COUNTIF($P$281:$P$290,"Yes")&gt;0,"Yes","")</f>
        <v/>
      </c>
      <c r="Q280" s="96">
        <f>SUM($Q$281:$Q$290)</f>
        <v>0</v>
      </c>
      <c r="R280" s="96" t="str">
        <f>IF($Q$280&gt;0,$F$280-$Q$280,"")</f>
        <v/>
      </c>
      <c r="S280" s="151"/>
    </row>
    <row r="281" spans="2:19" x14ac:dyDescent="0.25">
      <c r="B281" s="152"/>
      <c r="C281" s="143"/>
      <c r="D281" s="143"/>
      <c r="E281" s="152"/>
      <c r="F281" s="153"/>
      <c r="G281" s="152"/>
      <c r="H281" s="90">
        <v>1</v>
      </c>
      <c r="I281" s="98"/>
      <c r="J281" s="99"/>
      <c r="K281" s="121" t="str">
        <f t="shared" ref="K281:K290" si="95">IF($J281="","",RANK(J281,$J$281:$J$290,1))</f>
        <v/>
      </c>
      <c r="L281" s="99"/>
      <c r="M281" s="121" t="str">
        <f t="shared" ref="M281:M290" si="96">IF($L281="","",RANK(L281,$L$281:$L$290,1))</f>
        <v/>
      </c>
      <c r="N281" s="99"/>
      <c r="O281" s="121" t="str">
        <f t="shared" ref="O281:O290" si="97">IF($N281="","",RANK(N281,$N$281:$N$290,1))</f>
        <v/>
      </c>
      <c r="P281" s="91"/>
      <c r="Q281" s="122" t="str">
        <f t="shared" ref="Q281:Q290" si="98">IF($P281="Yes",IF($N281&gt;0,$N281,IF($L281&gt;0,$L281,IF($J281&gt;0,$J281,""))),"")</f>
        <v/>
      </c>
      <c r="R281" s="122" t="str">
        <f t="shared" ref="R281:R290" si="99">IFERROR(IF(INT($Q281)&gt;0,$F$280-$Q281,""),"")</f>
        <v/>
      </c>
      <c r="S281" s="98"/>
    </row>
    <row r="282" spans="2:19" x14ac:dyDescent="0.25">
      <c r="B282" s="152"/>
      <c r="C282" s="143"/>
      <c r="D282" s="143"/>
      <c r="E282" s="152"/>
      <c r="F282" s="153"/>
      <c r="G282" s="152"/>
      <c r="H282" s="90">
        <v>2</v>
      </c>
      <c r="I282" s="98"/>
      <c r="J282" s="99"/>
      <c r="K282" s="121" t="str">
        <f t="shared" si="95"/>
        <v/>
      </c>
      <c r="L282" s="99"/>
      <c r="M282" s="121" t="str">
        <f t="shared" si="96"/>
        <v/>
      </c>
      <c r="N282" s="99"/>
      <c r="O282" s="121" t="str">
        <f t="shared" si="97"/>
        <v/>
      </c>
      <c r="P282" s="91"/>
      <c r="Q282" s="122" t="str">
        <f t="shared" si="98"/>
        <v/>
      </c>
      <c r="R282" s="122" t="str">
        <f t="shared" si="99"/>
        <v/>
      </c>
      <c r="S282" s="98"/>
    </row>
    <row r="283" spans="2:19" x14ac:dyDescent="0.25">
      <c r="B283" s="152"/>
      <c r="C283" s="143"/>
      <c r="D283" s="143"/>
      <c r="E283" s="152"/>
      <c r="F283" s="153"/>
      <c r="G283" s="152"/>
      <c r="H283" s="90">
        <v>3</v>
      </c>
      <c r="I283" s="98"/>
      <c r="J283" s="99"/>
      <c r="K283" s="121" t="str">
        <f t="shared" si="95"/>
        <v/>
      </c>
      <c r="L283" s="99"/>
      <c r="M283" s="121" t="str">
        <f t="shared" si="96"/>
        <v/>
      </c>
      <c r="N283" s="99"/>
      <c r="O283" s="121" t="str">
        <f t="shared" si="97"/>
        <v/>
      </c>
      <c r="P283" s="91"/>
      <c r="Q283" s="122" t="str">
        <f t="shared" si="98"/>
        <v/>
      </c>
      <c r="R283" s="122" t="str">
        <f t="shared" si="99"/>
        <v/>
      </c>
      <c r="S283" s="98"/>
    </row>
    <row r="284" spans="2:19" x14ac:dyDescent="0.25">
      <c r="B284" s="152"/>
      <c r="C284" s="143"/>
      <c r="D284" s="143"/>
      <c r="E284" s="152"/>
      <c r="F284" s="153"/>
      <c r="G284" s="152"/>
      <c r="H284" s="90">
        <v>4</v>
      </c>
      <c r="I284" s="98"/>
      <c r="J284" s="99"/>
      <c r="K284" s="121" t="str">
        <f t="shared" si="95"/>
        <v/>
      </c>
      <c r="L284" s="99"/>
      <c r="M284" s="121" t="str">
        <f t="shared" si="96"/>
        <v/>
      </c>
      <c r="N284" s="99"/>
      <c r="O284" s="121" t="str">
        <f t="shared" si="97"/>
        <v/>
      </c>
      <c r="P284" s="91"/>
      <c r="Q284" s="122" t="str">
        <f t="shared" si="98"/>
        <v/>
      </c>
      <c r="R284" s="122" t="str">
        <f t="shared" si="99"/>
        <v/>
      </c>
      <c r="S284" s="98"/>
    </row>
    <row r="285" spans="2:19" x14ac:dyDescent="0.25">
      <c r="B285" s="152"/>
      <c r="C285" s="143"/>
      <c r="D285" s="143"/>
      <c r="E285" s="152"/>
      <c r="F285" s="153"/>
      <c r="G285" s="152"/>
      <c r="H285" s="90">
        <v>5</v>
      </c>
      <c r="I285" s="98"/>
      <c r="J285" s="99"/>
      <c r="K285" s="121" t="str">
        <f t="shared" si="95"/>
        <v/>
      </c>
      <c r="L285" s="99"/>
      <c r="M285" s="121" t="str">
        <f t="shared" si="96"/>
        <v/>
      </c>
      <c r="N285" s="99"/>
      <c r="O285" s="121" t="str">
        <f t="shared" si="97"/>
        <v/>
      </c>
      <c r="P285" s="91"/>
      <c r="Q285" s="122" t="str">
        <f t="shared" si="98"/>
        <v/>
      </c>
      <c r="R285" s="122" t="str">
        <f t="shared" si="99"/>
        <v/>
      </c>
      <c r="S285" s="98"/>
    </row>
    <row r="286" spans="2:19" x14ac:dyDescent="0.25">
      <c r="B286" s="152"/>
      <c r="C286" s="143"/>
      <c r="D286" s="143"/>
      <c r="E286" s="152"/>
      <c r="F286" s="153"/>
      <c r="G286" s="152"/>
      <c r="H286" s="90">
        <v>6</v>
      </c>
      <c r="I286" s="98"/>
      <c r="J286" s="99"/>
      <c r="K286" s="121" t="str">
        <f t="shared" si="95"/>
        <v/>
      </c>
      <c r="L286" s="99"/>
      <c r="M286" s="121" t="str">
        <f t="shared" si="96"/>
        <v/>
      </c>
      <c r="N286" s="99"/>
      <c r="O286" s="121" t="str">
        <f t="shared" si="97"/>
        <v/>
      </c>
      <c r="P286" s="91"/>
      <c r="Q286" s="122" t="str">
        <f t="shared" si="98"/>
        <v/>
      </c>
      <c r="R286" s="122" t="str">
        <f t="shared" si="99"/>
        <v/>
      </c>
      <c r="S286" s="98"/>
    </row>
    <row r="287" spans="2:19" x14ac:dyDescent="0.25">
      <c r="B287" s="152"/>
      <c r="C287" s="143"/>
      <c r="D287" s="143"/>
      <c r="E287" s="152"/>
      <c r="F287" s="153"/>
      <c r="G287" s="152"/>
      <c r="H287" s="90">
        <v>7</v>
      </c>
      <c r="I287" s="98"/>
      <c r="J287" s="99"/>
      <c r="K287" s="121" t="str">
        <f t="shared" si="95"/>
        <v/>
      </c>
      <c r="L287" s="99"/>
      <c r="M287" s="121" t="str">
        <f t="shared" si="96"/>
        <v/>
      </c>
      <c r="N287" s="99"/>
      <c r="O287" s="121" t="str">
        <f t="shared" si="97"/>
        <v/>
      </c>
      <c r="P287" s="91"/>
      <c r="Q287" s="122" t="str">
        <f t="shared" si="98"/>
        <v/>
      </c>
      <c r="R287" s="122" t="str">
        <f t="shared" si="99"/>
        <v/>
      </c>
      <c r="S287" s="98"/>
    </row>
    <row r="288" spans="2:19" x14ac:dyDescent="0.25">
      <c r="B288" s="152"/>
      <c r="C288" s="143"/>
      <c r="D288" s="143"/>
      <c r="E288" s="152"/>
      <c r="F288" s="153"/>
      <c r="G288" s="152"/>
      <c r="H288" s="90">
        <v>8</v>
      </c>
      <c r="I288" s="98"/>
      <c r="J288" s="99"/>
      <c r="K288" s="121" t="str">
        <f t="shared" si="95"/>
        <v/>
      </c>
      <c r="L288" s="99"/>
      <c r="M288" s="121" t="str">
        <f t="shared" si="96"/>
        <v/>
      </c>
      <c r="N288" s="99"/>
      <c r="O288" s="121" t="str">
        <f t="shared" si="97"/>
        <v/>
      </c>
      <c r="P288" s="91"/>
      <c r="Q288" s="122" t="str">
        <f t="shared" si="98"/>
        <v/>
      </c>
      <c r="R288" s="122" t="str">
        <f t="shared" si="99"/>
        <v/>
      </c>
      <c r="S288" s="98"/>
    </row>
    <row r="289" spans="2:19" x14ac:dyDescent="0.25">
      <c r="B289" s="154"/>
      <c r="C289" s="142"/>
      <c r="D289" s="142"/>
      <c r="E289" s="154"/>
      <c r="F289" s="155"/>
      <c r="G289" s="154"/>
      <c r="H289" s="108">
        <v>9</v>
      </c>
      <c r="I289" s="109"/>
      <c r="J289" s="110"/>
      <c r="K289" s="123" t="str">
        <f t="shared" si="95"/>
        <v/>
      </c>
      <c r="L289" s="110"/>
      <c r="M289" s="123" t="str">
        <f t="shared" si="96"/>
        <v/>
      </c>
      <c r="N289" s="110"/>
      <c r="O289" s="123" t="str">
        <f t="shared" si="97"/>
        <v/>
      </c>
      <c r="P289" s="105"/>
      <c r="Q289" s="124" t="str">
        <f t="shared" si="98"/>
        <v/>
      </c>
      <c r="R289" s="124" t="str">
        <f t="shared" si="99"/>
        <v/>
      </c>
      <c r="S289" s="109"/>
    </row>
    <row r="290" spans="2:19" x14ac:dyDescent="0.25">
      <c r="B290" s="152"/>
      <c r="C290" s="143"/>
      <c r="D290" s="143"/>
      <c r="E290" s="152"/>
      <c r="F290" s="153"/>
      <c r="G290" s="152"/>
      <c r="H290" s="90">
        <v>10</v>
      </c>
      <c r="I290" s="98"/>
      <c r="J290" s="99"/>
      <c r="K290" s="121" t="str">
        <f t="shared" si="95"/>
        <v/>
      </c>
      <c r="L290" s="99"/>
      <c r="M290" s="121" t="str">
        <f t="shared" si="96"/>
        <v/>
      </c>
      <c r="N290" s="99"/>
      <c r="O290" s="121" t="str">
        <f t="shared" si="97"/>
        <v/>
      </c>
      <c r="P290" s="91"/>
      <c r="Q290" s="122" t="str">
        <f t="shared" si="98"/>
        <v/>
      </c>
      <c r="R290" s="122" t="str">
        <f t="shared" si="99"/>
        <v/>
      </c>
      <c r="S290" s="98"/>
    </row>
    <row r="291" spans="2:19" x14ac:dyDescent="0.25">
      <c r="B291" s="156">
        <v>56</v>
      </c>
      <c r="C291" s="157" t="s">
        <v>44</v>
      </c>
      <c r="D291" s="157" t="s">
        <v>84</v>
      </c>
      <c r="E291" s="156" t="s">
        <v>229</v>
      </c>
      <c r="F291" s="158">
        <v>10747824.720000001</v>
      </c>
      <c r="G291" s="156"/>
      <c r="H291" s="159"/>
      <c r="I291" s="159"/>
      <c r="J291" s="113" t="str">
        <f>_xlfn.XLOOKUP(1,$K$292:$K$304,$I$292:$I$304, "-", 0)</f>
        <v xml:space="preserve">Favorite Plus  </v>
      </c>
      <c r="K291" s="159"/>
      <c r="L291" s="113" t="str">
        <f>_xlfn.XLOOKUP(1,$M$292:$M$304,$I$292:$I$304, "-", 0)</f>
        <v xml:space="preserve">Favorite Plus  </v>
      </c>
      <c r="M291" s="159"/>
      <c r="N291" s="113" t="str">
        <f>_xlfn.XLOOKUP(1,$O$292:$O$304,$I$292:$I$304, "-", 0)</f>
        <v xml:space="preserve">Favorite Plus  </v>
      </c>
      <c r="O291" s="159"/>
      <c r="P291" s="114" t="str">
        <f>IF(COUNTIF($P$292:$P$304,"Yes")&gt;0,"Yes","")</f>
        <v>Yes</v>
      </c>
      <c r="Q291" s="113">
        <f>SUM($Q$292:$Q$304)</f>
        <v>8404053.3200000003</v>
      </c>
      <c r="R291" s="113">
        <f>IF($Q$291&gt;0,$F$291-$Q$291,"")</f>
        <v>2343771.4000000004</v>
      </c>
      <c r="S291" s="159"/>
    </row>
    <row r="292" spans="2:19" x14ac:dyDescent="0.25">
      <c r="B292" s="152"/>
      <c r="C292" s="143"/>
      <c r="D292" s="143"/>
      <c r="E292" s="152"/>
      <c r="F292" s="153"/>
      <c r="G292" s="152"/>
      <c r="H292" s="90">
        <v>1</v>
      </c>
      <c r="I292" s="98" t="s">
        <v>295</v>
      </c>
      <c r="J292" s="99">
        <v>8404053.3200000003</v>
      </c>
      <c r="K292" s="121">
        <f t="shared" ref="K292:K304" si="100">IF($J292="","",RANK(J292,$J$292:$J$304,1))</f>
        <v>1</v>
      </c>
      <c r="L292" s="99">
        <f>J292</f>
        <v>8404053.3200000003</v>
      </c>
      <c r="M292" s="121">
        <f t="shared" ref="M292:M304" si="101">IF($L292="","",RANK(L292,$L$292:$L$304,1))</f>
        <v>1</v>
      </c>
      <c r="N292" s="99">
        <f>L292</f>
        <v>8404053.3200000003</v>
      </c>
      <c r="O292" s="121">
        <f t="shared" ref="O292:O304" si="102">IF($N292="","",RANK(N292,$N$292:$N$304,1))</f>
        <v>1</v>
      </c>
      <c r="P292" s="91" t="s">
        <v>276</v>
      </c>
      <c r="Q292" s="122">
        <f t="shared" ref="Q292:Q304" si="103">IF($P292="Yes",IF($N292&gt;0,$N292,IF($L292&gt;0,$L292,IF($J292&gt;0,$J292,""))),"")</f>
        <v>8404053.3200000003</v>
      </c>
      <c r="R292" s="122">
        <f t="shared" ref="R292:R304" si="104">IFERROR(IF(INT($Q292)&gt;0,$F$291-$Q292,""),"")</f>
        <v>2343771.4000000004</v>
      </c>
      <c r="S292" s="98"/>
    </row>
    <row r="293" spans="2:19" x14ac:dyDescent="0.25">
      <c r="B293" s="152"/>
      <c r="C293" s="143"/>
      <c r="D293" s="143"/>
      <c r="E293" s="152"/>
      <c r="F293" s="153"/>
      <c r="G293" s="152"/>
      <c r="H293" s="90">
        <v>2</v>
      </c>
      <c r="I293" s="98"/>
      <c r="J293" s="99"/>
      <c r="K293" s="121" t="str">
        <f t="shared" si="100"/>
        <v/>
      </c>
      <c r="L293" s="99"/>
      <c r="M293" s="121" t="str">
        <f t="shared" si="101"/>
        <v/>
      </c>
      <c r="N293" s="99"/>
      <c r="O293" s="121" t="str">
        <f t="shared" si="102"/>
        <v/>
      </c>
      <c r="P293" s="91"/>
      <c r="Q293" s="122" t="str">
        <f t="shared" si="103"/>
        <v/>
      </c>
      <c r="R293" s="122" t="str">
        <f t="shared" si="104"/>
        <v/>
      </c>
      <c r="S293" s="98"/>
    </row>
    <row r="294" spans="2:19" x14ac:dyDescent="0.25">
      <c r="B294" s="152"/>
      <c r="C294" s="143"/>
      <c r="D294" s="143"/>
      <c r="E294" s="152"/>
      <c r="F294" s="153"/>
      <c r="G294" s="152"/>
      <c r="H294" s="90">
        <v>3</v>
      </c>
      <c r="I294" s="98"/>
      <c r="J294" s="99"/>
      <c r="K294" s="121" t="str">
        <f t="shared" si="100"/>
        <v/>
      </c>
      <c r="L294" s="99"/>
      <c r="M294" s="121" t="str">
        <f t="shared" si="101"/>
        <v/>
      </c>
      <c r="N294" s="99"/>
      <c r="O294" s="121" t="str">
        <f t="shared" si="102"/>
        <v/>
      </c>
      <c r="P294" s="91"/>
      <c r="Q294" s="122" t="str">
        <f t="shared" si="103"/>
        <v/>
      </c>
      <c r="R294" s="122" t="str">
        <f t="shared" si="104"/>
        <v/>
      </c>
      <c r="S294" s="98"/>
    </row>
    <row r="295" spans="2:19" x14ac:dyDescent="0.25">
      <c r="B295" s="152"/>
      <c r="C295" s="143"/>
      <c r="D295" s="143"/>
      <c r="E295" s="152"/>
      <c r="F295" s="153"/>
      <c r="G295" s="152"/>
      <c r="H295" s="90">
        <v>4</v>
      </c>
      <c r="I295" s="98"/>
      <c r="J295" s="99"/>
      <c r="K295" s="121" t="str">
        <f t="shared" si="100"/>
        <v/>
      </c>
      <c r="L295" s="99"/>
      <c r="M295" s="121" t="str">
        <f t="shared" si="101"/>
        <v/>
      </c>
      <c r="N295" s="99"/>
      <c r="O295" s="121" t="str">
        <f t="shared" si="102"/>
        <v/>
      </c>
      <c r="P295" s="91"/>
      <c r="Q295" s="122" t="str">
        <f t="shared" si="103"/>
        <v/>
      </c>
      <c r="R295" s="122" t="str">
        <f t="shared" si="104"/>
        <v/>
      </c>
      <c r="S295" s="98"/>
    </row>
    <row r="296" spans="2:19" x14ac:dyDescent="0.25">
      <c r="B296" s="152"/>
      <c r="C296" s="143"/>
      <c r="D296" s="143"/>
      <c r="E296" s="152"/>
      <c r="F296" s="153"/>
      <c r="G296" s="152"/>
      <c r="H296" s="90">
        <v>5</v>
      </c>
      <c r="I296" s="98"/>
      <c r="J296" s="99"/>
      <c r="K296" s="121" t="str">
        <f t="shared" si="100"/>
        <v/>
      </c>
      <c r="L296" s="99"/>
      <c r="M296" s="121" t="str">
        <f t="shared" si="101"/>
        <v/>
      </c>
      <c r="N296" s="99"/>
      <c r="O296" s="121" t="str">
        <f t="shared" si="102"/>
        <v/>
      </c>
      <c r="P296" s="91"/>
      <c r="Q296" s="122" t="str">
        <f t="shared" si="103"/>
        <v/>
      </c>
      <c r="R296" s="122" t="str">
        <f t="shared" si="104"/>
        <v/>
      </c>
      <c r="S296" s="98"/>
    </row>
    <row r="297" spans="2:19" x14ac:dyDescent="0.25">
      <c r="B297" s="152"/>
      <c r="C297" s="143"/>
      <c r="D297" s="143"/>
      <c r="E297" s="152"/>
      <c r="F297" s="153"/>
      <c r="G297" s="152"/>
      <c r="H297" s="90">
        <v>6</v>
      </c>
      <c r="I297" s="98"/>
      <c r="J297" s="99"/>
      <c r="K297" s="121" t="str">
        <f t="shared" si="100"/>
        <v/>
      </c>
      <c r="L297" s="99"/>
      <c r="M297" s="121" t="str">
        <f t="shared" si="101"/>
        <v/>
      </c>
      <c r="N297" s="99"/>
      <c r="O297" s="121" t="str">
        <f t="shared" si="102"/>
        <v/>
      </c>
      <c r="P297" s="91"/>
      <c r="Q297" s="122" t="str">
        <f t="shared" si="103"/>
        <v/>
      </c>
      <c r="R297" s="122" t="str">
        <f t="shared" si="104"/>
        <v/>
      </c>
      <c r="S297" s="98"/>
    </row>
    <row r="298" spans="2:19" x14ac:dyDescent="0.25">
      <c r="B298" s="152"/>
      <c r="C298" s="143"/>
      <c r="D298" s="143"/>
      <c r="E298" s="152"/>
      <c r="F298" s="153"/>
      <c r="G298" s="152"/>
      <c r="H298" s="90">
        <v>7</v>
      </c>
      <c r="I298" s="98"/>
      <c r="J298" s="99"/>
      <c r="K298" s="121" t="str">
        <f t="shared" si="100"/>
        <v/>
      </c>
      <c r="L298" s="99"/>
      <c r="M298" s="121" t="str">
        <f t="shared" si="101"/>
        <v/>
      </c>
      <c r="N298" s="99"/>
      <c r="O298" s="121" t="str">
        <f t="shared" si="102"/>
        <v/>
      </c>
      <c r="P298" s="91"/>
      <c r="Q298" s="122" t="str">
        <f t="shared" si="103"/>
        <v/>
      </c>
      <c r="R298" s="122" t="str">
        <f t="shared" si="104"/>
        <v/>
      </c>
      <c r="S298" s="98"/>
    </row>
    <row r="299" spans="2:19" x14ac:dyDescent="0.25">
      <c r="B299" s="152"/>
      <c r="C299" s="143"/>
      <c r="D299" s="143"/>
      <c r="E299" s="152"/>
      <c r="F299" s="153"/>
      <c r="G299" s="152"/>
      <c r="H299" s="90">
        <v>8</v>
      </c>
      <c r="I299" s="98"/>
      <c r="J299" s="99"/>
      <c r="K299" s="121" t="str">
        <f t="shared" si="100"/>
        <v/>
      </c>
      <c r="L299" s="99"/>
      <c r="M299" s="121" t="str">
        <f t="shared" si="101"/>
        <v/>
      </c>
      <c r="N299" s="99"/>
      <c r="O299" s="121" t="str">
        <f t="shared" si="102"/>
        <v/>
      </c>
      <c r="P299" s="91"/>
      <c r="Q299" s="122" t="str">
        <f t="shared" si="103"/>
        <v/>
      </c>
      <c r="R299" s="122" t="str">
        <f t="shared" si="104"/>
        <v/>
      </c>
      <c r="S299" s="98"/>
    </row>
    <row r="300" spans="2:19" x14ac:dyDescent="0.25">
      <c r="B300" s="152"/>
      <c r="C300" s="143"/>
      <c r="D300" s="143"/>
      <c r="E300" s="152"/>
      <c r="F300" s="153"/>
      <c r="G300" s="152"/>
      <c r="H300" s="90">
        <v>9</v>
      </c>
      <c r="I300" s="98"/>
      <c r="J300" s="99"/>
      <c r="K300" s="121" t="str">
        <f t="shared" si="100"/>
        <v/>
      </c>
      <c r="L300" s="99"/>
      <c r="M300" s="121" t="str">
        <f t="shared" si="101"/>
        <v/>
      </c>
      <c r="N300" s="99"/>
      <c r="O300" s="121" t="str">
        <f t="shared" si="102"/>
        <v/>
      </c>
      <c r="P300" s="91"/>
      <c r="Q300" s="122" t="str">
        <f t="shared" si="103"/>
        <v/>
      </c>
      <c r="R300" s="122" t="str">
        <f t="shared" si="104"/>
        <v/>
      </c>
      <c r="S300" s="98"/>
    </row>
    <row r="301" spans="2:19" x14ac:dyDescent="0.25">
      <c r="B301" s="152"/>
      <c r="C301" s="143"/>
      <c r="D301" s="143"/>
      <c r="E301" s="152"/>
      <c r="F301" s="153"/>
      <c r="G301" s="152"/>
      <c r="H301" s="90">
        <v>10</v>
      </c>
      <c r="I301" s="98"/>
      <c r="J301" s="99"/>
      <c r="K301" s="121" t="str">
        <f t="shared" si="100"/>
        <v/>
      </c>
      <c r="L301" s="99"/>
      <c r="M301" s="121" t="str">
        <f t="shared" si="101"/>
        <v/>
      </c>
      <c r="N301" s="99"/>
      <c r="O301" s="121" t="str">
        <f t="shared" si="102"/>
        <v/>
      </c>
      <c r="P301" s="91"/>
      <c r="Q301" s="122" t="str">
        <f t="shared" si="103"/>
        <v/>
      </c>
      <c r="R301" s="122" t="str">
        <f t="shared" si="104"/>
        <v/>
      </c>
      <c r="S301" s="98"/>
    </row>
    <row r="302" spans="2:19" x14ac:dyDescent="0.25">
      <c r="B302" s="152"/>
      <c r="C302" s="143"/>
      <c r="D302" s="143"/>
      <c r="E302" s="152"/>
      <c r="F302" s="153"/>
      <c r="G302" s="152"/>
      <c r="H302" s="90">
        <v>11</v>
      </c>
      <c r="I302" s="98"/>
      <c r="J302" s="99"/>
      <c r="K302" s="121" t="str">
        <f t="shared" si="100"/>
        <v/>
      </c>
      <c r="L302" s="99"/>
      <c r="M302" s="121" t="str">
        <f t="shared" si="101"/>
        <v/>
      </c>
      <c r="N302" s="99"/>
      <c r="O302" s="121" t="str">
        <f t="shared" si="102"/>
        <v/>
      </c>
      <c r="P302" s="91"/>
      <c r="Q302" s="122" t="str">
        <f t="shared" si="103"/>
        <v/>
      </c>
      <c r="R302" s="122" t="str">
        <f t="shared" si="104"/>
        <v/>
      </c>
      <c r="S302" s="98"/>
    </row>
    <row r="303" spans="2:19" x14ac:dyDescent="0.25">
      <c r="B303" s="152"/>
      <c r="C303" s="143"/>
      <c r="D303" s="143"/>
      <c r="E303" s="152"/>
      <c r="F303" s="153"/>
      <c r="G303" s="152"/>
      <c r="H303" s="90">
        <v>12</v>
      </c>
      <c r="I303" s="98"/>
      <c r="J303" s="99"/>
      <c r="K303" s="121" t="str">
        <f t="shared" si="100"/>
        <v/>
      </c>
      <c r="L303" s="99"/>
      <c r="M303" s="121" t="str">
        <f t="shared" si="101"/>
        <v/>
      </c>
      <c r="N303" s="99"/>
      <c r="O303" s="121" t="str">
        <f t="shared" si="102"/>
        <v/>
      </c>
      <c r="P303" s="91"/>
      <c r="Q303" s="122" t="str">
        <f t="shared" si="103"/>
        <v/>
      </c>
      <c r="R303" s="122" t="str">
        <f t="shared" si="104"/>
        <v/>
      </c>
      <c r="S303" s="98"/>
    </row>
    <row r="304" spans="2:19" x14ac:dyDescent="0.25">
      <c r="B304" s="154"/>
      <c r="C304" s="142"/>
      <c r="D304" s="142"/>
      <c r="E304" s="154"/>
      <c r="F304" s="155"/>
      <c r="G304" s="154"/>
      <c r="H304" s="108">
        <v>13</v>
      </c>
      <c r="I304" s="109"/>
      <c r="J304" s="110"/>
      <c r="K304" s="123" t="str">
        <f t="shared" si="100"/>
        <v/>
      </c>
      <c r="L304" s="110"/>
      <c r="M304" s="123" t="str">
        <f t="shared" si="101"/>
        <v/>
      </c>
      <c r="N304" s="110"/>
      <c r="O304" s="123" t="str">
        <f t="shared" si="102"/>
        <v/>
      </c>
      <c r="P304" s="105"/>
      <c r="Q304" s="124" t="str">
        <f t="shared" si="103"/>
        <v/>
      </c>
      <c r="R304" s="124" t="str">
        <f t="shared" si="104"/>
        <v/>
      </c>
      <c r="S304" s="109"/>
    </row>
    <row r="305" spans="2:19" x14ac:dyDescent="0.25">
      <c r="B305" s="148">
        <v>57</v>
      </c>
      <c r="C305" s="149" t="s">
        <v>44</v>
      </c>
      <c r="D305" s="149" t="s">
        <v>85</v>
      </c>
      <c r="E305" s="148" t="s">
        <v>229</v>
      </c>
      <c r="F305" s="150"/>
      <c r="G305" s="148"/>
      <c r="H305" s="151"/>
      <c r="I305" s="151"/>
      <c r="J305" s="96" t="str">
        <f>_xlfn.XLOOKUP(1,$K$306:$K$318,$I$306:$I$318, "-", 0)</f>
        <v>-</v>
      </c>
      <c r="K305" s="151"/>
      <c r="L305" s="96" t="str">
        <f>_xlfn.XLOOKUP(1,$M$306:$M$318,$I$306:$I$318, "-", 0)</f>
        <v>-</v>
      </c>
      <c r="M305" s="151"/>
      <c r="N305" s="96" t="str">
        <f>_xlfn.XLOOKUP(1,$O$306:$O$318,$I$306:$I$318, "-", 0)</f>
        <v>-</v>
      </c>
      <c r="O305" s="151"/>
      <c r="P305" s="97" t="str">
        <f>IF(COUNTIF($P$306:$P$318,"Yes")&gt;0,"Yes","")</f>
        <v/>
      </c>
      <c r="Q305" s="96">
        <f>SUM($Q$306:$Q$318)</f>
        <v>0</v>
      </c>
      <c r="R305" s="96" t="str">
        <f>IF($Q$305&gt;0,$F$305-$Q$305,"")</f>
        <v/>
      </c>
      <c r="S305" s="151"/>
    </row>
    <row r="306" spans="2:19" x14ac:dyDescent="0.25">
      <c r="B306" s="152"/>
      <c r="C306" s="143"/>
      <c r="D306" s="143"/>
      <c r="E306" s="152"/>
      <c r="F306" s="153"/>
      <c r="G306" s="152"/>
      <c r="H306" s="90">
        <v>1</v>
      </c>
      <c r="I306" s="98"/>
      <c r="J306" s="99"/>
      <c r="K306" s="121" t="str">
        <f t="shared" ref="K306:K318" si="105">IF($J306="","",RANK(J306,$J$306:$J$318,1))</f>
        <v/>
      </c>
      <c r="L306" s="99"/>
      <c r="M306" s="121" t="str">
        <f t="shared" ref="M306:M318" si="106">IF($L306="","",RANK(L306,$L$306:$L$318,1))</f>
        <v/>
      </c>
      <c r="N306" s="99"/>
      <c r="O306" s="121" t="str">
        <f t="shared" ref="O306:O318" si="107">IF($N306="","",RANK(N306,$N$306:$N$318,1))</f>
        <v/>
      </c>
      <c r="P306" s="91"/>
      <c r="Q306" s="122" t="str">
        <f t="shared" ref="Q306:Q318" si="108">IF($P306="Yes",IF($N306&gt;0,$N306,IF($L306&gt;0,$L306,IF($J306&gt;0,$J306,""))),"")</f>
        <v/>
      </c>
      <c r="R306" s="122" t="str">
        <f t="shared" ref="R306:R318" si="109">IFERROR(IF(INT($Q306)&gt;0,$F$305-$Q306,""),"")</f>
        <v/>
      </c>
      <c r="S306" s="98"/>
    </row>
    <row r="307" spans="2:19" x14ac:dyDescent="0.25">
      <c r="B307" s="152"/>
      <c r="C307" s="143"/>
      <c r="D307" s="143"/>
      <c r="E307" s="152"/>
      <c r="F307" s="153"/>
      <c r="G307" s="152"/>
      <c r="H307" s="90">
        <v>2</v>
      </c>
      <c r="I307" s="98"/>
      <c r="J307" s="99"/>
      <c r="K307" s="121" t="str">
        <f t="shared" si="105"/>
        <v/>
      </c>
      <c r="L307" s="99"/>
      <c r="M307" s="121" t="str">
        <f t="shared" si="106"/>
        <v/>
      </c>
      <c r="N307" s="99"/>
      <c r="O307" s="121" t="str">
        <f t="shared" si="107"/>
        <v/>
      </c>
      <c r="P307" s="91"/>
      <c r="Q307" s="122" t="str">
        <f t="shared" si="108"/>
        <v/>
      </c>
      <c r="R307" s="122" t="str">
        <f t="shared" si="109"/>
        <v/>
      </c>
      <c r="S307" s="98"/>
    </row>
    <row r="308" spans="2:19" x14ac:dyDescent="0.25">
      <c r="B308" s="152"/>
      <c r="C308" s="143"/>
      <c r="D308" s="143"/>
      <c r="E308" s="152"/>
      <c r="F308" s="153"/>
      <c r="G308" s="152"/>
      <c r="H308" s="90">
        <v>3</v>
      </c>
      <c r="I308" s="98"/>
      <c r="J308" s="99"/>
      <c r="K308" s="121" t="str">
        <f t="shared" si="105"/>
        <v/>
      </c>
      <c r="L308" s="99"/>
      <c r="M308" s="121" t="str">
        <f t="shared" si="106"/>
        <v/>
      </c>
      <c r="N308" s="99"/>
      <c r="O308" s="121" t="str">
        <f t="shared" si="107"/>
        <v/>
      </c>
      <c r="P308" s="91"/>
      <c r="Q308" s="122" t="str">
        <f t="shared" si="108"/>
        <v/>
      </c>
      <c r="R308" s="122" t="str">
        <f t="shared" si="109"/>
        <v/>
      </c>
      <c r="S308" s="98"/>
    </row>
    <row r="309" spans="2:19" x14ac:dyDescent="0.25">
      <c r="B309" s="152"/>
      <c r="C309" s="143"/>
      <c r="D309" s="143"/>
      <c r="E309" s="152"/>
      <c r="F309" s="153"/>
      <c r="G309" s="152"/>
      <c r="H309" s="90">
        <v>4</v>
      </c>
      <c r="I309" s="98"/>
      <c r="J309" s="99"/>
      <c r="K309" s="121" t="str">
        <f t="shared" si="105"/>
        <v/>
      </c>
      <c r="L309" s="99"/>
      <c r="M309" s="121" t="str">
        <f t="shared" si="106"/>
        <v/>
      </c>
      <c r="N309" s="99"/>
      <c r="O309" s="121" t="str">
        <f t="shared" si="107"/>
        <v/>
      </c>
      <c r="P309" s="91"/>
      <c r="Q309" s="122" t="str">
        <f t="shared" si="108"/>
        <v/>
      </c>
      <c r="R309" s="122" t="str">
        <f t="shared" si="109"/>
        <v/>
      </c>
      <c r="S309" s="98"/>
    </row>
    <row r="310" spans="2:19" x14ac:dyDescent="0.25">
      <c r="B310" s="152"/>
      <c r="C310" s="143"/>
      <c r="D310" s="143"/>
      <c r="E310" s="152"/>
      <c r="F310" s="153"/>
      <c r="G310" s="152"/>
      <c r="H310" s="90">
        <v>5</v>
      </c>
      <c r="I310" s="98"/>
      <c r="J310" s="99"/>
      <c r="K310" s="121" t="str">
        <f t="shared" si="105"/>
        <v/>
      </c>
      <c r="L310" s="99"/>
      <c r="M310" s="121" t="str">
        <f t="shared" si="106"/>
        <v/>
      </c>
      <c r="N310" s="99"/>
      <c r="O310" s="121" t="str">
        <f t="shared" si="107"/>
        <v/>
      </c>
      <c r="P310" s="91"/>
      <c r="Q310" s="122" t="str">
        <f t="shared" si="108"/>
        <v/>
      </c>
      <c r="R310" s="122" t="str">
        <f t="shared" si="109"/>
        <v/>
      </c>
      <c r="S310" s="98"/>
    </row>
    <row r="311" spans="2:19" x14ac:dyDescent="0.25">
      <c r="B311" s="152"/>
      <c r="C311" s="143"/>
      <c r="D311" s="143"/>
      <c r="E311" s="152"/>
      <c r="F311" s="153"/>
      <c r="G311" s="152"/>
      <c r="H311" s="90">
        <v>6</v>
      </c>
      <c r="I311" s="98"/>
      <c r="J311" s="99"/>
      <c r="K311" s="121" t="str">
        <f t="shared" si="105"/>
        <v/>
      </c>
      <c r="L311" s="99"/>
      <c r="M311" s="121" t="str">
        <f t="shared" si="106"/>
        <v/>
      </c>
      <c r="N311" s="99"/>
      <c r="O311" s="121" t="str">
        <f t="shared" si="107"/>
        <v/>
      </c>
      <c r="P311" s="91"/>
      <c r="Q311" s="122" t="str">
        <f t="shared" si="108"/>
        <v/>
      </c>
      <c r="R311" s="122" t="str">
        <f t="shared" si="109"/>
        <v/>
      </c>
      <c r="S311" s="98"/>
    </row>
    <row r="312" spans="2:19" x14ac:dyDescent="0.25">
      <c r="B312" s="152"/>
      <c r="C312" s="143"/>
      <c r="D312" s="143"/>
      <c r="E312" s="152"/>
      <c r="F312" s="153"/>
      <c r="G312" s="152"/>
      <c r="H312" s="90">
        <v>7</v>
      </c>
      <c r="I312" s="98"/>
      <c r="J312" s="99"/>
      <c r="K312" s="121" t="str">
        <f t="shared" si="105"/>
        <v/>
      </c>
      <c r="L312" s="99"/>
      <c r="M312" s="121" t="str">
        <f t="shared" si="106"/>
        <v/>
      </c>
      <c r="N312" s="99"/>
      <c r="O312" s="121" t="str">
        <f t="shared" si="107"/>
        <v/>
      </c>
      <c r="P312" s="91"/>
      <c r="Q312" s="122" t="str">
        <f t="shared" si="108"/>
        <v/>
      </c>
      <c r="R312" s="122" t="str">
        <f t="shared" si="109"/>
        <v/>
      </c>
      <c r="S312" s="98"/>
    </row>
    <row r="313" spans="2:19" x14ac:dyDescent="0.25">
      <c r="B313" s="152"/>
      <c r="C313" s="143"/>
      <c r="D313" s="143"/>
      <c r="E313" s="152"/>
      <c r="F313" s="153"/>
      <c r="G313" s="152"/>
      <c r="H313" s="90">
        <v>8</v>
      </c>
      <c r="I313" s="98"/>
      <c r="J313" s="99"/>
      <c r="K313" s="121" t="str">
        <f t="shared" si="105"/>
        <v/>
      </c>
      <c r="L313" s="99"/>
      <c r="M313" s="121" t="str">
        <f t="shared" si="106"/>
        <v/>
      </c>
      <c r="N313" s="99"/>
      <c r="O313" s="121" t="str">
        <f t="shared" si="107"/>
        <v/>
      </c>
      <c r="P313" s="91"/>
      <c r="Q313" s="122" t="str">
        <f t="shared" si="108"/>
        <v/>
      </c>
      <c r="R313" s="122" t="str">
        <f t="shared" si="109"/>
        <v/>
      </c>
      <c r="S313" s="98"/>
    </row>
    <row r="314" spans="2:19" x14ac:dyDescent="0.25">
      <c r="B314" s="152"/>
      <c r="C314" s="143"/>
      <c r="D314" s="143"/>
      <c r="E314" s="152"/>
      <c r="F314" s="153"/>
      <c r="G314" s="152"/>
      <c r="H314" s="90">
        <v>9</v>
      </c>
      <c r="I314" s="98"/>
      <c r="J314" s="99"/>
      <c r="K314" s="121" t="str">
        <f t="shared" si="105"/>
        <v/>
      </c>
      <c r="L314" s="99"/>
      <c r="M314" s="121" t="str">
        <f t="shared" si="106"/>
        <v/>
      </c>
      <c r="N314" s="99"/>
      <c r="O314" s="121" t="str">
        <f t="shared" si="107"/>
        <v/>
      </c>
      <c r="P314" s="91"/>
      <c r="Q314" s="122" t="str">
        <f t="shared" si="108"/>
        <v/>
      </c>
      <c r="R314" s="122" t="str">
        <f t="shared" si="109"/>
        <v/>
      </c>
      <c r="S314" s="98"/>
    </row>
    <row r="315" spans="2:19" x14ac:dyDescent="0.25">
      <c r="B315" s="152"/>
      <c r="C315" s="143"/>
      <c r="D315" s="143"/>
      <c r="E315" s="152"/>
      <c r="F315" s="153"/>
      <c r="G315" s="152"/>
      <c r="H315" s="90">
        <v>10</v>
      </c>
      <c r="I315" s="98"/>
      <c r="J315" s="99"/>
      <c r="K315" s="121" t="str">
        <f t="shared" si="105"/>
        <v/>
      </c>
      <c r="L315" s="99"/>
      <c r="M315" s="121" t="str">
        <f t="shared" si="106"/>
        <v/>
      </c>
      <c r="N315" s="99"/>
      <c r="O315" s="121" t="str">
        <f t="shared" si="107"/>
        <v/>
      </c>
      <c r="P315" s="91"/>
      <c r="Q315" s="122" t="str">
        <f t="shared" si="108"/>
        <v/>
      </c>
      <c r="R315" s="122" t="str">
        <f t="shared" si="109"/>
        <v/>
      </c>
      <c r="S315" s="98"/>
    </row>
    <row r="316" spans="2:19" x14ac:dyDescent="0.25">
      <c r="B316" s="152"/>
      <c r="C316" s="143"/>
      <c r="D316" s="143"/>
      <c r="E316" s="152"/>
      <c r="F316" s="153"/>
      <c r="G316" s="152"/>
      <c r="H316" s="90">
        <v>11</v>
      </c>
      <c r="I316" s="98"/>
      <c r="J316" s="99"/>
      <c r="K316" s="121" t="str">
        <f t="shared" si="105"/>
        <v/>
      </c>
      <c r="L316" s="99"/>
      <c r="M316" s="121" t="str">
        <f t="shared" si="106"/>
        <v/>
      </c>
      <c r="N316" s="99"/>
      <c r="O316" s="121" t="str">
        <f t="shared" si="107"/>
        <v/>
      </c>
      <c r="P316" s="91"/>
      <c r="Q316" s="122" t="str">
        <f t="shared" si="108"/>
        <v/>
      </c>
      <c r="R316" s="122" t="str">
        <f t="shared" si="109"/>
        <v/>
      </c>
      <c r="S316" s="98"/>
    </row>
    <row r="317" spans="2:19" x14ac:dyDescent="0.25">
      <c r="B317" s="152"/>
      <c r="C317" s="143"/>
      <c r="D317" s="143"/>
      <c r="E317" s="152"/>
      <c r="F317" s="153"/>
      <c r="G317" s="152"/>
      <c r="H317" s="90">
        <v>12</v>
      </c>
      <c r="I317" s="98"/>
      <c r="J317" s="99"/>
      <c r="K317" s="121" t="str">
        <f t="shared" si="105"/>
        <v/>
      </c>
      <c r="L317" s="99"/>
      <c r="M317" s="121" t="str">
        <f t="shared" si="106"/>
        <v/>
      </c>
      <c r="N317" s="99"/>
      <c r="O317" s="121" t="str">
        <f t="shared" si="107"/>
        <v/>
      </c>
      <c r="P317" s="91"/>
      <c r="Q317" s="122" t="str">
        <f t="shared" si="108"/>
        <v/>
      </c>
      <c r="R317" s="122" t="str">
        <f t="shared" si="109"/>
        <v/>
      </c>
      <c r="S317" s="98"/>
    </row>
    <row r="318" spans="2:19" x14ac:dyDescent="0.25">
      <c r="B318" s="154"/>
      <c r="C318" s="142"/>
      <c r="D318" s="142"/>
      <c r="E318" s="154"/>
      <c r="F318" s="155"/>
      <c r="G318" s="154"/>
      <c r="H318" s="108">
        <v>13</v>
      </c>
      <c r="I318" s="109"/>
      <c r="J318" s="110"/>
      <c r="K318" s="123" t="str">
        <f t="shared" si="105"/>
        <v/>
      </c>
      <c r="L318" s="110"/>
      <c r="M318" s="123" t="str">
        <f t="shared" si="106"/>
        <v/>
      </c>
      <c r="N318" s="110"/>
      <c r="O318" s="123" t="str">
        <f t="shared" si="107"/>
        <v/>
      </c>
      <c r="P318" s="105"/>
      <c r="Q318" s="124" t="str">
        <f t="shared" si="108"/>
        <v/>
      </c>
      <c r="R318" s="124" t="str">
        <f t="shared" si="109"/>
        <v/>
      </c>
      <c r="S318" s="109"/>
    </row>
    <row r="319" spans="2:19" x14ac:dyDescent="0.25">
      <c r="B319" s="148">
        <v>58</v>
      </c>
      <c r="C319" s="149" t="s">
        <v>44</v>
      </c>
      <c r="D319" s="149" t="s">
        <v>86</v>
      </c>
      <c r="E319" s="148" t="s">
        <v>229</v>
      </c>
      <c r="F319" s="150"/>
      <c r="G319" s="148"/>
      <c r="H319" s="151"/>
      <c r="I319" s="151"/>
      <c r="J319" s="96" t="str">
        <f>_xlfn.XLOOKUP(1,$K$320:$K$332,$I$320:$I$332, "-", 0)</f>
        <v>-</v>
      </c>
      <c r="K319" s="151"/>
      <c r="L319" s="96" t="str">
        <f>_xlfn.XLOOKUP(1,$M$320:$M$332,$I$320:$I$332, "-", 0)</f>
        <v>-</v>
      </c>
      <c r="M319" s="151"/>
      <c r="N319" s="96" t="str">
        <f>_xlfn.XLOOKUP(1,$O$320:$O$332,$I$320:$I$332, "-", 0)</f>
        <v>-</v>
      </c>
      <c r="O319" s="151"/>
      <c r="P319" s="97" t="str">
        <f>IF(COUNTIF($P$320:$P$332,"Yes")&gt;0,"Yes","")</f>
        <v/>
      </c>
      <c r="Q319" s="96">
        <f>SUM($Q$320:$Q$332)</f>
        <v>0</v>
      </c>
      <c r="R319" s="96" t="str">
        <f>IF($Q$319&gt;0,$F$319-$Q$319,"")</f>
        <v/>
      </c>
      <c r="S319" s="151"/>
    </row>
    <row r="320" spans="2:19" x14ac:dyDescent="0.25">
      <c r="B320" s="152"/>
      <c r="C320" s="143"/>
      <c r="D320" s="143"/>
      <c r="E320" s="152"/>
      <c r="F320" s="153"/>
      <c r="G320" s="152"/>
      <c r="H320" s="90">
        <v>1</v>
      </c>
      <c r="I320" s="98"/>
      <c r="J320" s="99"/>
      <c r="K320" s="121" t="str">
        <f t="shared" ref="K320:K332" si="110">IF($J320="","",RANK(J320,$J$320:$J$332,1))</f>
        <v/>
      </c>
      <c r="L320" s="99"/>
      <c r="M320" s="121" t="str">
        <f t="shared" ref="M320:M332" si="111">IF($L320="","",RANK(L320,$L$320:$L$332,1))</f>
        <v/>
      </c>
      <c r="N320" s="99"/>
      <c r="O320" s="121" t="str">
        <f t="shared" ref="O320:O332" si="112">IF($N320="","",RANK(N320,$N$320:$N$332,1))</f>
        <v/>
      </c>
      <c r="P320" s="91"/>
      <c r="Q320" s="122" t="str">
        <f t="shared" ref="Q320:Q332" si="113">IF($P320="Yes",IF($N320&gt;0,$N320,IF($L320&gt;0,$L320,IF($J320&gt;0,$J320,""))),"")</f>
        <v/>
      </c>
      <c r="R320" s="122" t="str">
        <f t="shared" ref="R320:R332" si="114">IFERROR(IF(INT($Q320)&gt;0,$F$319-$Q320,""),"")</f>
        <v/>
      </c>
      <c r="S320" s="98"/>
    </row>
    <row r="321" spans="2:19" x14ac:dyDescent="0.25">
      <c r="B321" s="152"/>
      <c r="C321" s="143"/>
      <c r="D321" s="143"/>
      <c r="E321" s="152"/>
      <c r="F321" s="153"/>
      <c r="G321" s="152"/>
      <c r="H321" s="90">
        <v>2</v>
      </c>
      <c r="I321" s="98"/>
      <c r="J321" s="99"/>
      <c r="K321" s="121" t="str">
        <f t="shared" si="110"/>
        <v/>
      </c>
      <c r="L321" s="99"/>
      <c r="M321" s="121" t="str">
        <f t="shared" si="111"/>
        <v/>
      </c>
      <c r="N321" s="99"/>
      <c r="O321" s="121" t="str">
        <f t="shared" si="112"/>
        <v/>
      </c>
      <c r="P321" s="91"/>
      <c r="Q321" s="122" t="str">
        <f t="shared" si="113"/>
        <v/>
      </c>
      <c r="R321" s="122" t="str">
        <f t="shared" si="114"/>
        <v/>
      </c>
      <c r="S321" s="98"/>
    </row>
    <row r="322" spans="2:19" x14ac:dyDescent="0.25">
      <c r="B322" s="152"/>
      <c r="C322" s="143"/>
      <c r="D322" s="143"/>
      <c r="E322" s="152"/>
      <c r="F322" s="153"/>
      <c r="G322" s="152"/>
      <c r="H322" s="90">
        <v>3</v>
      </c>
      <c r="I322" s="98"/>
      <c r="J322" s="99"/>
      <c r="K322" s="121" t="str">
        <f t="shared" si="110"/>
        <v/>
      </c>
      <c r="L322" s="99"/>
      <c r="M322" s="121" t="str">
        <f t="shared" si="111"/>
        <v/>
      </c>
      <c r="N322" s="99"/>
      <c r="O322" s="121" t="str">
        <f t="shared" si="112"/>
        <v/>
      </c>
      <c r="P322" s="91"/>
      <c r="Q322" s="122" t="str">
        <f t="shared" si="113"/>
        <v/>
      </c>
      <c r="R322" s="122" t="str">
        <f t="shared" si="114"/>
        <v/>
      </c>
      <c r="S322" s="98"/>
    </row>
    <row r="323" spans="2:19" x14ac:dyDescent="0.25">
      <c r="B323" s="152"/>
      <c r="C323" s="143"/>
      <c r="D323" s="143"/>
      <c r="E323" s="152"/>
      <c r="F323" s="153"/>
      <c r="G323" s="152"/>
      <c r="H323" s="90">
        <v>4</v>
      </c>
      <c r="I323" s="98"/>
      <c r="J323" s="99"/>
      <c r="K323" s="121" t="str">
        <f t="shared" si="110"/>
        <v/>
      </c>
      <c r="L323" s="99"/>
      <c r="M323" s="121" t="str">
        <f t="shared" si="111"/>
        <v/>
      </c>
      <c r="N323" s="99"/>
      <c r="O323" s="121" t="str">
        <f t="shared" si="112"/>
        <v/>
      </c>
      <c r="P323" s="91"/>
      <c r="Q323" s="122" t="str">
        <f t="shared" si="113"/>
        <v/>
      </c>
      <c r="R323" s="122" t="str">
        <f t="shared" si="114"/>
        <v/>
      </c>
      <c r="S323" s="98"/>
    </row>
    <row r="324" spans="2:19" x14ac:dyDescent="0.25">
      <c r="B324" s="152"/>
      <c r="C324" s="143"/>
      <c r="D324" s="143"/>
      <c r="E324" s="152"/>
      <c r="F324" s="153"/>
      <c r="G324" s="152"/>
      <c r="H324" s="90">
        <v>5</v>
      </c>
      <c r="I324" s="98"/>
      <c r="J324" s="99"/>
      <c r="K324" s="121" t="str">
        <f t="shared" si="110"/>
        <v/>
      </c>
      <c r="L324" s="99"/>
      <c r="M324" s="121" t="str">
        <f t="shared" si="111"/>
        <v/>
      </c>
      <c r="N324" s="99"/>
      <c r="O324" s="121" t="str">
        <f t="shared" si="112"/>
        <v/>
      </c>
      <c r="P324" s="91"/>
      <c r="Q324" s="122" t="str">
        <f t="shared" si="113"/>
        <v/>
      </c>
      <c r="R324" s="122" t="str">
        <f t="shared" si="114"/>
        <v/>
      </c>
      <c r="S324" s="98"/>
    </row>
    <row r="325" spans="2:19" x14ac:dyDescent="0.25">
      <c r="B325" s="152"/>
      <c r="C325" s="143"/>
      <c r="D325" s="143"/>
      <c r="E325" s="152"/>
      <c r="F325" s="153"/>
      <c r="G325" s="152"/>
      <c r="H325" s="90">
        <v>6</v>
      </c>
      <c r="I325" s="98"/>
      <c r="J325" s="99"/>
      <c r="K325" s="121" t="str">
        <f t="shared" si="110"/>
        <v/>
      </c>
      <c r="L325" s="99"/>
      <c r="M325" s="121" t="str">
        <f t="shared" si="111"/>
        <v/>
      </c>
      <c r="N325" s="99"/>
      <c r="O325" s="121" t="str">
        <f t="shared" si="112"/>
        <v/>
      </c>
      <c r="P325" s="91"/>
      <c r="Q325" s="122" t="str">
        <f t="shared" si="113"/>
        <v/>
      </c>
      <c r="R325" s="122" t="str">
        <f t="shared" si="114"/>
        <v/>
      </c>
      <c r="S325" s="98"/>
    </row>
    <row r="326" spans="2:19" x14ac:dyDescent="0.25">
      <c r="B326" s="152"/>
      <c r="C326" s="143"/>
      <c r="D326" s="143"/>
      <c r="E326" s="152"/>
      <c r="F326" s="153"/>
      <c r="G326" s="152"/>
      <c r="H326" s="90">
        <v>7</v>
      </c>
      <c r="I326" s="98"/>
      <c r="J326" s="99"/>
      <c r="K326" s="121" t="str">
        <f t="shared" si="110"/>
        <v/>
      </c>
      <c r="L326" s="99"/>
      <c r="M326" s="121" t="str">
        <f t="shared" si="111"/>
        <v/>
      </c>
      <c r="N326" s="99"/>
      <c r="O326" s="121" t="str">
        <f t="shared" si="112"/>
        <v/>
      </c>
      <c r="P326" s="91"/>
      <c r="Q326" s="122" t="str">
        <f t="shared" si="113"/>
        <v/>
      </c>
      <c r="R326" s="122" t="str">
        <f t="shared" si="114"/>
        <v/>
      </c>
      <c r="S326" s="98"/>
    </row>
    <row r="327" spans="2:19" x14ac:dyDescent="0.25">
      <c r="B327" s="152"/>
      <c r="C327" s="143"/>
      <c r="D327" s="143"/>
      <c r="E327" s="152"/>
      <c r="F327" s="153"/>
      <c r="G327" s="152"/>
      <c r="H327" s="90">
        <v>8</v>
      </c>
      <c r="I327" s="98"/>
      <c r="J327" s="99"/>
      <c r="K327" s="121" t="str">
        <f t="shared" si="110"/>
        <v/>
      </c>
      <c r="L327" s="99"/>
      <c r="M327" s="121" t="str">
        <f t="shared" si="111"/>
        <v/>
      </c>
      <c r="N327" s="99"/>
      <c r="O327" s="121" t="str">
        <f t="shared" si="112"/>
        <v/>
      </c>
      <c r="P327" s="91"/>
      <c r="Q327" s="122" t="str">
        <f t="shared" si="113"/>
        <v/>
      </c>
      <c r="R327" s="122" t="str">
        <f t="shared" si="114"/>
        <v/>
      </c>
      <c r="S327" s="98"/>
    </row>
    <row r="328" spans="2:19" x14ac:dyDescent="0.25">
      <c r="B328" s="152"/>
      <c r="C328" s="143"/>
      <c r="D328" s="143"/>
      <c r="E328" s="152"/>
      <c r="F328" s="153"/>
      <c r="G328" s="152"/>
      <c r="H328" s="90">
        <v>9</v>
      </c>
      <c r="I328" s="98"/>
      <c r="J328" s="99"/>
      <c r="K328" s="121" t="str">
        <f t="shared" si="110"/>
        <v/>
      </c>
      <c r="L328" s="99"/>
      <c r="M328" s="121" t="str">
        <f t="shared" si="111"/>
        <v/>
      </c>
      <c r="N328" s="99"/>
      <c r="O328" s="121" t="str">
        <f t="shared" si="112"/>
        <v/>
      </c>
      <c r="P328" s="91"/>
      <c r="Q328" s="122" t="str">
        <f t="shared" si="113"/>
        <v/>
      </c>
      <c r="R328" s="122" t="str">
        <f t="shared" si="114"/>
        <v/>
      </c>
      <c r="S328" s="98"/>
    </row>
    <row r="329" spans="2:19" x14ac:dyDescent="0.25">
      <c r="B329" s="152"/>
      <c r="C329" s="143"/>
      <c r="D329" s="143"/>
      <c r="E329" s="152"/>
      <c r="F329" s="153"/>
      <c r="G329" s="152"/>
      <c r="H329" s="90">
        <v>10</v>
      </c>
      <c r="I329" s="98"/>
      <c r="J329" s="99"/>
      <c r="K329" s="121" t="str">
        <f t="shared" si="110"/>
        <v/>
      </c>
      <c r="L329" s="99"/>
      <c r="M329" s="121" t="str">
        <f t="shared" si="111"/>
        <v/>
      </c>
      <c r="N329" s="99"/>
      <c r="O329" s="121" t="str">
        <f t="shared" si="112"/>
        <v/>
      </c>
      <c r="P329" s="91"/>
      <c r="Q329" s="122" t="str">
        <f t="shared" si="113"/>
        <v/>
      </c>
      <c r="R329" s="122" t="str">
        <f t="shared" si="114"/>
        <v/>
      </c>
      <c r="S329" s="98"/>
    </row>
    <row r="330" spans="2:19" x14ac:dyDescent="0.25">
      <c r="B330" s="152"/>
      <c r="C330" s="143"/>
      <c r="D330" s="143"/>
      <c r="E330" s="152"/>
      <c r="F330" s="153"/>
      <c r="G330" s="152"/>
      <c r="H330" s="90">
        <v>11</v>
      </c>
      <c r="I330" s="98"/>
      <c r="J330" s="99"/>
      <c r="K330" s="121" t="str">
        <f t="shared" si="110"/>
        <v/>
      </c>
      <c r="L330" s="99"/>
      <c r="M330" s="121" t="str">
        <f t="shared" si="111"/>
        <v/>
      </c>
      <c r="N330" s="99"/>
      <c r="O330" s="121" t="str">
        <f t="shared" si="112"/>
        <v/>
      </c>
      <c r="P330" s="91"/>
      <c r="Q330" s="122" t="str">
        <f t="shared" si="113"/>
        <v/>
      </c>
      <c r="R330" s="122" t="str">
        <f t="shared" si="114"/>
        <v/>
      </c>
      <c r="S330" s="98"/>
    </row>
    <row r="331" spans="2:19" x14ac:dyDescent="0.25">
      <c r="B331" s="154"/>
      <c r="C331" s="142"/>
      <c r="D331" s="142"/>
      <c r="E331" s="154"/>
      <c r="F331" s="155"/>
      <c r="G331" s="154"/>
      <c r="H331" s="108">
        <v>12</v>
      </c>
      <c r="I331" s="109"/>
      <c r="J331" s="110"/>
      <c r="K331" s="123" t="str">
        <f t="shared" si="110"/>
        <v/>
      </c>
      <c r="L331" s="110"/>
      <c r="M331" s="123" t="str">
        <f t="shared" si="111"/>
        <v/>
      </c>
      <c r="N331" s="110"/>
      <c r="O331" s="123" t="str">
        <f t="shared" si="112"/>
        <v/>
      </c>
      <c r="P331" s="105"/>
      <c r="Q331" s="124" t="str">
        <f t="shared" si="113"/>
        <v/>
      </c>
      <c r="R331" s="124" t="str">
        <f t="shared" si="114"/>
        <v/>
      </c>
      <c r="S331" s="109"/>
    </row>
    <row r="332" spans="2:19" x14ac:dyDescent="0.25">
      <c r="B332" s="152"/>
      <c r="C332" s="143"/>
      <c r="D332" s="143"/>
      <c r="E332" s="152"/>
      <c r="F332" s="153"/>
      <c r="G332" s="152"/>
      <c r="H332" s="90">
        <v>13</v>
      </c>
      <c r="I332" s="98"/>
      <c r="J332" s="99"/>
      <c r="K332" s="121" t="str">
        <f t="shared" si="110"/>
        <v/>
      </c>
      <c r="L332" s="99"/>
      <c r="M332" s="121" t="str">
        <f t="shared" si="111"/>
        <v/>
      </c>
      <c r="N332" s="99"/>
      <c r="O332" s="121" t="str">
        <f t="shared" si="112"/>
        <v/>
      </c>
      <c r="P332" s="91"/>
      <c r="Q332" s="122" t="str">
        <f t="shared" si="113"/>
        <v/>
      </c>
      <c r="R332" s="122" t="str">
        <f t="shared" si="114"/>
        <v/>
      </c>
      <c r="S332" s="98"/>
    </row>
    <row r="333" spans="2:19" x14ac:dyDescent="0.25">
      <c r="B333" s="156">
        <v>60</v>
      </c>
      <c r="C333" s="157" t="s">
        <v>53</v>
      </c>
      <c r="D333" s="157" t="s">
        <v>87</v>
      </c>
      <c r="E333" s="156" t="s">
        <v>231</v>
      </c>
      <c r="F333" s="158"/>
      <c r="G333" s="156"/>
      <c r="H333" s="159"/>
      <c r="I333" s="159"/>
      <c r="J333" s="113" t="str">
        <f>_xlfn.XLOOKUP(1,$K$334:$K$336,$I$334:$I$336, "-", 0)</f>
        <v>-</v>
      </c>
      <c r="K333" s="159"/>
      <c r="L333" s="113" t="str">
        <f>_xlfn.XLOOKUP(1,$M$334:$M$336,$I$334:$I$336, "-", 0)</f>
        <v>-</v>
      </c>
      <c r="M333" s="159"/>
      <c r="N333" s="113" t="str">
        <f>_xlfn.XLOOKUP(1,$O$334:$O$336,$I$334:$I$336, "-", 0)</f>
        <v>-</v>
      </c>
      <c r="O333" s="159"/>
      <c r="P333" s="114" t="str">
        <f>IF(COUNTIF($P$334:$P$336,"Yes")&gt;0,"Yes","")</f>
        <v/>
      </c>
      <c r="Q333" s="113">
        <f>SUM($Q$334:$Q$336)</f>
        <v>0</v>
      </c>
      <c r="R333" s="113" t="str">
        <f>IF($Q$333&gt;0,$F$333-$Q$333,"")</f>
        <v/>
      </c>
      <c r="S333" s="159"/>
    </row>
    <row r="334" spans="2:19" x14ac:dyDescent="0.25">
      <c r="B334" s="152"/>
      <c r="C334" s="143"/>
      <c r="D334" s="143"/>
      <c r="E334" s="152"/>
      <c r="F334" s="153"/>
      <c r="G334" s="152"/>
      <c r="H334" s="90">
        <v>1</v>
      </c>
      <c r="I334" s="98"/>
      <c r="J334" s="99"/>
      <c r="K334" s="121" t="str">
        <f>IF($J334="","",RANK(J334,$J$334:$J$336,1))</f>
        <v/>
      </c>
      <c r="L334" s="99"/>
      <c r="M334" s="121" t="str">
        <f>IF($L334="","",RANK(L334,$L$334:$L$336,1))</f>
        <v/>
      </c>
      <c r="N334" s="99"/>
      <c r="O334" s="121" t="str">
        <f>IF($N334="","",RANK(N334,$N$334:$N$336,1))</f>
        <v/>
      </c>
      <c r="P334" s="91"/>
      <c r="Q334" s="122" t="str">
        <f>IF($P334="Yes",IF($N334&gt;0,$N334,IF($L334&gt;0,$L334,IF($J334&gt;0,$J334,""))),"")</f>
        <v/>
      </c>
      <c r="R334" s="122" t="str">
        <f>IFERROR(IF(INT($Q334)&gt;0,$F$333-$Q334,""),"")</f>
        <v/>
      </c>
      <c r="S334" s="98"/>
    </row>
    <row r="335" spans="2:19" x14ac:dyDescent="0.25">
      <c r="B335" s="152"/>
      <c r="C335" s="143"/>
      <c r="D335" s="143"/>
      <c r="E335" s="152"/>
      <c r="F335" s="153"/>
      <c r="G335" s="152"/>
      <c r="H335" s="90">
        <v>2</v>
      </c>
      <c r="I335" s="98"/>
      <c r="J335" s="99"/>
      <c r="K335" s="121" t="str">
        <f>IF($J335="","",RANK(J335,$J$334:$J$336,1))</f>
        <v/>
      </c>
      <c r="L335" s="99"/>
      <c r="M335" s="121" t="str">
        <f>IF($L335="","",RANK(L335,$L$334:$L$336,1))</f>
        <v/>
      </c>
      <c r="N335" s="99"/>
      <c r="O335" s="121" t="str">
        <f>IF($N335="","",RANK(N335,$N$334:$N$336,1))</f>
        <v/>
      </c>
      <c r="P335" s="91"/>
      <c r="Q335" s="122" t="str">
        <f>IF($P335="Yes",IF($N335&gt;0,$N335,IF($L335&gt;0,$L335,IF($J335&gt;0,$J335,""))),"")</f>
        <v/>
      </c>
      <c r="R335" s="122" t="str">
        <f>IFERROR(IF(INT($Q335)&gt;0,$F$333-$Q335,""),"")</f>
        <v/>
      </c>
      <c r="S335" s="98"/>
    </row>
    <row r="336" spans="2:19" x14ac:dyDescent="0.25">
      <c r="B336" s="154"/>
      <c r="C336" s="142"/>
      <c r="D336" s="142"/>
      <c r="E336" s="154"/>
      <c r="F336" s="155"/>
      <c r="G336" s="154"/>
      <c r="H336" s="108">
        <v>3</v>
      </c>
      <c r="I336" s="109"/>
      <c r="J336" s="110"/>
      <c r="K336" s="123" t="str">
        <f>IF($J336="","",RANK(J336,$J$334:$J$336,1))</f>
        <v/>
      </c>
      <c r="L336" s="110"/>
      <c r="M336" s="123" t="str">
        <f>IF($L336="","",RANK(L336,$L$334:$L$336,1))</f>
        <v/>
      </c>
      <c r="N336" s="110"/>
      <c r="O336" s="123" t="str">
        <f>IF($N336="","",RANK(N336,$N$334:$N$336,1))</f>
        <v/>
      </c>
      <c r="P336" s="105"/>
      <c r="Q336" s="124" t="str">
        <f>IF($P336="Yes",IF($N336&gt;0,$N336,IF($L336&gt;0,$L336,IF($J336&gt;0,$J336,""))),"")</f>
        <v/>
      </c>
      <c r="R336" s="124" t="str">
        <f>IFERROR(IF(INT($Q336)&gt;0,$F$333-$Q336,""),"")</f>
        <v/>
      </c>
      <c r="S336" s="109"/>
    </row>
    <row r="337" spans="2:19" x14ac:dyDescent="0.25">
      <c r="B337" s="148">
        <v>61</v>
      </c>
      <c r="C337" s="149" t="s">
        <v>53</v>
      </c>
      <c r="D337" s="149" t="s">
        <v>88</v>
      </c>
      <c r="E337" s="148" t="s">
        <v>233</v>
      </c>
      <c r="F337" s="150"/>
      <c r="G337" s="148"/>
      <c r="H337" s="151"/>
      <c r="I337" s="151"/>
      <c r="J337" s="96" t="str">
        <f>_xlfn.XLOOKUP(1,$K$338:$K$338,$I$338:$I$338, "-", 0)</f>
        <v>-</v>
      </c>
      <c r="K337" s="151"/>
      <c r="L337" s="96" t="str">
        <f>_xlfn.XLOOKUP(1,$M$338:$M$338,$I$338:$I$338, "-", 0)</f>
        <v>-</v>
      </c>
      <c r="M337" s="151"/>
      <c r="N337" s="96" t="str">
        <f>_xlfn.XLOOKUP(1,$O$338:$O$338,$I$338:$I$338, "-", 0)</f>
        <v>-</v>
      </c>
      <c r="O337" s="151"/>
      <c r="P337" s="97" t="str">
        <f>IF(COUNTIF($P$338:$P$338,"Yes")&gt;0,"Yes","")</f>
        <v/>
      </c>
      <c r="Q337" s="96">
        <f>SUM($Q$338:$Q$338)</f>
        <v>0</v>
      </c>
      <c r="R337" s="96" t="str">
        <f>IF($Q$337&gt;0,$F$337-$Q$337,"")</f>
        <v/>
      </c>
      <c r="S337" s="151"/>
    </row>
    <row r="338" spans="2:19" x14ac:dyDescent="0.25">
      <c r="B338" s="154"/>
      <c r="C338" s="142"/>
      <c r="D338" s="142"/>
      <c r="E338" s="154"/>
      <c r="F338" s="155"/>
      <c r="G338" s="154"/>
      <c r="H338" s="108">
        <v>1</v>
      </c>
      <c r="I338" s="109"/>
      <c r="J338" s="110"/>
      <c r="K338" s="123" t="str">
        <f>IF($J338="","",RANK(J338,$J$338:$J$338,1))</f>
        <v/>
      </c>
      <c r="L338" s="110"/>
      <c r="M338" s="123" t="str">
        <f>IF($L338="","",RANK(L338,$L$338:$L$338,1))</f>
        <v/>
      </c>
      <c r="N338" s="110"/>
      <c r="O338" s="123" t="str">
        <f>IF($N338="","",RANK(N338,$N$338:$N$338,1))</f>
        <v/>
      </c>
      <c r="P338" s="105"/>
      <c r="Q338" s="124" t="str">
        <f>IF($P338="Yes",IF($N338&gt;0,$N338,IF($L338&gt;0,$L338,IF($J338&gt;0,$J338,""))),"")</f>
        <v/>
      </c>
      <c r="R338" s="124" t="str">
        <f>IFERROR(IF(INT($Q338)&gt;0,$F$337-$Q338,""),"")</f>
        <v/>
      </c>
      <c r="S338" s="109"/>
    </row>
    <row r="339" spans="2:19" x14ac:dyDescent="0.25">
      <c r="B339" s="148">
        <v>62</v>
      </c>
      <c r="C339" s="149" t="s">
        <v>44</v>
      </c>
      <c r="D339" s="149" t="s">
        <v>89</v>
      </c>
      <c r="E339" s="148" t="s">
        <v>234</v>
      </c>
      <c r="F339" s="150"/>
      <c r="G339" s="148"/>
      <c r="H339" s="151"/>
      <c r="I339" s="151"/>
      <c r="J339" s="96" t="str">
        <f>_xlfn.XLOOKUP(1,$K$340:$K$352,$I$340:$I$352, "-", 0)</f>
        <v>-</v>
      </c>
      <c r="K339" s="151"/>
      <c r="L339" s="96" t="str">
        <f>_xlfn.XLOOKUP(1,$M$340:$M$352,$I$340:$I$352, "-", 0)</f>
        <v>-</v>
      </c>
      <c r="M339" s="151"/>
      <c r="N339" s="96" t="str">
        <f>_xlfn.XLOOKUP(1,$O$340:$O$352,$I$340:$I$352, "-", 0)</f>
        <v>-</v>
      </c>
      <c r="O339" s="151"/>
      <c r="P339" s="97" t="str">
        <f>IF(COUNTIF($P$340:$P$352,"Yes")&gt;0,"Yes","")</f>
        <v/>
      </c>
      <c r="Q339" s="96">
        <f>SUM($Q$340:$Q$352)</f>
        <v>0</v>
      </c>
      <c r="R339" s="96" t="str">
        <f>IF($Q$339&gt;0,$F$339-$Q$339,"")</f>
        <v/>
      </c>
      <c r="S339" s="151"/>
    </row>
    <row r="340" spans="2:19" x14ac:dyDescent="0.25">
      <c r="B340" s="152"/>
      <c r="C340" s="143"/>
      <c r="D340" s="143"/>
      <c r="E340" s="152"/>
      <c r="F340" s="153"/>
      <c r="G340" s="152"/>
      <c r="H340" s="90">
        <v>1</v>
      </c>
      <c r="I340" s="98"/>
      <c r="J340" s="99"/>
      <c r="K340" s="121" t="str">
        <f t="shared" ref="K340:K352" si="115">IF($J340="","",RANK(J340,$J$340:$J$352,1))</f>
        <v/>
      </c>
      <c r="L340" s="99"/>
      <c r="M340" s="121" t="str">
        <f t="shared" ref="M340:M352" si="116">IF($L340="","",RANK(L340,$L$340:$L$352,1))</f>
        <v/>
      </c>
      <c r="N340" s="99"/>
      <c r="O340" s="121" t="str">
        <f t="shared" ref="O340:O352" si="117">IF($N340="","",RANK(N340,$N$340:$N$352,1))</f>
        <v/>
      </c>
      <c r="P340" s="91"/>
      <c r="Q340" s="122" t="str">
        <f t="shared" ref="Q340:Q352" si="118">IF($P340="Yes",IF($N340&gt;0,$N340,IF($L340&gt;0,$L340,IF($J340&gt;0,$J340,""))),"")</f>
        <v/>
      </c>
      <c r="R340" s="122" t="str">
        <f t="shared" ref="R340:R352" si="119">IFERROR(IF(INT($Q340)&gt;0,$F$339-$Q340,""),"")</f>
        <v/>
      </c>
      <c r="S340" s="98"/>
    </row>
    <row r="341" spans="2:19" x14ac:dyDescent="0.25">
      <c r="B341" s="152"/>
      <c r="C341" s="143"/>
      <c r="D341" s="143"/>
      <c r="E341" s="152"/>
      <c r="F341" s="153"/>
      <c r="G341" s="152"/>
      <c r="H341" s="90">
        <v>2</v>
      </c>
      <c r="I341" s="98"/>
      <c r="J341" s="99"/>
      <c r="K341" s="121" t="str">
        <f t="shared" si="115"/>
        <v/>
      </c>
      <c r="L341" s="99"/>
      <c r="M341" s="121" t="str">
        <f t="shared" si="116"/>
        <v/>
      </c>
      <c r="N341" s="99"/>
      <c r="O341" s="121" t="str">
        <f t="shared" si="117"/>
        <v/>
      </c>
      <c r="P341" s="91"/>
      <c r="Q341" s="122" t="str">
        <f t="shared" si="118"/>
        <v/>
      </c>
      <c r="R341" s="122" t="str">
        <f t="shared" si="119"/>
        <v/>
      </c>
      <c r="S341" s="98"/>
    </row>
    <row r="342" spans="2:19" x14ac:dyDescent="0.25">
      <c r="B342" s="152"/>
      <c r="C342" s="143"/>
      <c r="D342" s="143"/>
      <c r="E342" s="152"/>
      <c r="F342" s="153"/>
      <c r="G342" s="152"/>
      <c r="H342" s="90">
        <v>3</v>
      </c>
      <c r="I342" s="98"/>
      <c r="J342" s="99"/>
      <c r="K342" s="121" t="str">
        <f t="shared" si="115"/>
        <v/>
      </c>
      <c r="L342" s="99"/>
      <c r="M342" s="121" t="str">
        <f t="shared" si="116"/>
        <v/>
      </c>
      <c r="N342" s="99"/>
      <c r="O342" s="121" t="str">
        <f t="shared" si="117"/>
        <v/>
      </c>
      <c r="P342" s="91"/>
      <c r="Q342" s="122" t="str">
        <f t="shared" si="118"/>
        <v/>
      </c>
      <c r="R342" s="122" t="str">
        <f t="shared" si="119"/>
        <v/>
      </c>
      <c r="S342" s="98"/>
    </row>
    <row r="343" spans="2:19" x14ac:dyDescent="0.25">
      <c r="B343" s="152"/>
      <c r="C343" s="143"/>
      <c r="D343" s="143"/>
      <c r="E343" s="152"/>
      <c r="F343" s="153"/>
      <c r="G343" s="152"/>
      <c r="H343" s="90">
        <v>4</v>
      </c>
      <c r="I343" s="98"/>
      <c r="J343" s="99"/>
      <c r="K343" s="121" t="str">
        <f t="shared" si="115"/>
        <v/>
      </c>
      <c r="L343" s="99"/>
      <c r="M343" s="121" t="str">
        <f t="shared" si="116"/>
        <v/>
      </c>
      <c r="N343" s="99"/>
      <c r="O343" s="121" t="str">
        <f t="shared" si="117"/>
        <v/>
      </c>
      <c r="P343" s="91"/>
      <c r="Q343" s="122" t="str">
        <f t="shared" si="118"/>
        <v/>
      </c>
      <c r="R343" s="122" t="str">
        <f t="shared" si="119"/>
        <v/>
      </c>
      <c r="S343" s="98"/>
    </row>
    <row r="344" spans="2:19" x14ac:dyDescent="0.25">
      <c r="B344" s="152"/>
      <c r="C344" s="143"/>
      <c r="D344" s="143"/>
      <c r="E344" s="152"/>
      <c r="F344" s="153"/>
      <c r="G344" s="152"/>
      <c r="H344" s="90">
        <v>5</v>
      </c>
      <c r="I344" s="98"/>
      <c r="J344" s="99"/>
      <c r="K344" s="121" t="str">
        <f t="shared" si="115"/>
        <v/>
      </c>
      <c r="L344" s="99"/>
      <c r="M344" s="121" t="str">
        <f t="shared" si="116"/>
        <v/>
      </c>
      <c r="N344" s="99"/>
      <c r="O344" s="121" t="str">
        <f t="shared" si="117"/>
        <v/>
      </c>
      <c r="P344" s="91"/>
      <c r="Q344" s="122" t="str">
        <f t="shared" si="118"/>
        <v/>
      </c>
      <c r="R344" s="122" t="str">
        <f t="shared" si="119"/>
        <v/>
      </c>
      <c r="S344" s="98"/>
    </row>
    <row r="345" spans="2:19" x14ac:dyDescent="0.25">
      <c r="B345" s="152"/>
      <c r="C345" s="143"/>
      <c r="D345" s="143"/>
      <c r="E345" s="152"/>
      <c r="F345" s="153"/>
      <c r="G345" s="152"/>
      <c r="H345" s="90">
        <v>6</v>
      </c>
      <c r="I345" s="98"/>
      <c r="J345" s="99"/>
      <c r="K345" s="121" t="str">
        <f t="shared" si="115"/>
        <v/>
      </c>
      <c r="L345" s="99"/>
      <c r="M345" s="121" t="str">
        <f t="shared" si="116"/>
        <v/>
      </c>
      <c r="N345" s="99"/>
      <c r="O345" s="121" t="str">
        <f t="shared" si="117"/>
        <v/>
      </c>
      <c r="P345" s="91"/>
      <c r="Q345" s="122" t="str">
        <f t="shared" si="118"/>
        <v/>
      </c>
      <c r="R345" s="122" t="str">
        <f t="shared" si="119"/>
        <v/>
      </c>
      <c r="S345" s="98"/>
    </row>
    <row r="346" spans="2:19" x14ac:dyDescent="0.25">
      <c r="B346" s="152"/>
      <c r="C346" s="143"/>
      <c r="D346" s="143"/>
      <c r="E346" s="152"/>
      <c r="F346" s="153"/>
      <c r="G346" s="152"/>
      <c r="H346" s="90">
        <v>7</v>
      </c>
      <c r="I346" s="98"/>
      <c r="J346" s="99"/>
      <c r="K346" s="121" t="str">
        <f t="shared" si="115"/>
        <v/>
      </c>
      <c r="L346" s="99"/>
      <c r="M346" s="121" t="str">
        <f t="shared" si="116"/>
        <v/>
      </c>
      <c r="N346" s="99"/>
      <c r="O346" s="121" t="str">
        <f t="shared" si="117"/>
        <v/>
      </c>
      <c r="P346" s="91"/>
      <c r="Q346" s="122" t="str">
        <f t="shared" si="118"/>
        <v/>
      </c>
      <c r="R346" s="122" t="str">
        <f t="shared" si="119"/>
        <v/>
      </c>
      <c r="S346" s="98"/>
    </row>
    <row r="347" spans="2:19" x14ac:dyDescent="0.25">
      <c r="B347" s="152"/>
      <c r="C347" s="143"/>
      <c r="D347" s="143"/>
      <c r="E347" s="152"/>
      <c r="F347" s="153"/>
      <c r="G347" s="152"/>
      <c r="H347" s="90">
        <v>8</v>
      </c>
      <c r="I347" s="98"/>
      <c r="J347" s="99"/>
      <c r="K347" s="121" t="str">
        <f t="shared" si="115"/>
        <v/>
      </c>
      <c r="L347" s="99"/>
      <c r="M347" s="121" t="str">
        <f t="shared" si="116"/>
        <v/>
      </c>
      <c r="N347" s="99"/>
      <c r="O347" s="121" t="str">
        <f t="shared" si="117"/>
        <v/>
      </c>
      <c r="P347" s="91"/>
      <c r="Q347" s="122" t="str">
        <f t="shared" si="118"/>
        <v/>
      </c>
      <c r="R347" s="122" t="str">
        <f t="shared" si="119"/>
        <v/>
      </c>
      <c r="S347" s="98"/>
    </row>
    <row r="348" spans="2:19" x14ac:dyDescent="0.25">
      <c r="B348" s="152"/>
      <c r="C348" s="143"/>
      <c r="D348" s="143"/>
      <c r="E348" s="152"/>
      <c r="F348" s="153"/>
      <c r="G348" s="152"/>
      <c r="H348" s="90">
        <v>9</v>
      </c>
      <c r="I348" s="98"/>
      <c r="J348" s="99"/>
      <c r="K348" s="121" t="str">
        <f t="shared" si="115"/>
        <v/>
      </c>
      <c r="L348" s="99"/>
      <c r="M348" s="121" t="str">
        <f t="shared" si="116"/>
        <v/>
      </c>
      <c r="N348" s="99"/>
      <c r="O348" s="121" t="str">
        <f t="shared" si="117"/>
        <v/>
      </c>
      <c r="P348" s="91"/>
      <c r="Q348" s="122" t="str">
        <f t="shared" si="118"/>
        <v/>
      </c>
      <c r="R348" s="122" t="str">
        <f t="shared" si="119"/>
        <v/>
      </c>
      <c r="S348" s="98"/>
    </row>
    <row r="349" spans="2:19" x14ac:dyDescent="0.25">
      <c r="B349" s="152"/>
      <c r="C349" s="143"/>
      <c r="D349" s="143"/>
      <c r="E349" s="152"/>
      <c r="F349" s="153"/>
      <c r="G349" s="152"/>
      <c r="H349" s="90">
        <v>10</v>
      </c>
      <c r="I349" s="98"/>
      <c r="J349" s="99"/>
      <c r="K349" s="121" t="str">
        <f t="shared" si="115"/>
        <v/>
      </c>
      <c r="L349" s="99"/>
      <c r="M349" s="121" t="str">
        <f t="shared" si="116"/>
        <v/>
      </c>
      <c r="N349" s="99"/>
      <c r="O349" s="121" t="str">
        <f t="shared" si="117"/>
        <v/>
      </c>
      <c r="P349" s="91"/>
      <c r="Q349" s="122" t="str">
        <f t="shared" si="118"/>
        <v/>
      </c>
      <c r="R349" s="122" t="str">
        <f t="shared" si="119"/>
        <v/>
      </c>
      <c r="S349" s="98"/>
    </row>
    <row r="350" spans="2:19" x14ac:dyDescent="0.25">
      <c r="B350" s="152"/>
      <c r="C350" s="143"/>
      <c r="D350" s="143"/>
      <c r="E350" s="152"/>
      <c r="F350" s="153"/>
      <c r="G350" s="152"/>
      <c r="H350" s="90">
        <v>11</v>
      </c>
      <c r="I350" s="98"/>
      <c r="J350" s="99"/>
      <c r="K350" s="121" t="str">
        <f t="shared" si="115"/>
        <v/>
      </c>
      <c r="L350" s="99"/>
      <c r="M350" s="121" t="str">
        <f t="shared" si="116"/>
        <v/>
      </c>
      <c r="N350" s="99"/>
      <c r="O350" s="121" t="str">
        <f t="shared" si="117"/>
        <v/>
      </c>
      <c r="P350" s="91"/>
      <c r="Q350" s="122" t="str">
        <f t="shared" si="118"/>
        <v/>
      </c>
      <c r="R350" s="122" t="str">
        <f t="shared" si="119"/>
        <v/>
      </c>
      <c r="S350" s="98"/>
    </row>
    <row r="351" spans="2:19" x14ac:dyDescent="0.25">
      <c r="B351" s="152"/>
      <c r="C351" s="143"/>
      <c r="D351" s="143"/>
      <c r="E351" s="152"/>
      <c r="F351" s="153"/>
      <c r="G351" s="152"/>
      <c r="H351" s="90">
        <v>12</v>
      </c>
      <c r="I351" s="98"/>
      <c r="J351" s="99"/>
      <c r="K351" s="121" t="str">
        <f t="shared" si="115"/>
        <v/>
      </c>
      <c r="L351" s="99"/>
      <c r="M351" s="121" t="str">
        <f t="shared" si="116"/>
        <v/>
      </c>
      <c r="N351" s="99"/>
      <c r="O351" s="121" t="str">
        <f t="shared" si="117"/>
        <v/>
      </c>
      <c r="P351" s="91"/>
      <c r="Q351" s="122" t="str">
        <f t="shared" si="118"/>
        <v/>
      </c>
      <c r="R351" s="122" t="str">
        <f t="shared" si="119"/>
        <v/>
      </c>
      <c r="S351" s="98"/>
    </row>
    <row r="352" spans="2:19" x14ac:dyDescent="0.25">
      <c r="B352" s="154"/>
      <c r="C352" s="142"/>
      <c r="D352" s="142"/>
      <c r="E352" s="154"/>
      <c r="F352" s="155"/>
      <c r="G352" s="154"/>
      <c r="H352" s="108">
        <v>13</v>
      </c>
      <c r="I352" s="109"/>
      <c r="J352" s="110"/>
      <c r="K352" s="123" t="str">
        <f t="shared" si="115"/>
        <v/>
      </c>
      <c r="L352" s="110"/>
      <c r="M352" s="123" t="str">
        <f t="shared" si="116"/>
        <v/>
      </c>
      <c r="N352" s="110"/>
      <c r="O352" s="123" t="str">
        <f t="shared" si="117"/>
        <v/>
      </c>
      <c r="P352" s="105"/>
      <c r="Q352" s="124" t="str">
        <f t="shared" si="118"/>
        <v/>
      </c>
      <c r="R352" s="124" t="str">
        <f t="shared" si="119"/>
        <v/>
      </c>
      <c r="S352" s="109"/>
    </row>
    <row r="353" spans="2:19" x14ac:dyDescent="0.25">
      <c r="B353" s="148">
        <v>63</v>
      </c>
      <c r="C353" s="149" t="s">
        <v>44</v>
      </c>
      <c r="D353" s="149" t="s">
        <v>90</v>
      </c>
      <c r="E353" s="148" t="s">
        <v>234</v>
      </c>
      <c r="F353" s="150"/>
      <c r="G353" s="148"/>
      <c r="H353" s="151"/>
      <c r="I353" s="151"/>
      <c r="J353" s="96" t="str">
        <f>_xlfn.XLOOKUP(1,$K$354:$K$366,$I$354:$I$366, "-", 0)</f>
        <v>-</v>
      </c>
      <c r="K353" s="151"/>
      <c r="L353" s="96" t="str">
        <f>_xlfn.XLOOKUP(1,$M$354:$M$366,$I$354:$I$366, "-", 0)</f>
        <v>-</v>
      </c>
      <c r="M353" s="151"/>
      <c r="N353" s="96" t="str">
        <f>_xlfn.XLOOKUP(1,$O$354:$O$366,$I$354:$I$366, "-", 0)</f>
        <v>-</v>
      </c>
      <c r="O353" s="151"/>
      <c r="P353" s="97" t="str">
        <f>IF(COUNTIF($P$354:$P$366,"Yes")&gt;0,"Yes","")</f>
        <v/>
      </c>
      <c r="Q353" s="96">
        <f>SUM($Q$354:$Q$366)</f>
        <v>0</v>
      </c>
      <c r="R353" s="96" t="str">
        <f>IF($Q$353&gt;0,$F$353-$Q$353,"")</f>
        <v/>
      </c>
      <c r="S353" s="151"/>
    </row>
    <row r="354" spans="2:19" x14ac:dyDescent="0.25">
      <c r="B354" s="152"/>
      <c r="C354" s="143"/>
      <c r="D354" s="143"/>
      <c r="E354" s="152"/>
      <c r="F354" s="153"/>
      <c r="G354" s="152"/>
      <c r="H354" s="90">
        <v>1</v>
      </c>
      <c r="I354" s="98"/>
      <c r="J354" s="99"/>
      <c r="K354" s="121" t="str">
        <f t="shared" ref="K354:K366" si="120">IF($J354="","",RANK(J354,$J$354:$J$366,1))</f>
        <v/>
      </c>
      <c r="L354" s="99"/>
      <c r="M354" s="121" t="str">
        <f t="shared" ref="M354:M366" si="121">IF($L354="","",RANK(L354,$L$354:$L$366,1))</f>
        <v/>
      </c>
      <c r="N354" s="99"/>
      <c r="O354" s="121" t="str">
        <f t="shared" ref="O354:O366" si="122">IF($N354="","",RANK(N354,$N$354:$N$366,1))</f>
        <v/>
      </c>
      <c r="P354" s="91"/>
      <c r="Q354" s="122" t="str">
        <f t="shared" ref="Q354:Q366" si="123">IF($P354="Yes",IF($N354&gt;0,$N354,IF($L354&gt;0,$L354,IF($J354&gt;0,$J354,""))),"")</f>
        <v/>
      </c>
      <c r="R354" s="122" t="str">
        <f t="shared" ref="R354:R366" si="124">IFERROR(IF(INT($Q354)&gt;0,$F$353-$Q354,""),"")</f>
        <v/>
      </c>
      <c r="S354" s="98"/>
    </row>
    <row r="355" spans="2:19" x14ac:dyDescent="0.25">
      <c r="B355" s="152"/>
      <c r="C355" s="143"/>
      <c r="D355" s="143"/>
      <c r="E355" s="152"/>
      <c r="F355" s="153"/>
      <c r="G355" s="152"/>
      <c r="H355" s="90">
        <v>2</v>
      </c>
      <c r="I355" s="98"/>
      <c r="J355" s="99"/>
      <c r="K355" s="121" t="str">
        <f t="shared" si="120"/>
        <v/>
      </c>
      <c r="L355" s="99"/>
      <c r="M355" s="121" t="str">
        <f t="shared" si="121"/>
        <v/>
      </c>
      <c r="N355" s="99"/>
      <c r="O355" s="121" t="str">
        <f t="shared" si="122"/>
        <v/>
      </c>
      <c r="P355" s="91"/>
      <c r="Q355" s="122" t="str">
        <f t="shared" si="123"/>
        <v/>
      </c>
      <c r="R355" s="122" t="str">
        <f t="shared" si="124"/>
        <v/>
      </c>
      <c r="S355" s="98"/>
    </row>
    <row r="356" spans="2:19" x14ac:dyDescent="0.25">
      <c r="B356" s="152"/>
      <c r="C356" s="143"/>
      <c r="D356" s="143"/>
      <c r="E356" s="152"/>
      <c r="F356" s="153"/>
      <c r="G356" s="152"/>
      <c r="H356" s="90">
        <v>3</v>
      </c>
      <c r="I356" s="98"/>
      <c r="J356" s="99"/>
      <c r="K356" s="121" t="str">
        <f t="shared" si="120"/>
        <v/>
      </c>
      <c r="L356" s="99"/>
      <c r="M356" s="121" t="str">
        <f t="shared" si="121"/>
        <v/>
      </c>
      <c r="N356" s="99"/>
      <c r="O356" s="121" t="str">
        <f t="shared" si="122"/>
        <v/>
      </c>
      <c r="P356" s="91"/>
      <c r="Q356" s="122" t="str">
        <f t="shared" si="123"/>
        <v/>
      </c>
      <c r="R356" s="122" t="str">
        <f t="shared" si="124"/>
        <v/>
      </c>
      <c r="S356" s="98"/>
    </row>
    <row r="357" spans="2:19" x14ac:dyDescent="0.25">
      <c r="B357" s="152"/>
      <c r="C357" s="143"/>
      <c r="D357" s="143"/>
      <c r="E357" s="152"/>
      <c r="F357" s="153"/>
      <c r="G357" s="152"/>
      <c r="H357" s="90">
        <v>4</v>
      </c>
      <c r="I357" s="98"/>
      <c r="J357" s="99"/>
      <c r="K357" s="121" t="str">
        <f t="shared" si="120"/>
        <v/>
      </c>
      <c r="L357" s="99"/>
      <c r="M357" s="121" t="str">
        <f t="shared" si="121"/>
        <v/>
      </c>
      <c r="N357" s="99"/>
      <c r="O357" s="121" t="str">
        <f t="shared" si="122"/>
        <v/>
      </c>
      <c r="P357" s="91"/>
      <c r="Q357" s="122" t="str">
        <f t="shared" si="123"/>
        <v/>
      </c>
      <c r="R357" s="122" t="str">
        <f t="shared" si="124"/>
        <v/>
      </c>
      <c r="S357" s="98"/>
    </row>
    <row r="358" spans="2:19" x14ac:dyDescent="0.25">
      <c r="B358" s="152"/>
      <c r="C358" s="143"/>
      <c r="D358" s="143"/>
      <c r="E358" s="152"/>
      <c r="F358" s="153"/>
      <c r="G358" s="152"/>
      <c r="H358" s="90">
        <v>5</v>
      </c>
      <c r="I358" s="98"/>
      <c r="J358" s="99"/>
      <c r="K358" s="121" t="str">
        <f t="shared" si="120"/>
        <v/>
      </c>
      <c r="L358" s="99"/>
      <c r="M358" s="121" t="str">
        <f t="shared" si="121"/>
        <v/>
      </c>
      <c r="N358" s="99"/>
      <c r="O358" s="121" t="str">
        <f t="shared" si="122"/>
        <v/>
      </c>
      <c r="P358" s="91"/>
      <c r="Q358" s="122" t="str">
        <f t="shared" si="123"/>
        <v/>
      </c>
      <c r="R358" s="122" t="str">
        <f t="shared" si="124"/>
        <v/>
      </c>
      <c r="S358" s="98"/>
    </row>
    <row r="359" spans="2:19" x14ac:dyDescent="0.25">
      <c r="B359" s="152"/>
      <c r="C359" s="143"/>
      <c r="D359" s="143"/>
      <c r="E359" s="152"/>
      <c r="F359" s="153"/>
      <c r="G359" s="152"/>
      <c r="H359" s="90">
        <v>6</v>
      </c>
      <c r="I359" s="98"/>
      <c r="J359" s="99"/>
      <c r="K359" s="121" t="str">
        <f t="shared" si="120"/>
        <v/>
      </c>
      <c r="L359" s="99"/>
      <c r="M359" s="121" t="str">
        <f t="shared" si="121"/>
        <v/>
      </c>
      <c r="N359" s="99"/>
      <c r="O359" s="121" t="str">
        <f t="shared" si="122"/>
        <v/>
      </c>
      <c r="P359" s="91"/>
      <c r="Q359" s="122" t="str">
        <f t="shared" si="123"/>
        <v/>
      </c>
      <c r="R359" s="122" t="str">
        <f t="shared" si="124"/>
        <v/>
      </c>
      <c r="S359" s="98"/>
    </row>
    <row r="360" spans="2:19" x14ac:dyDescent="0.25">
      <c r="B360" s="152"/>
      <c r="C360" s="143"/>
      <c r="D360" s="143"/>
      <c r="E360" s="152"/>
      <c r="F360" s="153"/>
      <c r="G360" s="152"/>
      <c r="H360" s="90">
        <v>7</v>
      </c>
      <c r="I360" s="98"/>
      <c r="J360" s="99"/>
      <c r="K360" s="121" t="str">
        <f t="shared" si="120"/>
        <v/>
      </c>
      <c r="L360" s="99"/>
      <c r="M360" s="121" t="str">
        <f t="shared" si="121"/>
        <v/>
      </c>
      <c r="N360" s="99"/>
      <c r="O360" s="121" t="str">
        <f t="shared" si="122"/>
        <v/>
      </c>
      <c r="P360" s="91"/>
      <c r="Q360" s="122" t="str">
        <f t="shared" si="123"/>
        <v/>
      </c>
      <c r="R360" s="122" t="str">
        <f t="shared" si="124"/>
        <v/>
      </c>
      <c r="S360" s="98"/>
    </row>
    <row r="361" spans="2:19" x14ac:dyDescent="0.25">
      <c r="B361" s="152"/>
      <c r="C361" s="143"/>
      <c r="D361" s="143"/>
      <c r="E361" s="152"/>
      <c r="F361" s="153"/>
      <c r="G361" s="152"/>
      <c r="H361" s="90">
        <v>8</v>
      </c>
      <c r="I361" s="98"/>
      <c r="J361" s="99"/>
      <c r="K361" s="121" t="str">
        <f t="shared" si="120"/>
        <v/>
      </c>
      <c r="L361" s="99"/>
      <c r="M361" s="121" t="str">
        <f t="shared" si="121"/>
        <v/>
      </c>
      <c r="N361" s="99"/>
      <c r="O361" s="121" t="str">
        <f t="shared" si="122"/>
        <v/>
      </c>
      <c r="P361" s="91"/>
      <c r="Q361" s="122" t="str">
        <f t="shared" si="123"/>
        <v/>
      </c>
      <c r="R361" s="122" t="str">
        <f t="shared" si="124"/>
        <v/>
      </c>
      <c r="S361" s="98"/>
    </row>
    <row r="362" spans="2:19" x14ac:dyDescent="0.25">
      <c r="B362" s="152"/>
      <c r="C362" s="143"/>
      <c r="D362" s="143"/>
      <c r="E362" s="152"/>
      <c r="F362" s="153"/>
      <c r="G362" s="152"/>
      <c r="H362" s="90">
        <v>9</v>
      </c>
      <c r="I362" s="98"/>
      <c r="J362" s="99"/>
      <c r="K362" s="121" t="str">
        <f t="shared" si="120"/>
        <v/>
      </c>
      <c r="L362" s="99"/>
      <c r="M362" s="121" t="str">
        <f t="shared" si="121"/>
        <v/>
      </c>
      <c r="N362" s="99"/>
      <c r="O362" s="121" t="str">
        <f t="shared" si="122"/>
        <v/>
      </c>
      <c r="P362" s="91"/>
      <c r="Q362" s="122" t="str">
        <f t="shared" si="123"/>
        <v/>
      </c>
      <c r="R362" s="122" t="str">
        <f t="shared" si="124"/>
        <v/>
      </c>
      <c r="S362" s="98"/>
    </row>
    <row r="363" spans="2:19" x14ac:dyDescent="0.25">
      <c r="B363" s="152"/>
      <c r="C363" s="143"/>
      <c r="D363" s="143"/>
      <c r="E363" s="152"/>
      <c r="F363" s="153"/>
      <c r="G363" s="152"/>
      <c r="H363" s="90">
        <v>10</v>
      </c>
      <c r="I363" s="98"/>
      <c r="J363" s="99"/>
      <c r="K363" s="121" t="str">
        <f t="shared" si="120"/>
        <v/>
      </c>
      <c r="L363" s="99"/>
      <c r="M363" s="121" t="str">
        <f t="shared" si="121"/>
        <v/>
      </c>
      <c r="N363" s="99"/>
      <c r="O363" s="121" t="str">
        <f t="shared" si="122"/>
        <v/>
      </c>
      <c r="P363" s="91"/>
      <c r="Q363" s="122" t="str">
        <f t="shared" si="123"/>
        <v/>
      </c>
      <c r="R363" s="122" t="str">
        <f t="shared" si="124"/>
        <v/>
      </c>
      <c r="S363" s="98"/>
    </row>
    <row r="364" spans="2:19" x14ac:dyDescent="0.25">
      <c r="B364" s="152"/>
      <c r="C364" s="143"/>
      <c r="D364" s="143"/>
      <c r="E364" s="152"/>
      <c r="F364" s="153"/>
      <c r="G364" s="152"/>
      <c r="H364" s="90">
        <v>11</v>
      </c>
      <c r="I364" s="98"/>
      <c r="J364" s="99"/>
      <c r="K364" s="121" t="str">
        <f t="shared" si="120"/>
        <v/>
      </c>
      <c r="L364" s="99"/>
      <c r="M364" s="121" t="str">
        <f t="shared" si="121"/>
        <v/>
      </c>
      <c r="N364" s="99"/>
      <c r="O364" s="121" t="str">
        <f t="shared" si="122"/>
        <v/>
      </c>
      <c r="P364" s="91"/>
      <c r="Q364" s="122" t="str">
        <f t="shared" si="123"/>
        <v/>
      </c>
      <c r="R364" s="122" t="str">
        <f t="shared" si="124"/>
        <v/>
      </c>
      <c r="S364" s="98"/>
    </row>
    <row r="365" spans="2:19" x14ac:dyDescent="0.25">
      <c r="B365" s="152"/>
      <c r="C365" s="143"/>
      <c r="D365" s="143"/>
      <c r="E365" s="152"/>
      <c r="F365" s="153"/>
      <c r="G365" s="152"/>
      <c r="H365" s="90">
        <v>12</v>
      </c>
      <c r="I365" s="98"/>
      <c r="J365" s="99"/>
      <c r="K365" s="121" t="str">
        <f t="shared" si="120"/>
        <v/>
      </c>
      <c r="L365" s="99"/>
      <c r="M365" s="121" t="str">
        <f t="shared" si="121"/>
        <v/>
      </c>
      <c r="N365" s="99"/>
      <c r="O365" s="121" t="str">
        <f t="shared" si="122"/>
        <v/>
      </c>
      <c r="P365" s="91"/>
      <c r="Q365" s="122" t="str">
        <f t="shared" si="123"/>
        <v/>
      </c>
      <c r="R365" s="122" t="str">
        <f t="shared" si="124"/>
        <v/>
      </c>
      <c r="S365" s="98"/>
    </row>
    <row r="366" spans="2:19" x14ac:dyDescent="0.25">
      <c r="B366" s="154"/>
      <c r="C366" s="142"/>
      <c r="D366" s="142"/>
      <c r="E366" s="154"/>
      <c r="F366" s="155"/>
      <c r="G366" s="154"/>
      <c r="H366" s="108">
        <v>13</v>
      </c>
      <c r="I366" s="109"/>
      <c r="J366" s="110"/>
      <c r="K366" s="123" t="str">
        <f t="shared" si="120"/>
        <v/>
      </c>
      <c r="L366" s="110"/>
      <c r="M366" s="123" t="str">
        <f t="shared" si="121"/>
        <v/>
      </c>
      <c r="N366" s="110"/>
      <c r="O366" s="123" t="str">
        <f t="shared" si="122"/>
        <v/>
      </c>
      <c r="P366" s="105"/>
      <c r="Q366" s="124" t="str">
        <f t="shared" si="123"/>
        <v/>
      </c>
      <c r="R366" s="124" t="str">
        <f t="shared" si="124"/>
        <v/>
      </c>
      <c r="S366" s="109"/>
    </row>
    <row r="367" spans="2:19" x14ac:dyDescent="0.25">
      <c r="B367" s="148">
        <v>64</v>
      </c>
      <c r="C367" s="149" t="s">
        <v>44</v>
      </c>
      <c r="D367" s="149" t="s">
        <v>91</v>
      </c>
      <c r="E367" s="148" t="s">
        <v>237</v>
      </c>
      <c r="F367" s="150"/>
      <c r="G367" s="148"/>
      <c r="H367" s="151"/>
      <c r="I367" s="151"/>
      <c r="J367" s="96" t="str">
        <f>_xlfn.XLOOKUP(1,$K$368:$K$374,$I$368:$I$374, "-", 0)</f>
        <v>-</v>
      </c>
      <c r="K367" s="151"/>
      <c r="L367" s="96" t="str">
        <f>_xlfn.XLOOKUP(1,$M$368:$M$374,$I$368:$I$374, "-", 0)</f>
        <v>-</v>
      </c>
      <c r="M367" s="151"/>
      <c r="N367" s="96" t="str">
        <f>_xlfn.XLOOKUP(1,$O$368:$O$374,$I$368:$I$374, "-", 0)</f>
        <v>-</v>
      </c>
      <c r="O367" s="151"/>
      <c r="P367" s="97" t="str">
        <f>IF(COUNTIF($P$368:$P$374,"Yes")&gt;0,"Yes","")</f>
        <v/>
      </c>
      <c r="Q367" s="96">
        <f>SUM($Q$368:$Q$374)</f>
        <v>0</v>
      </c>
      <c r="R367" s="96" t="str">
        <f>IF($Q$367&gt;0,$F$367-$Q$367,"")</f>
        <v/>
      </c>
      <c r="S367" s="151"/>
    </row>
    <row r="368" spans="2:19" x14ac:dyDescent="0.25">
      <c r="B368" s="152"/>
      <c r="C368" s="143"/>
      <c r="D368" s="143"/>
      <c r="E368" s="152"/>
      <c r="F368" s="153"/>
      <c r="G368" s="152"/>
      <c r="H368" s="90">
        <v>1</v>
      </c>
      <c r="I368" s="98"/>
      <c r="J368" s="99"/>
      <c r="K368" s="121" t="str">
        <f t="shared" ref="K368:K374" si="125">IF($J368="","",RANK(J368,$J$368:$J$374,1))</f>
        <v/>
      </c>
      <c r="L368" s="99"/>
      <c r="M368" s="121" t="str">
        <f t="shared" ref="M368:M374" si="126">IF($L368="","",RANK(L368,$L$368:$L$374,1))</f>
        <v/>
      </c>
      <c r="N368" s="99"/>
      <c r="O368" s="121" t="str">
        <f t="shared" ref="O368:O374" si="127">IF($N368="","",RANK(N368,$N$368:$N$374,1))</f>
        <v/>
      </c>
      <c r="P368" s="91"/>
      <c r="Q368" s="122" t="str">
        <f t="shared" ref="Q368:Q374" si="128">IF($P368="Yes",IF($N368&gt;0,$N368,IF($L368&gt;0,$L368,IF($J368&gt;0,$J368,""))),"")</f>
        <v/>
      </c>
      <c r="R368" s="122" t="str">
        <f t="shared" ref="R368:R374" si="129">IFERROR(IF(INT($Q368)&gt;0,$F$367-$Q368,""),"")</f>
        <v/>
      </c>
      <c r="S368" s="98"/>
    </row>
    <row r="369" spans="2:19" x14ac:dyDescent="0.25">
      <c r="B369" s="152"/>
      <c r="C369" s="143"/>
      <c r="D369" s="143"/>
      <c r="E369" s="152"/>
      <c r="F369" s="153"/>
      <c r="G369" s="152"/>
      <c r="H369" s="90">
        <v>2</v>
      </c>
      <c r="I369" s="98"/>
      <c r="J369" s="99"/>
      <c r="K369" s="121" t="str">
        <f t="shared" si="125"/>
        <v/>
      </c>
      <c r="L369" s="99"/>
      <c r="M369" s="121" t="str">
        <f t="shared" si="126"/>
        <v/>
      </c>
      <c r="N369" s="99"/>
      <c r="O369" s="121" t="str">
        <f t="shared" si="127"/>
        <v/>
      </c>
      <c r="P369" s="91"/>
      <c r="Q369" s="122" t="str">
        <f t="shared" si="128"/>
        <v/>
      </c>
      <c r="R369" s="122" t="str">
        <f t="shared" si="129"/>
        <v/>
      </c>
      <c r="S369" s="98"/>
    </row>
    <row r="370" spans="2:19" x14ac:dyDescent="0.25">
      <c r="B370" s="152"/>
      <c r="C370" s="143"/>
      <c r="D370" s="143"/>
      <c r="E370" s="152"/>
      <c r="F370" s="153"/>
      <c r="G370" s="152"/>
      <c r="H370" s="90">
        <v>3</v>
      </c>
      <c r="I370" s="98"/>
      <c r="J370" s="99"/>
      <c r="K370" s="121" t="str">
        <f t="shared" si="125"/>
        <v/>
      </c>
      <c r="L370" s="99"/>
      <c r="M370" s="121" t="str">
        <f t="shared" si="126"/>
        <v/>
      </c>
      <c r="N370" s="99"/>
      <c r="O370" s="121" t="str">
        <f t="shared" si="127"/>
        <v/>
      </c>
      <c r="P370" s="91"/>
      <c r="Q370" s="122" t="str">
        <f t="shared" si="128"/>
        <v/>
      </c>
      <c r="R370" s="122" t="str">
        <f t="shared" si="129"/>
        <v/>
      </c>
      <c r="S370" s="98"/>
    </row>
    <row r="371" spans="2:19" x14ac:dyDescent="0.25">
      <c r="B371" s="152"/>
      <c r="C371" s="143"/>
      <c r="D371" s="143"/>
      <c r="E371" s="152"/>
      <c r="F371" s="153"/>
      <c r="G371" s="152"/>
      <c r="H371" s="90">
        <v>4</v>
      </c>
      <c r="I371" s="98"/>
      <c r="J371" s="99"/>
      <c r="K371" s="121" t="str">
        <f t="shared" si="125"/>
        <v/>
      </c>
      <c r="L371" s="99"/>
      <c r="M371" s="121" t="str">
        <f t="shared" si="126"/>
        <v/>
      </c>
      <c r="N371" s="99"/>
      <c r="O371" s="121" t="str">
        <f t="shared" si="127"/>
        <v/>
      </c>
      <c r="P371" s="91"/>
      <c r="Q371" s="122" t="str">
        <f t="shared" si="128"/>
        <v/>
      </c>
      <c r="R371" s="122" t="str">
        <f t="shared" si="129"/>
        <v/>
      </c>
      <c r="S371" s="98"/>
    </row>
    <row r="372" spans="2:19" x14ac:dyDescent="0.25">
      <c r="B372" s="152"/>
      <c r="C372" s="143"/>
      <c r="D372" s="143"/>
      <c r="E372" s="152"/>
      <c r="F372" s="153"/>
      <c r="G372" s="152"/>
      <c r="H372" s="90">
        <v>5</v>
      </c>
      <c r="I372" s="98"/>
      <c r="J372" s="99"/>
      <c r="K372" s="121" t="str">
        <f t="shared" si="125"/>
        <v/>
      </c>
      <c r="L372" s="99"/>
      <c r="M372" s="121" t="str">
        <f t="shared" si="126"/>
        <v/>
      </c>
      <c r="N372" s="99"/>
      <c r="O372" s="121" t="str">
        <f t="shared" si="127"/>
        <v/>
      </c>
      <c r="P372" s="91"/>
      <c r="Q372" s="122" t="str">
        <f t="shared" si="128"/>
        <v/>
      </c>
      <c r="R372" s="122" t="str">
        <f t="shared" si="129"/>
        <v/>
      </c>
      <c r="S372" s="98"/>
    </row>
    <row r="373" spans="2:19" x14ac:dyDescent="0.25">
      <c r="B373" s="152"/>
      <c r="C373" s="143"/>
      <c r="D373" s="143"/>
      <c r="E373" s="152"/>
      <c r="F373" s="153"/>
      <c r="G373" s="152"/>
      <c r="H373" s="90">
        <v>6</v>
      </c>
      <c r="I373" s="98"/>
      <c r="J373" s="99"/>
      <c r="K373" s="121" t="str">
        <f t="shared" si="125"/>
        <v/>
      </c>
      <c r="L373" s="99"/>
      <c r="M373" s="121" t="str">
        <f t="shared" si="126"/>
        <v/>
      </c>
      <c r="N373" s="99"/>
      <c r="O373" s="121" t="str">
        <f t="shared" si="127"/>
        <v/>
      </c>
      <c r="P373" s="91"/>
      <c r="Q373" s="122" t="str">
        <f t="shared" si="128"/>
        <v/>
      </c>
      <c r="R373" s="122" t="str">
        <f t="shared" si="129"/>
        <v/>
      </c>
      <c r="S373" s="98"/>
    </row>
    <row r="374" spans="2:19" x14ac:dyDescent="0.25">
      <c r="B374" s="154"/>
      <c r="C374" s="142"/>
      <c r="D374" s="142"/>
      <c r="E374" s="154"/>
      <c r="F374" s="155"/>
      <c r="G374" s="154"/>
      <c r="H374" s="108">
        <v>7</v>
      </c>
      <c r="I374" s="109"/>
      <c r="J374" s="110"/>
      <c r="K374" s="123" t="str">
        <f t="shared" si="125"/>
        <v/>
      </c>
      <c r="L374" s="110"/>
      <c r="M374" s="123" t="str">
        <f t="shared" si="126"/>
        <v/>
      </c>
      <c r="N374" s="110"/>
      <c r="O374" s="123" t="str">
        <f t="shared" si="127"/>
        <v/>
      </c>
      <c r="P374" s="105"/>
      <c r="Q374" s="124" t="str">
        <f t="shared" si="128"/>
        <v/>
      </c>
      <c r="R374" s="124" t="str">
        <f t="shared" si="129"/>
        <v/>
      </c>
      <c r="S374" s="109"/>
    </row>
    <row r="375" spans="2:19" x14ac:dyDescent="0.25">
      <c r="B375" s="148">
        <v>65</v>
      </c>
      <c r="C375" s="149" t="s">
        <v>44</v>
      </c>
      <c r="D375" s="149" t="s">
        <v>92</v>
      </c>
      <c r="E375" s="148" t="s">
        <v>239</v>
      </c>
      <c r="F375" s="150"/>
      <c r="G375" s="148" t="s">
        <v>276</v>
      </c>
      <c r="H375" s="151"/>
      <c r="I375" s="151"/>
      <c r="J375" s="96" t="str">
        <f>_xlfn.XLOOKUP(1,$K$376:$K$380,$I$376:$I$380, "-", 0)</f>
        <v>-</v>
      </c>
      <c r="K375" s="151"/>
      <c r="L375" s="96" t="str">
        <f>_xlfn.XLOOKUP(1,$M$376:$M$380,$I$376:$I$380, "-", 0)</f>
        <v>-</v>
      </c>
      <c r="M375" s="151"/>
      <c r="N375" s="96" t="str">
        <f>_xlfn.XLOOKUP(1,$O$376:$O$380,$I$376:$I$380, "-", 0)</f>
        <v>-</v>
      </c>
      <c r="O375" s="151"/>
      <c r="P375" s="97" t="str">
        <f>IF(COUNTIF($P$376:$P$380,"Yes")&gt;0,"Yes","")</f>
        <v/>
      </c>
      <c r="Q375" s="96">
        <f>SUM($Q$376:$Q$380)</f>
        <v>0</v>
      </c>
      <c r="R375" s="96" t="str">
        <f>IF($Q$375&gt;0,$F$375-$Q$375,"")</f>
        <v/>
      </c>
      <c r="S375" s="151"/>
    </row>
    <row r="376" spans="2:19" x14ac:dyDescent="0.25">
      <c r="B376" s="152"/>
      <c r="C376" s="143"/>
      <c r="D376" s="143"/>
      <c r="E376" s="152"/>
      <c r="F376" s="153"/>
      <c r="G376" s="152"/>
      <c r="H376" s="90">
        <v>1</v>
      </c>
      <c r="I376" s="98"/>
      <c r="J376" s="99"/>
      <c r="K376" s="121" t="str">
        <f>IF($J376="","",RANK(J376,$J$376:$J$380,1))</f>
        <v/>
      </c>
      <c r="L376" s="99"/>
      <c r="M376" s="121" t="str">
        <f>IF($L376="","",RANK(L376,$L$376:$L$380,1))</f>
        <v/>
      </c>
      <c r="N376" s="99"/>
      <c r="O376" s="121" t="str">
        <f>IF($N376="","",RANK(N376,$N$376:$N$380,1))</f>
        <v/>
      </c>
      <c r="P376" s="91"/>
      <c r="Q376" s="122" t="str">
        <f>IF($P376="Yes",IF($N376&gt;0,$N376,IF($L376&gt;0,$L376,IF($J376&gt;0,$J376,""))),"")</f>
        <v/>
      </c>
      <c r="R376" s="122" t="str">
        <f>IFERROR(IF(INT($Q376)&gt;0,$F$375-$Q376,""),"")</f>
        <v/>
      </c>
      <c r="S376" s="98"/>
    </row>
    <row r="377" spans="2:19" x14ac:dyDescent="0.25">
      <c r="B377" s="152"/>
      <c r="C377" s="143"/>
      <c r="D377" s="143"/>
      <c r="E377" s="152"/>
      <c r="F377" s="153"/>
      <c r="G377" s="152"/>
      <c r="H377" s="90">
        <v>2</v>
      </c>
      <c r="I377" s="98"/>
      <c r="J377" s="99"/>
      <c r="K377" s="121" t="str">
        <f>IF($J377="","",RANK(J377,$J$376:$J$380,1))</f>
        <v/>
      </c>
      <c r="L377" s="99"/>
      <c r="M377" s="121" t="str">
        <f>IF($L377="","",RANK(L377,$L$376:$L$380,1))</f>
        <v/>
      </c>
      <c r="N377" s="99"/>
      <c r="O377" s="121" t="str">
        <f>IF($N377="","",RANK(N377,$N$376:$N$380,1))</f>
        <v/>
      </c>
      <c r="P377" s="91"/>
      <c r="Q377" s="122" t="str">
        <f>IF($P377="Yes",IF($N377&gt;0,$N377,IF($L377&gt;0,$L377,IF($J377&gt;0,$J377,""))),"")</f>
        <v/>
      </c>
      <c r="R377" s="122" t="str">
        <f>IFERROR(IF(INT($Q377)&gt;0,$F$375-$Q377,""),"")</f>
        <v/>
      </c>
      <c r="S377" s="98"/>
    </row>
    <row r="378" spans="2:19" x14ac:dyDescent="0.25">
      <c r="B378" s="152"/>
      <c r="C378" s="143"/>
      <c r="D378" s="143"/>
      <c r="E378" s="152"/>
      <c r="F378" s="153"/>
      <c r="G378" s="152"/>
      <c r="H378" s="90">
        <v>3</v>
      </c>
      <c r="I378" s="98"/>
      <c r="J378" s="99"/>
      <c r="K378" s="121" t="str">
        <f>IF($J378="","",RANK(J378,$J$376:$J$380,1))</f>
        <v/>
      </c>
      <c r="L378" s="99"/>
      <c r="M378" s="121" t="str">
        <f>IF($L378="","",RANK(L378,$L$376:$L$380,1))</f>
        <v/>
      </c>
      <c r="N378" s="99"/>
      <c r="O378" s="121" t="str">
        <f>IF($N378="","",RANK(N378,$N$376:$N$380,1))</f>
        <v/>
      </c>
      <c r="P378" s="91"/>
      <c r="Q378" s="122" t="str">
        <f>IF($P378="Yes",IF($N378&gt;0,$N378,IF($L378&gt;0,$L378,IF($J378&gt;0,$J378,""))),"")</f>
        <v/>
      </c>
      <c r="R378" s="122" t="str">
        <f>IFERROR(IF(INT($Q378)&gt;0,$F$375-$Q378,""),"")</f>
        <v/>
      </c>
      <c r="S378" s="98"/>
    </row>
    <row r="379" spans="2:19" x14ac:dyDescent="0.25">
      <c r="B379" s="152"/>
      <c r="C379" s="143"/>
      <c r="D379" s="143"/>
      <c r="E379" s="152"/>
      <c r="F379" s="153"/>
      <c r="G379" s="152"/>
      <c r="H379" s="90">
        <v>4</v>
      </c>
      <c r="I379" s="98"/>
      <c r="J379" s="99"/>
      <c r="K379" s="121" t="str">
        <f>IF($J379="","",RANK(J379,$J$376:$J$380,1))</f>
        <v/>
      </c>
      <c r="L379" s="99"/>
      <c r="M379" s="121" t="str">
        <f>IF($L379="","",RANK(L379,$L$376:$L$380,1))</f>
        <v/>
      </c>
      <c r="N379" s="99"/>
      <c r="O379" s="121" t="str">
        <f>IF($N379="","",RANK(N379,$N$376:$N$380,1))</f>
        <v/>
      </c>
      <c r="P379" s="91"/>
      <c r="Q379" s="122" t="str">
        <f>IF($P379="Yes",IF($N379&gt;0,$N379,IF($L379&gt;0,$L379,IF($J379&gt;0,$J379,""))),"")</f>
        <v/>
      </c>
      <c r="R379" s="122" t="str">
        <f>IFERROR(IF(INT($Q379)&gt;0,$F$375-$Q379,""),"")</f>
        <v/>
      </c>
      <c r="S379" s="98"/>
    </row>
    <row r="380" spans="2:19" x14ac:dyDescent="0.25">
      <c r="B380" s="154"/>
      <c r="C380" s="142"/>
      <c r="D380" s="142"/>
      <c r="E380" s="154"/>
      <c r="F380" s="155"/>
      <c r="G380" s="154"/>
      <c r="H380" s="108">
        <v>5</v>
      </c>
      <c r="I380" s="109"/>
      <c r="J380" s="110"/>
      <c r="K380" s="123" t="str">
        <f>IF($J380="","",RANK(J380,$J$376:$J$380,1))</f>
        <v/>
      </c>
      <c r="L380" s="110"/>
      <c r="M380" s="123" t="str">
        <f>IF($L380="","",RANK(L380,$L$376:$L$380,1))</f>
        <v/>
      </c>
      <c r="N380" s="110"/>
      <c r="O380" s="123" t="str">
        <f>IF($N380="","",RANK(N380,$N$376:$N$380,1))</f>
        <v/>
      </c>
      <c r="P380" s="105"/>
      <c r="Q380" s="124" t="str">
        <f>IF($P380="Yes",IF($N380&gt;0,$N380,IF($L380&gt;0,$L380,IF($J380&gt;0,$J380,""))),"")</f>
        <v/>
      </c>
      <c r="R380" s="124" t="str">
        <f>IFERROR(IF(INT($Q380)&gt;0,$F$375-$Q380,""),"")</f>
        <v/>
      </c>
      <c r="S380" s="109"/>
    </row>
    <row r="381" spans="2:19" x14ac:dyDescent="0.25">
      <c r="B381" s="148">
        <v>66</v>
      </c>
      <c r="C381" s="149" t="s">
        <v>44</v>
      </c>
      <c r="D381" s="149" t="s">
        <v>93</v>
      </c>
      <c r="E381" s="148" t="s">
        <v>241</v>
      </c>
      <c r="F381" s="150"/>
      <c r="G381" s="148"/>
      <c r="H381" s="151"/>
      <c r="I381" s="151"/>
      <c r="J381" s="96" t="str">
        <f>_xlfn.XLOOKUP(1,$K$382:$K$389,$I$382:$I$389, "-", 0)</f>
        <v>-</v>
      </c>
      <c r="K381" s="151"/>
      <c r="L381" s="96" t="str">
        <f>_xlfn.XLOOKUP(1,$M$382:$M$389,$I$382:$I$389, "-", 0)</f>
        <v>-</v>
      </c>
      <c r="M381" s="151"/>
      <c r="N381" s="96" t="str">
        <f>_xlfn.XLOOKUP(1,$O$382:$O$389,$I$382:$I$389, "-", 0)</f>
        <v>-</v>
      </c>
      <c r="O381" s="151"/>
      <c r="P381" s="97" t="str">
        <f>IF(COUNTIF($P$382:$P$389,"Yes")&gt;0,"Yes","")</f>
        <v/>
      </c>
      <c r="Q381" s="96">
        <f>SUM($Q$382:$Q$389)</f>
        <v>0</v>
      </c>
      <c r="R381" s="96" t="str">
        <f>IF($Q$381&gt;0,$F$381-$Q$381,"")</f>
        <v/>
      </c>
      <c r="S381" s="151"/>
    </row>
    <row r="382" spans="2:19" x14ac:dyDescent="0.25">
      <c r="B382" s="152"/>
      <c r="C382" s="143"/>
      <c r="D382" s="143"/>
      <c r="E382" s="152"/>
      <c r="F382" s="153"/>
      <c r="G382" s="152"/>
      <c r="H382" s="90">
        <v>1</v>
      </c>
      <c r="I382" s="98"/>
      <c r="J382" s="99"/>
      <c r="K382" s="121" t="str">
        <f t="shared" ref="K382:K389" si="130">IF($J382="","",RANK(J382,$J$382:$J$389,1))</f>
        <v/>
      </c>
      <c r="L382" s="99"/>
      <c r="M382" s="121" t="str">
        <f t="shared" ref="M382:M389" si="131">IF($L382="","",RANK(L382,$L$382:$L$389,1))</f>
        <v/>
      </c>
      <c r="N382" s="99"/>
      <c r="O382" s="121" t="str">
        <f t="shared" ref="O382:O389" si="132">IF($N382="","",RANK(N382,$N$382:$N$389,1))</f>
        <v/>
      </c>
      <c r="P382" s="91"/>
      <c r="Q382" s="122" t="str">
        <f t="shared" ref="Q382:Q389" si="133">IF($P382="Yes",IF($N382&gt;0,$N382,IF($L382&gt;0,$L382,IF($J382&gt;0,$J382,""))),"")</f>
        <v/>
      </c>
      <c r="R382" s="122" t="str">
        <f t="shared" ref="R382:R389" si="134">IFERROR(IF(INT($Q382)&gt;0,$F$381-$Q382,""),"")</f>
        <v/>
      </c>
      <c r="S382" s="98"/>
    </row>
    <row r="383" spans="2:19" x14ac:dyDescent="0.25">
      <c r="B383" s="152"/>
      <c r="C383" s="143"/>
      <c r="D383" s="143"/>
      <c r="E383" s="152"/>
      <c r="F383" s="153"/>
      <c r="G383" s="152"/>
      <c r="H383" s="90">
        <v>2</v>
      </c>
      <c r="I383" s="98"/>
      <c r="J383" s="99"/>
      <c r="K383" s="121" t="str">
        <f t="shared" si="130"/>
        <v/>
      </c>
      <c r="L383" s="99"/>
      <c r="M383" s="121" t="str">
        <f t="shared" si="131"/>
        <v/>
      </c>
      <c r="N383" s="99"/>
      <c r="O383" s="121" t="str">
        <f t="shared" si="132"/>
        <v/>
      </c>
      <c r="P383" s="91"/>
      <c r="Q383" s="122" t="str">
        <f t="shared" si="133"/>
        <v/>
      </c>
      <c r="R383" s="122" t="str">
        <f t="shared" si="134"/>
        <v/>
      </c>
      <c r="S383" s="98"/>
    </row>
    <row r="384" spans="2:19" x14ac:dyDescent="0.25">
      <c r="B384" s="152"/>
      <c r="C384" s="143"/>
      <c r="D384" s="143"/>
      <c r="E384" s="152"/>
      <c r="F384" s="153"/>
      <c r="G384" s="152"/>
      <c r="H384" s="90">
        <v>3</v>
      </c>
      <c r="I384" s="98"/>
      <c r="J384" s="99"/>
      <c r="K384" s="121" t="str">
        <f t="shared" si="130"/>
        <v/>
      </c>
      <c r="L384" s="99"/>
      <c r="M384" s="121" t="str">
        <f t="shared" si="131"/>
        <v/>
      </c>
      <c r="N384" s="99"/>
      <c r="O384" s="121" t="str">
        <f t="shared" si="132"/>
        <v/>
      </c>
      <c r="P384" s="91"/>
      <c r="Q384" s="122" t="str">
        <f t="shared" si="133"/>
        <v/>
      </c>
      <c r="R384" s="122" t="str">
        <f t="shared" si="134"/>
        <v/>
      </c>
      <c r="S384" s="98"/>
    </row>
    <row r="385" spans="2:19" x14ac:dyDescent="0.25">
      <c r="B385" s="152"/>
      <c r="C385" s="143"/>
      <c r="D385" s="143"/>
      <c r="E385" s="152"/>
      <c r="F385" s="153"/>
      <c r="G385" s="152"/>
      <c r="H385" s="90">
        <v>4</v>
      </c>
      <c r="I385" s="98"/>
      <c r="J385" s="99"/>
      <c r="K385" s="121" t="str">
        <f t="shared" si="130"/>
        <v/>
      </c>
      <c r="L385" s="99"/>
      <c r="M385" s="121" t="str">
        <f t="shared" si="131"/>
        <v/>
      </c>
      <c r="N385" s="99"/>
      <c r="O385" s="121" t="str">
        <f t="shared" si="132"/>
        <v/>
      </c>
      <c r="P385" s="91"/>
      <c r="Q385" s="122" t="str">
        <f t="shared" si="133"/>
        <v/>
      </c>
      <c r="R385" s="122" t="str">
        <f t="shared" si="134"/>
        <v/>
      </c>
      <c r="S385" s="98"/>
    </row>
    <row r="386" spans="2:19" x14ac:dyDescent="0.25">
      <c r="B386" s="152"/>
      <c r="C386" s="143"/>
      <c r="D386" s="143"/>
      <c r="E386" s="152"/>
      <c r="F386" s="153"/>
      <c r="G386" s="152"/>
      <c r="H386" s="90">
        <v>5</v>
      </c>
      <c r="I386" s="98"/>
      <c r="J386" s="99"/>
      <c r="K386" s="121" t="str">
        <f t="shared" si="130"/>
        <v/>
      </c>
      <c r="L386" s="99"/>
      <c r="M386" s="121" t="str">
        <f t="shared" si="131"/>
        <v/>
      </c>
      <c r="N386" s="99"/>
      <c r="O386" s="121" t="str">
        <f t="shared" si="132"/>
        <v/>
      </c>
      <c r="P386" s="91"/>
      <c r="Q386" s="122" t="str">
        <f t="shared" si="133"/>
        <v/>
      </c>
      <c r="R386" s="122" t="str">
        <f t="shared" si="134"/>
        <v/>
      </c>
      <c r="S386" s="98"/>
    </row>
    <row r="387" spans="2:19" x14ac:dyDescent="0.25">
      <c r="B387" s="152"/>
      <c r="C387" s="143"/>
      <c r="D387" s="143"/>
      <c r="E387" s="152"/>
      <c r="F387" s="153"/>
      <c r="G387" s="152"/>
      <c r="H387" s="90">
        <v>6</v>
      </c>
      <c r="I387" s="98"/>
      <c r="J387" s="99"/>
      <c r="K387" s="121" t="str">
        <f t="shared" si="130"/>
        <v/>
      </c>
      <c r="L387" s="99"/>
      <c r="M387" s="121" t="str">
        <f t="shared" si="131"/>
        <v/>
      </c>
      <c r="N387" s="99"/>
      <c r="O387" s="121" t="str">
        <f t="shared" si="132"/>
        <v/>
      </c>
      <c r="P387" s="91"/>
      <c r="Q387" s="122" t="str">
        <f t="shared" si="133"/>
        <v/>
      </c>
      <c r="R387" s="122" t="str">
        <f t="shared" si="134"/>
        <v/>
      </c>
      <c r="S387" s="98"/>
    </row>
    <row r="388" spans="2:19" x14ac:dyDescent="0.25">
      <c r="B388" s="152"/>
      <c r="C388" s="143"/>
      <c r="D388" s="143"/>
      <c r="E388" s="152"/>
      <c r="F388" s="153"/>
      <c r="G388" s="152"/>
      <c r="H388" s="90">
        <v>7</v>
      </c>
      <c r="I388" s="98"/>
      <c r="J388" s="99"/>
      <c r="K388" s="121" t="str">
        <f t="shared" si="130"/>
        <v/>
      </c>
      <c r="L388" s="99"/>
      <c r="M388" s="121" t="str">
        <f t="shared" si="131"/>
        <v/>
      </c>
      <c r="N388" s="99"/>
      <c r="O388" s="121" t="str">
        <f t="shared" si="132"/>
        <v/>
      </c>
      <c r="P388" s="91"/>
      <c r="Q388" s="122" t="str">
        <f t="shared" si="133"/>
        <v/>
      </c>
      <c r="R388" s="122" t="str">
        <f t="shared" si="134"/>
        <v/>
      </c>
      <c r="S388" s="98"/>
    </row>
    <row r="389" spans="2:19" x14ac:dyDescent="0.25">
      <c r="B389" s="154"/>
      <c r="C389" s="142"/>
      <c r="D389" s="142"/>
      <c r="E389" s="154"/>
      <c r="F389" s="155"/>
      <c r="G389" s="154"/>
      <c r="H389" s="108">
        <v>8</v>
      </c>
      <c r="I389" s="109"/>
      <c r="J389" s="110"/>
      <c r="K389" s="123" t="str">
        <f t="shared" si="130"/>
        <v/>
      </c>
      <c r="L389" s="110"/>
      <c r="M389" s="123" t="str">
        <f t="shared" si="131"/>
        <v/>
      </c>
      <c r="N389" s="110"/>
      <c r="O389" s="123" t="str">
        <f t="shared" si="132"/>
        <v/>
      </c>
      <c r="P389" s="105"/>
      <c r="Q389" s="124" t="str">
        <f t="shared" si="133"/>
        <v/>
      </c>
      <c r="R389" s="124" t="str">
        <f t="shared" si="134"/>
        <v/>
      </c>
      <c r="S389" s="109"/>
    </row>
    <row r="390" spans="2:19" x14ac:dyDescent="0.25">
      <c r="B390" s="148">
        <v>67</v>
      </c>
      <c r="C390" s="149" t="s">
        <v>44</v>
      </c>
      <c r="D390" s="149" t="s">
        <v>94</v>
      </c>
      <c r="E390" s="148" t="s">
        <v>241</v>
      </c>
      <c r="F390" s="150">
        <v>1592510.94</v>
      </c>
      <c r="G390" s="148"/>
      <c r="H390" s="151"/>
      <c r="I390" s="151"/>
      <c r="J390" s="96" t="str">
        <f>_xlfn.XLOOKUP(1,$K$391:$K$398,$I$391:$I$398, "-", 0)</f>
        <v>Graniti</v>
      </c>
      <c r="K390" s="151"/>
      <c r="L390" s="96" t="str">
        <f>_xlfn.XLOOKUP(1,$M$391:$M$398,$I$391:$I$398, "-", 0)</f>
        <v>Graniti</v>
      </c>
      <c r="M390" s="151"/>
      <c r="N390" s="96" t="str">
        <f>_xlfn.XLOOKUP(1,$O$391:$O$398,$I$391:$I$398, "-", 0)</f>
        <v>Graniti</v>
      </c>
      <c r="O390" s="151"/>
      <c r="P390" s="97" t="str">
        <f>IF(COUNTIF($P$391:$P$398,"Yes")&gt;0,"Yes","")</f>
        <v>Yes</v>
      </c>
      <c r="Q390" s="96">
        <f>SUM($Q$391:$Q$398)</f>
        <v>1592510.94</v>
      </c>
      <c r="R390" s="96">
        <f>IF($Q$390&gt;0,$F$390-$Q$390,"")</f>
        <v>0</v>
      </c>
      <c r="S390" s="151"/>
    </row>
    <row r="391" spans="2:19" x14ac:dyDescent="0.25">
      <c r="B391" s="152"/>
      <c r="C391" s="143"/>
      <c r="D391" s="143"/>
      <c r="E391" s="152"/>
      <c r="F391" s="153"/>
      <c r="G391" s="152"/>
      <c r="H391" s="90">
        <v>1</v>
      </c>
      <c r="I391" s="98" t="s">
        <v>296</v>
      </c>
      <c r="J391" s="99">
        <v>1592510.94</v>
      </c>
      <c r="K391" s="121">
        <f t="shared" ref="K391:K398" si="135">IF($J391="","",RANK(J391,$J$391:$J$398,1))</f>
        <v>1</v>
      </c>
      <c r="L391" s="99">
        <f>J391</f>
        <v>1592510.94</v>
      </c>
      <c r="M391" s="121">
        <f t="shared" ref="M391:M398" si="136">IF($L391="","",RANK(L391,$L$391:$L$398,1))</f>
        <v>1</v>
      </c>
      <c r="N391" s="99">
        <f>L391</f>
        <v>1592510.94</v>
      </c>
      <c r="O391" s="121">
        <f t="shared" ref="O391:O398" si="137">IF($N391="","",RANK(N391,$N$391:$N$398,1))</f>
        <v>1</v>
      </c>
      <c r="P391" s="91" t="s">
        <v>276</v>
      </c>
      <c r="Q391" s="122">
        <f t="shared" ref="Q391:Q398" si="138">IF($P391="Yes",IF($N391&gt;0,$N391,IF($L391&gt;0,$L391,IF($J391&gt;0,$J391,""))),"")</f>
        <v>1592510.94</v>
      </c>
      <c r="R391" s="122">
        <f t="shared" ref="R391:R398" si="139">IFERROR(IF(INT($Q391)&gt;0,$F$390-$Q391,""),"")</f>
        <v>0</v>
      </c>
      <c r="S391" s="98"/>
    </row>
    <row r="392" spans="2:19" x14ac:dyDescent="0.25">
      <c r="B392" s="152"/>
      <c r="C392" s="143"/>
      <c r="D392" s="143"/>
      <c r="E392" s="152"/>
      <c r="F392" s="153"/>
      <c r="G392" s="152"/>
      <c r="H392" s="90">
        <v>2</v>
      </c>
      <c r="I392" s="98"/>
      <c r="J392" s="99"/>
      <c r="K392" s="121" t="str">
        <f t="shared" si="135"/>
        <v/>
      </c>
      <c r="L392" s="99"/>
      <c r="M392" s="121" t="str">
        <f t="shared" si="136"/>
        <v/>
      </c>
      <c r="N392" s="99"/>
      <c r="O392" s="121" t="str">
        <f t="shared" si="137"/>
        <v/>
      </c>
      <c r="P392" s="91"/>
      <c r="Q392" s="122" t="str">
        <f t="shared" si="138"/>
        <v/>
      </c>
      <c r="R392" s="122" t="str">
        <f t="shared" si="139"/>
        <v/>
      </c>
      <c r="S392" s="98"/>
    </row>
    <row r="393" spans="2:19" x14ac:dyDescent="0.25">
      <c r="B393" s="152"/>
      <c r="C393" s="143"/>
      <c r="D393" s="143"/>
      <c r="E393" s="152"/>
      <c r="F393" s="153"/>
      <c r="G393" s="152"/>
      <c r="H393" s="90">
        <v>3</v>
      </c>
      <c r="I393" s="98"/>
      <c r="J393" s="99"/>
      <c r="K393" s="121" t="str">
        <f t="shared" si="135"/>
        <v/>
      </c>
      <c r="L393" s="99"/>
      <c r="M393" s="121" t="str">
        <f t="shared" si="136"/>
        <v/>
      </c>
      <c r="N393" s="99"/>
      <c r="O393" s="121" t="str">
        <f t="shared" si="137"/>
        <v/>
      </c>
      <c r="P393" s="91"/>
      <c r="Q393" s="122" t="str">
        <f t="shared" si="138"/>
        <v/>
      </c>
      <c r="R393" s="122" t="str">
        <f t="shared" si="139"/>
        <v/>
      </c>
      <c r="S393" s="98"/>
    </row>
    <row r="394" spans="2:19" x14ac:dyDescent="0.25">
      <c r="B394" s="152"/>
      <c r="C394" s="143"/>
      <c r="D394" s="143"/>
      <c r="E394" s="152"/>
      <c r="F394" s="153"/>
      <c r="G394" s="152"/>
      <c r="H394" s="90">
        <v>4</v>
      </c>
      <c r="I394" s="98"/>
      <c r="J394" s="99"/>
      <c r="K394" s="121" t="str">
        <f t="shared" si="135"/>
        <v/>
      </c>
      <c r="L394" s="99"/>
      <c r="M394" s="121" t="str">
        <f t="shared" si="136"/>
        <v/>
      </c>
      <c r="N394" s="99"/>
      <c r="O394" s="121" t="str">
        <f t="shared" si="137"/>
        <v/>
      </c>
      <c r="P394" s="91"/>
      <c r="Q394" s="122" t="str">
        <f t="shared" si="138"/>
        <v/>
      </c>
      <c r="R394" s="122" t="str">
        <f t="shared" si="139"/>
        <v/>
      </c>
      <c r="S394" s="98"/>
    </row>
    <row r="395" spans="2:19" x14ac:dyDescent="0.25">
      <c r="B395" s="152"/>
      <c r="C395" s="143"/>
      <c r="D395" s="143"/>
      <c r="E395" s="152"/>
      <c r="F395" s="153"/>
      <c r="G395" s="152"/>
      <c r="H395" s="90">
        <v>5</v>
      </c>
      <c r="I395" s="98"/>
      <c r="J395" s="99"/>
      <c r="K395" s="121" t="str">
        <f t="shared" si="135"/>
        <v/>
      </c>
      <c r="L395" s="99"/>
      <c r="M395" s="121" t="str">
        <f t="shared" si="136"/>
        <v/>
      </c>
      <c r="N395" s="99"/>
      <c r="O395" s="121" t="str">
        <f t="shared" si="137"/>
        <v/>
      </c>
      <c r="P395" s="91"/>
      <c r="Q395" s="122" t="str">
        <f t="shared" si="138"/>
        <v/>
      </c>
      <c r="R395" s="122" t="str">
        <f t="shared" si="139"/>
        <v/>
      </c>
      <c r="S395" s="98"/>
    </row>
    <row r="396" spans="2:19" x14ac:dyDescent="0.25">
      <c r="B396" s="152"/>
      <c r="C396" s="143"/>
      <c r="D396" s="143"/>
      <c r="E396" s="152"/>
      <c r="F396" s="153"/>
      <c r="G396" s="152"/>
      <c r="H396" s="90">
        <v>6</v>
      </c>
      <c r="I396" s="98"/>
      <c r="J396" s="99"/>
      <c r="K396" s="121" t="str">
        <f t="shared" si="135"/>
        <v/>
      </c>
      <c r="L396" s="99"/>
      <c r="M396" s="121" t="str">
        <f t="shared" si="136"/>
        <v/>
      </c>
      <c r="N396" s="99"/>
      <c r="O396" s="121" t="str">
        <f t="shared" si="137"/>
        <v/>
      </c>
      <c r="P396" s="91"/>
      <c r="Q396" s="122" t="str">
        <f t="shared" si="138"/>
        <v/>
      </c>
      <c r="R396" s="122" t="str">
        <f t="shared" si="139"/>
        <v/>
      </c>
      <c r="S396" s="98"/>
    </row>
    <row r="397" spans="2:19" x14ac:dyDescent="0.25">
      <c r="B397" s="152"/>
      <c r="C397" s="143"/>
      <c r="D397" s="143"/>
      <c r="E397" s="152"/>
      <c r="F397" s="153"/>
      <c r="G397" s="152"/>
      <c r="H397" s="90">
        <v>7</v>
      </c>
      <c r="I397" s="98"/>
      <c r="J397" s="99"/>
      <c r="K397" s="121" t="str">
        <f t="shared" si="135"/>
        <v/>
      </c>
      <c r="L397" s="99"/>
      <c r="M397" s="121" t="str">
        <f t="shared" si="136"/>
        <v/>
      </c>
      <c r="N397" s="99"/>
      <c r="O397" s="121" t="str">
        <f t="shared" si="137"/>
        <v/>
      </c>
      <c r="P397" s="91"/>
      <c r="Q397" s="122" t="str">
        <f t="shared" si="138"/>
        <v/>
      </c>
      <c r="R397" s="122" t="str">
        <f t="shared" si="139"/>
        <v/>
      </c>
      <c r="S397" s="98"/>
    </row>
    <row r="398" spans="2:19" x14ac:dyDescent="0.25">
      <c r="B398" s="154"/>
      <c r="C398" s="142"/>
      <c r="D398" s="142"/>
      <c r="E398" s="154"/>
      <c r="F398" s="155"/>
      <c r="G398" s="154"/>
      <c r="H398" s="108">
        <v>8</v>
      </c>
      <c r="I398" s="109"/>
      <c r="J398" s="110"/>
      <c r="K398" s="123" t="str">
        <f t="shared" si="135"/>
        <v/>
      </c>
      <c r="L398" s="110"/>
      <c r="M398" s="123" t="str">
        <f t="shared" si="136"/>
        <v/>
      </c>
      <c r="N398" s="110"/>
      <c r="O398" s="123" t="str">
        <f t="shared" si="137"/>
        <v/>
      </c>
      <c r="P398" s="105"/>
      <c r="Q398" s="124" t="str">
        <f t="shared" si="138"/>
        <v/>
      </c>
      <c r="R398" s="124" t="str">
        <f t="shared" si="139"/>
        <v/>
      </c>
      <c r="S398" s="109"/>
    </row>
    <row r="399" spans="2:19" x14ac:dyDescent="0.25">
      <c r="B399" s="148">
        <v>68</v>
      </c>
      <c r="C399" s="149" t="s">
        <v>53</v>
      </c>
      <c r="D399" s="149" t="s">
        <v>95</v>
      </c>
      <c r="E399" s="148" t="s">
        <v>242</v>
      </c>
      <c r="F399" s="150">
        <v>2016279.31</v>
      </c>
      <c r="G399" s="148"/>
      <c r="H399" s="151"/>
      <c r="I399" s="151"/>
      <c r="J399" s="96" t="str">
        <f>_xlfn.XLOOKUP(1,$K$400:$K$400,$I$400:$I$400, "-", 0)</f>
        <v xml:space="preserve">RAK </v>
      </c>
      <c r="K399" s="151"/>
      <c r="L399" s="96" t="str">
        <f>_xlfn.XLOOKUP(1,$M$400:$M$400,$I$400:$I$400, "-", 0)</f>
        <v xml:space="preserve">RAK </v>
      </c>
      <c r="M399" s="151"/>
      <c r="N399" s="96" t="str">
        <f>_xlfn.XLOOKUP(1,$O$400:$O$400,$I$400:$I$400, "-", 0)</f>
        <v xml:space="preserve">RAK </v>
      </c>
      <c r="O399" s="151"/>
      <c r="P399" s="97" t="str">
        <f>IF(COUNTIF($P$400:$P$400,"Yes")&gt;0,"Yes","")</f>
        <v>Yes</v>
      </c>
      <c r="Q399" s="96">
        <f>SUM($Q$400:$Q$400)</f>
        <v>1457009.38</v>
      </c>
      <c r="R399" s="96">
        <f>IF($Q$399&gt;0,$F$399-$Q$399,"")</f>
        <v>559269.93000000017</v>
      </c>
      <c r="S399" s="151"/>
    </row>
    <row r="400" spans="2:19" x14ac:dyDescent="0.25">
      <c r="B400" s="154"/>
      <c r="C400" s="142"/>
      <c r="D400" s="142"/>
      <c r="E400" s="154"/>
      <c r="F400" s="155"/>
      <c r="G400" s="154"/>
      <c r="H400" s="108">
        <v>1</v>
      </c>
      <c r="I400" s="109" t="s">
        <v>297</v>
      </c>
      <c r="J400" s="110">
        <v>1457009.38</v>
      </c>
      <c r="K400" s="123">
        <f>IF($J400="","",RANK(J400,$J$400:$J$400,1))</f>
        <v>1</v>
      </c>
      <c r="L400" s="110">
        <f>J400</f>
        <v>1457009.38</v>
      </c>
      <c r="M400" s="123">
        <f>IF($L400="","",RANK(L400,$L$400:$L$400,1))</f>
        <v>1</v>
      </c>
      <c r="N400" s="110">
        <f>L400</f>
        <v>1457009.38</v>
      </c>
      <c r="O400" s="123">
        <f>IF($N400="","",RANK(N400,$N$400:$N$400,1))</f>
        <v>1</v>
      </c>
      <c r="P400" s="105" t="s">
        <v>276</v>
      </c>
      <c r="Q400" s="124">
        <f>IF($P400="Yes",IF($N400&gt;0,$N400,IF($L400&gt;0,$L400,IF($J400&gt;0,$J400,""))),"")</f>
        <v>1457009.38</v>
      </c>
      <c r="R400" s="124">
        <f>IFERROR(IF(INT($Q400)&gt;0,$F$399-$Q400,""),"")</f>
        <v>559269.93000000017</v>
      </c>
      <c r="S400" s="109"/>
    </row>
    <row r="401" spans="2:19" x14ac:dyDescent="0.25">
      <c r="B401" s="148">
        <v>69</v>
      </c>
      <c r="C401" s="149" t="s">
        <v>44</v>
      </c>
      <c r="D401" s="149" t="s">
        <v>96</v>
      </c>
      <c r="E401" s="148" t="s">
        <v>244</v>
      </c>
      <c r="F401" s="150"/>
      <c r="G401" s="148"/>
      <c r="H401" s="151"/>
      <c r="I401" s="151"/>
      <c r="J401" s="96" t="str">
        <f>_xlfn.XLOOKUP(1,$K$402:$K$407,$I$402:$I$407, "-", 0)</f>
        <v>-</v>
      </c>
      <c r="K401" s="151"/>
      <c r="L401" s="96" t="str">
        <f>_xlfn.XLOOKUP(1,$M$402:$M$407,$I$402:$I$407, "-", 0)</f>
        <v>-</v>
      </c>
      <c r="M401" s="151"/>
      <c r="N401" s="96" t="str">
        <f>_xlfn.XLOOKUP(1,$O$402:$O$407,$I$402:$I$407, "-", 0)</f>
        <v>-</v>
      </c>
      <c r="O401" s="151"/>
      <c r="P401" s="97" t="str">
        <f>IF(COUNTIF($P$402:$P$407,"Yes")&gt;0,"Yes","")</f>
        <v/>
      </c>
      <c r="Q401" s="96">
        <f>SUM($Q$402:$Q$407)</f>
        <v>0</v>
      </c>
      <c r="R401" s="96" t="str">
        <f>IF($Q$401&gt;0,$F$401-$Q$401,"")</f>
        <v/>
      </c>
      <c r="S401" s="151"/>
    </row>
    <row r="402" spans="2:19" x14ac:dyDescent="0.25">
      <c r="B402" s="152"/>
      <c r="C402" s="143"/>
      <c r="D402" s="143"/>
      <c r="E402" s="152"/>
      <c r="F402" s="153"/>
      <c r="G402" s="152"/>
      <c r="H402" s="90">
        <v>1</v>
      </c>
      <c r="I402" s="98"/>
      <c r="J402" s="99"/>
      <c r="K402" s="121" t="str">
        <f t="shared" ref="K402:K407" si="140">IF($J402="","",RANK(J402,$J$402:$J$407,1))</f>
        <v/>
      </c>
      <c r="L402" s="99"/>
      <c r="M402" s="121" t="str">
        <f t="shared" ref="M402:M407" si="141">IF($L402="","",RANK(L402,$L$402:$L$407,1))</f>
        <v/>
      </c>
      <c r="N402" s="99"/>
      <c r="O402" s="121" t="str">
        <f t="shared" ref="O402:O407" si="142">IF($N402="","",RANK(N402,$N$402:$N$407,1))</f>
        <v/>
      </c>
      <c r="P402" s="91"/>
      <c r="Q402" s="122" t="str">
        <f t="shared" ref="Q402:Q407" si="143">IF($P402="Yes",IF($N402&gt;0,$N402,IF($L402&gt;0,$L402,IF($J402&gt;0,$J402,""))),"")</f>
        <v/>
      </c>
      <c r="R402" s="122" t="str">
        <f t="shared" ref="R402:R407" si="144">IFERROR(IF(INT($Q402)&gt;0,$F$401-$Q402,""),"")</f>
        <v/>
      </c>
      <c r="S402" s="98"/>
    </row>
    <row r="403" spans="2:19" x14ac:dyDescent="0.25">
      <c r="B403" s="152"/>
      <c r="C403" s="143"/>
      <c r="D403" s="143"/>
      <c r="E403" s="152"/>
      <c r="F403" s="153"/>
      <c r="G403" s="152"/>
      <c r="H403" s="90">
        <v>2</v>
      </c>
      <c r="I403" s="98"/>
      <c r="J403" s="99"/>
      <c r="K403" s="121" t="str">
        <f t="shared" si="140"/>
        <v/>
      </c>
      <c r="L403" s="99"/>
      <c r="M403" s="121" t="str">
        <f t="shared" si="141"/>
        <v/>
      </c>
      <c r="N403" s="99"/>
      <c r="O403" s="121" t="str">
        <f t="shared" si="142"/>
        <v/>
      </c>
      <c r="P403" s="91"/>
      <c r="Q403" s="122" t="str">
        <f t="shared" si="143"/>
        <v/>
      </c>
      <c r="R403" s="122" t="str">
        <f t="shared" si="144"/>
        <v/>
      </c>
      <c r="S403" s="98"/>
    </row>
    <row r="404" spans="2:19" x14ac:dyDescent="0.25">
      <c r="B404" s="152"/>
      <c r="C404" s="143"/>
      <c r="D404" s="143"/>
      <c r="E404" s="152"/>
      <c r="F404" s="153"/>
      <c r="G404" s="152"/>
      <c r="H404" s="90">
        <v>3</v>
      </c>
      <c r="I404" s="98"/>
      <c r="J404" s="99"/>
      <c r="K404" s="121" t="str">
        <f t="shared" si="140"/>
        <v/>
      </c>
      <c r="L404" s="99"/>
      <c r="M404" s="121" t="str">
        <f t="shared" si="141"/>
        <v/>
      </c>
      <c r="N404" s="99"/>
      <c r="O404" s="121" t="str">
        <f t="shared" si="142"/>
        <v/>
      </c>
      <c r="P404" s="91"/>
      <c r="Q404" s="122" t="str">
        <f t="shared" si="143"/>
        <v/>
      </c>
      <c r="R404" s="122" t="str">
        <f t="shared" si="144"/>
        <v/>
      </c>
      <c r="S404" s="98"/>
    </row>
    <row r="405" spans="2:19" x14ac:dyDescent="0.25">
      <c r="B405" s="152"/>
      <c r="C405" s="143"/>
      <c r="D405" s="143"/>
      <c r="E405" s="152"/>
      <c r="F405" s="153"/>
      <c r="G405" s="152"/>
      <c r="H405" s="90">
        <v>4</v>
      </c>
      <c r="I405" s="98"/>
      <c r="J405" s="99"/>
      <c r="K405" s="121" t="str">
        <f t="shared" si="140"/>
        <v/>
      </c>
      <c r="L405" s="99"/>
      <c r="M405" s="121" t="str">
        <f t="shared" si="141"/>
        <v/>
      </c>
      <c r="N405" s="99"/>
      <c r="O405" s="121" t="str">
        <f t="shared" si="142"/>
        <v/>
      </c>
      <c r="P405" s="91"/>
      <c r="Q405" s="122" t="str">
        <f t="shared" si="143"/>
        <v/>
      </c>
      <c r="R405" s="122" t="str">
        <f t="shared" si="144"/>
        <v/>
      </c>
      <c r="S405" s="98"/>
    </row>
    <row r="406" spans="2:19" x14ac:dyDescent="0.25">
      <c r="B406" s="154"/>
      <c r="C406" s="142"/>
      <c r="D406" s="142"/>
      <c r="E406" s="154"/>
      <c r="F406" s="155"/>
      <c r="G406" s="154"/>
      <c r="H406" s="108">
        <v>5</v>
      </c>
      <c r="I406" s="109"/>
      <c r="J406" s="110"/>
      <c r="K406" s="123" t="str">
        <f t="shared" si="140"/>
        <v/>
      </c>
      <c r="L406" s="110"/>
      <c r="M406" s="123" t="str">
        <f t="shared" si="141"/>
        <v/>
      </c>
      <c r="N406" s="110"/>
      <c r="O406" s="123" t="str">
        <f t="shared" si="142"/>
        <v/>
      </c>
      <c r="P406" s="105"/>
      <c r="Q406" s="124" t="str">
        <f t="shared" si="143"/>
        <v/>
      </c>
      <c r="R406" s="124" t="str">
        <f t="shared" si="144"/>
        <v/>
      </c>
      <c r="S406" s="109"/>
    </row>
    <row r="407" spans="2:19" x14ac:dyDescent="0.25">
      <c r="B407" s="152"/>
      <c r="C407" s="143"/>
      <c r="D407" s="143"/>
      <c r="E407" s="152"/>
      <c r="F407" s="153"/>
      <c r="G407" s="152"/>
      <c r="H407" s="90">
        <v>6</v>
      </c>
      <c r="I407" s="98"/>
      <c r="J407" s="99"/>
      <c r="K407" s="121" t="str">
        <f t="shared" si="140"/>
        <v/>
      </c>
      <c r="L407" s="99"/>
      <c r="M407" s="121" t="str">
        <f t="shared" si="141"/>
        <v/>
      </c>
      <c r="N407" s="99"/>
      <c r="O407" s="121" t="str">
        <f t="shared" si="142"/>
        <v/>
      </c>
      <c r="P407" s="91"/>
      <c r="Q407" s="122" t="str">
        <f t="shared" si="143"/>
        <v/>
      </c>
      <c r="R407" s="122" t="str">
        <f t="shared" si="144"/>
        <v/>
      </c>
      <c r="S407" s="98"/>
    </row>
    <row r="408" spans="2:19" x14ac:dyDescent="0.25">
      <c r="B408" s="156">
        <v>71</v>
      </c>
      <c r="C408" s="157" t="s">
        <v>44</v>
      </c>
      <c r="D408" s="157" t="s">
        <v>97</v>
      </c>
      <c r="E408" s="156" t="s">
        <v>245</v>
      </c>
      <c r="F408" s="158"/>
      <c r="G408" s="156" t="s">
        <v>276</v>
      </c>
      <c r="H408" s="159"/>
      <c r="I408" s="159"/>
      <c r="J408" s="113" t="str">
        <f>_xlfn.XLOOKUP(1,$K$409:$K$415,$I$409:$I$415, "-", 0)</f>
        <v>-</v>
      </c>
      <c r="K408" s="159"/>
      <c r="L408" s="113" t="str">
        <f>_xlfn.XLOOKUP(1,$M$409:$M$415,$I$409:$I$415, "-", 0)</f>
        <v>-</v>
      </c>
      <c r="M408" s="159"/>
      <c r="N408" s="113" t="str">
        <f>_xlfn.XLOOKUP(1,$O$409:$O$415,$I$409:$I$415, "-", 0)</f>
        <v>-</v>
      </c>
      <c r="O408" s="159"/>
      <c r="P408" s="114" t="str">
        <f>IF(COUNTIF($P$409:$P$415,"Yes")&gt;0,"Yes","")</f>
        <v/>
      </c>
      <c r="Q408" s="113">
        <f>SUM($Q$409:$Q$415)</f>
        <v>0</v>
      </c>
      <c r="R408" s="113" t="str">
        <f>IF($Q$408&gt;0,$F$408-$Q$408,"")</f>
        <v/>
      </c>
      <c r="S408" s="159"/>
    </row>
    <row r="409" spans="2:19" x14ac:dyDescent="0.25">
      <c r="B409" s="152"/>
      <c r="C409" s="143"/>
      <c r="D409" s="143"/>
      <c r="E409" s="152"/>
      <c r="F409" s="153"/>
      <c r="G409" s="152"/>
      <c r="H409" s="90">
        <v>1</v>
      </c>
      <c r="I409" s="98"/>
      <c r="J409" s="99"/>
      <c r="K409" s="121" t="str">
        <f t="shared" ref="K409:K415" si="145">IF($J409="","",RANK(J409,$J$409:$J$415,1))</f>
        <v/>
      </c>
      <c r="L409" s="99"/>
      <c r="M409" s="121" t="str">
        <f t="shared" ref="M409:M415" si="146">IF($L409="","",RANK(L409,$L$409:$L$415,1))</f>
        <v/>
      </c>
      <c r="N409" s="99"/>
      <c r="O409" s="121" t="str">
        <f t="shared" ref="O409:O415" si="147">IF($N409="","",RANK(N409,$N$409:$N$415,1))</f>
        <v/>
      </c>
      <c r="P409" s="91"/>
      <c r="Q409" s="122" t="str">
        <f t="shared" ref="Q409:Q415" si="148">IF($P409="Yes",IF($N409&gt;0,$N409,IF($L409&gt;0,$L409,IF($J409&gt;0,$J409,""))),"")</f>
        <v/>
      </c>
      <c r="R409" s="122" t="str">
        <f t="shared" ref="R409:R415" si="149">IFERROR(IF(INT($Q409)&gt;0,$F$408-$Q409,""),"")</f>
        <v/>
      </c>
      <c r="S409" s="98"/>
    </row>
    <row r="410" spans="2:19" x14ac:dyDescent="0.25">
      <c r="B410" s="152"/>
      <c r="C410" s="143"/>
      <c r="D410" s="143"/>
      <c r="E410" s="152"/>
      <c r="F410" s="153"/>
      <c r="G410" s="152"/>
      <c r="H410" s="90">
        <v>2</v>
      </c>
      <c r="I410" s="98"/>
      <c r="J410" s="99"/>
      <c r="K410" s="121" t="str">
        <f t="shared" si="145"/>
        <v/>
      </c>
      <c r="L410" s="99"/>
      <c r="M410" s="121" t="str">
        <f t="shared" si="146"/>
        <v/>
      </c>
      <c r="N410" s="99"/>
      <c r="O410" s="121" t="str">
        <f t="shared" si="147"/>
        <v/>
      </c>
      <c r="P410" s="91"/>
      <c r="Q410" s="122" t="str">
        <f t="shared" si="148"/>
        <v/>
      </c>
      <c r="R410" s="122" t="str">
        <f t="shared" si="149"/>
        <v/>
      </c>
      <c r="S410" s="98"/>
    </row>
    <row r="411" spans="2:19" x14ac:dyDescent="0.25">
      <c r="B411" s="152"/>
      <c r="C411" s="143"/>
      <c r="D411" s="143"/>
      <c r="E411" s="152"/>
      <c r="F411" s="153"/>
      <c r="G411" s="152"/>
      <c r="H411" s="90">
        <v>3</v>
      </c>
      <c r="I411" s="98"/>
      <c r="J411" s="99"/>
      <c r="K411" s="121" t="str">
        <f t="shared" si="145"/>
        <v/>
      </c>
      <c r="L411" s="99"/>
      <c r="M411" s="121" t="str">
        <f t="shared" si="146"/>
        <v/>
      </c>
      <c r="N411" s="99"/>
      <c r="O411" s="121" t="str">
        <f t="shared" si="147"/>
        <v/>
      </c>
      <c r="P411" s="91"/>
      <c r="Q411" s="122" t="str">
        <f t="shared" si="148"/>
        <v/>
      </c>
      <c r="R411" s="122" t="str">
        <f t="shared" si="149"/>
        <v/>
      </c>
      <c r="S411" s="98"/>
    </row>
    <row r="412" spans="2:19" x14ac:dyDescent="0.25">
      <c r="B412" s="152"/>
      <c r="C412" s="143"/>
      <c r="D412" s="143"/>
      <c r="E412" s="152"/>
      <c r="F412" s="153"/>
      <c r="G412" s="152"/>
      <c r="H412" s="90">
        <v>4</v>
      </c>
      <c r="I412" s="98"/>
      <c r="J412" s="99"/>
      <c r="K412" s="121" t="str">
        <f t="shared" si="145"/>
        <v/>
      </c>
      <c r="L412" s="99"/>
      <c r="M412" s="121" t="str">
        <f t="shared" si="146"/>
        <v/>
      </c>
      <c r="N412" s="99"/>
      <c r="O412" s="121" t="str">
        <f t="shared" si="147"/>
        <v/>
      </c>
      <c r="P412" s="91"/>
      <c r="Q412" s="122" t="str">
        <f t="shared" si="148"/>
        <v/>
      </c>
      <c r="R412" s="122" t="str">
        <f t="shared" si="149"/>
        <v/>
      </c>
      <c r="S412" s="98"/>
    </row>
    <row r="413" spans="2:19" x14ac:dyDescent="0.25">
      <c r="B413" s="152"/>
      <c r="C413" s="143"/>
      <c r="D413" s="143"/>
      <c r="E413" s="152"/>
      <c r="F413" s="153"/>
      <c r="G413" s="152"/>
      <c r="H413" s="90">
        <v>5</v>
      </c>
      <c r="I413" s="98"/>
      <c r="J413" s="99"/>
      <c r="K413" s="121" t="str">
        <f t="shared" si="145"/>
        <v/>
      </c>
      <c r="L413" s="99"/>
      <c r="M413" s="121" t="str">
        <f t="shared" si="146"/>
        <v/>
      </c>
      <c r="N413" s="99"/>
      <c r="O413" s="121" t="str">
        <f t="shared" si="147"/>
        <v/>
      </c>
      <c r="P413" s="91"/>
      <c r="Q413" s="122" t="str">
        <f t="shared" si="148"/>
        <v/>
      </c>
      <c r="R413" s="122" t="str">
        <f t="shared" si="149"/>
        <v/>
      </c>
      <c r="S413" s="98"/>
    </row>
    <row r="414" spans="2:19" x14ac:dyDescent="0.25">
      <c r="B414" s="154"/>
      <c r="C414" s="142"/>
      <c r="D414" s="142"/>
      <c r="E414" s="154"/>
      <c r="F414" s="155"/>
      <c r="G414" s="154"/>
      <c r="H414" s="108">
        <v>6</v>
      </c>
      <c r="I414" s="109"/>
      <c r="J414" s="110"/>
      <c r="K414" s="123" t="str">
        <f t="shared" si="145"/>
        <v/>
      </c>
      <c r="L414" s="110"/>
      <c r="M414" s="123" t="str">
        <f t="shared" si="146"/>
        <v/>
      </c>
      <c r="N414" s="110"/>
      <c r="O414" s="123" t="str">
        <f t="shared" si="147"/>
        <v/>
      </c>
      <c r="P414" s="105"/>
      <c r="Q414" s="124" t="str">
        <f t="shared" si="148"/>
        <v/>
      </c>
      <c r="R414" s="124" t="str">
        <f t="shared" si="149"/>
        <v/>
      </c>
      <c r="S414" s="109"/>
    </row>
    <row r="415" spans="2:19" x14ac:dyDescent="0.25">
      <c r="B415" s="152"/>
      <c r="C415" s="143"/>
      <c r="D415" s="143"/>
      <c r="E415" s="152"/>
      <c r="F415" s="153"/>
      <c r="G415" s="152"/>
      <c r="H415" s="90">
        <v>7</v>
      </c>
      <c r="I415" s="98"/>
      <c r="J415" s="99"/>
      <c r="K415" s="121" t="str">
        <f t="shared" si="145"/>
        <v/>
      </c>
      <c r="L415" s="99"/>
      <c r="M415" s="121" t="str">
        <f t="shared" si="146"/>
        <v/>
      </c>
      <c r="N415" s="99"/>
      <c r="O415" s="121" t="str">
        <f t="shared" si="147"/>
        <v/>
      </c>
      <c r="P415" s="91"/>
      <c r="Q415" s="122" t="str">
        <f t="shared" si="148"/>
        <v/>
      </c>
      <c r="R415" s="122" t="str">
        <f t="shared" si="149"/>
        <v/>
      </c>
      <c r="S415" s="98"/>
    </row>
    <row r="416" spans="2:19" x14ac:dyDescent="0.25">
      <c r="B416" s="156">
        <v>73</v>
      </c>
      <c r="C416" s="157" t="s">
        <v>44</v>
      </c>
      <c r="D416" s="157" t="s">
        <v>246</v>
      </c>
      <c r="E416" s="156" t="s">
        <v>247</v>
      </c>
      <c r="F416" s="158"/>
      <c r="G416" s="156"/>
      <c r="H416" s="159"/>
      <c r="I416" s="159"/>
      <c r="J416" s="113" t="str">
        <f>_xlfn.XLOOKUP(1,$K$417:$K$425,$I$417:$I$425, "-", 0)</f>
        <v>-</v>
      </c>
      <c r="K416" s="159"/>
      <c r="L416" s="113" t="str">
        <f>_xlfn.XLOOKUP(1,$M$417:$M$425,$I$417:$I$425, "-", 0)</f>
        <v>-</v>
      </c>
      <c r="M416" s="159"/>
      <c r="N416" s="113" t="str">
        <f>_xlfn.XLOOKUP(1,$O$417:$O$425,$I$417:$I$425, "-", 0)</f>
        <v>-</v>
      </c>
      <c r="O416" s="159"/>
      <c r="P416" s="114" t="str">
        <f>IF(COUNTIF($P$417:$P$425,"Yes")&gt;0,"Yes","")</f>
        <v/>
      </c>
      <c r="Q416" s="113">
        <f>SUM($Q$417:$Q$425)</f>
        <v>0</v>
      </c>
      <c r="R416" s="113" t="str">
        <f>IF($Q$416&gt;0,$F$416-$Q$416,"")</f>
        <v/>
      </c>
      <c r="S416" s="159"/>
    </row>
    <row r="417" spans="2:19" x14ac:dyDescent="0.25">
      <c r="B417" s="152"/>
      <c r="C417" s="143"/>
      <c r="D417" s="143"/>
      <c r="E417" s="152"/>
      <c r="F417" s="153"/>
      <c r="G417" s="152"/>
      <c r="H417" s="90">
        <v>1</v>
      </c>
      <c r="I417" s="98"/>
      <c r="J417" s="99"/>
      <c r="K417" s="121" t="str">
        <f t="shared" ref="K417:K425" si="150">IF($J417="","",RANK(J417,$J$417:$J$425,1))</f>
        <v/>
      </c>
      <c r="L417" s="99"/>
      <c r="M417" s="121" t="str">
        <f t="shared" ref="M417:M425" si="151">IF($L417="","",RANK(L417,$L$417:$L$425,1))</f>
        <v/>
      </c>
      <c r="N417" s="99"/>
      <c r="O417" s="121" t="str">
        <f t="shared" ref="O417:O425" si="152">IF($N417="","",RANK(N417,$N$417:$N$425,1))</f>
        <v/>
      </c>
      <c r="P417" s="91"/>
      <c r="Q417" s="122" t="str">
        <f t="shared" ref="Q417:Q425" si="153">IF($P417="Yes",IF($N417&gt;0,$N417,IF($L417&gt;0,$L417,IF($J417&gt;0,$J417,""))),"")</f>
        <v/>
      </c>
      <c r="R417" s="122" t="str">
        <f t="shared" ref="R417:R425" si="154">IFERROR(IF(INT($Q417)&gt;0,$F$416-$Q417,""),"")</f>
        <v/>
      </c>
      <c r="S417" s="98"/>
    </row>
    <row r="418" spans="2:19" x14ac:dyDescent="0.25">
      <c r="B418" s="152"/>
      <c r="C418" s="143"/>
      <c r="D418" s="143"/>
      <c r="E418" s="152"/>
      <c r="F418" s="153"/>
      <c r="G418" s="152"/>
      <c r="H418" s="90">
        <v>2</v>
      </c>
      <c r="I418" s="98"/>
      <c r="J418" s="99"/>
      <c r="K418" s="121" t="str">
        <f t="shared" si="150"/>
        <v/>
      </c>
      <c r="L418" s="99"/>
      <c r="M418" s="121" t="str">
        <f t="shared" si="151"/>
        <v/>
      </c>
      <c r="N418" s="99"/>
      <c r="O418" s="121" t="str">
        <f t="shared" si="152"/>
        <v/>
      </c>
      <c r="P418" s="91"/>
      <c r="Q418" s="122" t="str">
        <f t="shared" si="153"/>
        <v/>
      </c>
      <c r="R418" s="122" t="str">
        <f t="shared" si="154"/>
        <v/>
      </c>
      <c r="S418" s="98"/>
    </row>
    <row r="419" spans="2:19" x14ac:dyDescent="0.25">
      <c r="B419" s="152"/>
      <c r="C419" s="143"/>
      <c r="D419" s="143"/>
      <c r="E419" s="152"/>
      <c r="F419" s="153"/>
      <c r="G419" s="152"/>
      <c r="H419" s="90">
        <v>3</v>
      </c>
      <c r="I419" s="98"/>
      <c r="J419" s="99"/>
      <c r="K419" s="121" t="str">
        <f t="shared" si="150"/>
        <v/>
      </c>
      <c r="L419" s="99"/>
      <c r="M419" s="121" t="str">
        <f t="shared" si="151"/>
        <v/>
      </c>
      <c r="N419" s="99"/>
      <c r="O419" s="121" t="str">
        <f t="shared" si="152"/>
        <v/>
      </c>
      <c r="P419" s="91"/>
      <c r="Q419" s="122" t="str">
        <f t="shared" si="153"/>
        <v/>
      </c>
      <c r="R419" s="122" t="str">
        <f t="shared" si="154"/>
        <v/>
      </c>
      <c r="S419" s="98"/>
    </row>
    <row r="420" spans="2:19" x14ac:dyDescent="0.25">
      <c r="B420" s="152"/>
      <c r="C420" s="143"/>
      <c r="D420" s="143"/>
      <c r="E420" s="152"/>
      <c r="F420" s="153"/>
      <c r="G420" s="152"/>
      <c r="H420" s="90">
        <v>4</v>
      </c>
      <c r="I420" s="98"/>
      <c r="J420" s="99"/>
      <c r="K420" s="121" t="str">
        <f t="shared" si="150"/>
        <v/>
      </c>
      <c r="L420" s="99"/>
      <c r="M420" s="121" t="str">
        <f t="shared" si="151"/>
        <v/>
      </c>
      <c r="N420" s="99"/>
      <c r="O420" s="121" t="str">
        <f t="shared" si="152"/>
        <v/>
      </c>
      <c r="P420" s="91"/>
      <c r="Q420" s="122" t="str">
        <f t="shared" si="153"/>
        <v/>
      </c>
      <c r="R420" s="122" t="str">
        <f t="shared" si="154"/>
        <v/>
      </c>
      <c r="S420" s="98"/>
    </row>
    <row r="421" spans="2:19" x14ac:dyDescent="0.25">
      <c r="B421" s="152"/>
      <c r="C421" s="143"/>
      <c r="D421" s="143"/>
      <c r="E421" s="152"/>
      <c r="F421" s="153"/>
      <c r="G421" s="152"/>
      <c r="H421" s="90">
        <v>5</v>
      </c>
      <c r="I421" s="98"/>
      <c r="J421" s="99"/>
      <c r="K421" s="121" t="str">
        <f t="shared" si="150"/>
        <v/>
      </c>
      <c r="L421" s="99"/>
      <c r="M421" s="121" t="str">
        <f t="shared" si="151"/>
        <v/>
      </c>
      <c r="N421" s="99"/>
      <c r="O421" s="121" t="str">
        <f t="shared" si="152"/>
        <v/>
      </c>
      <c r="P421" s="91"/>
      <c r="Q421" s="122" t="str">
        <f t="shared" si="153"/>
        <v/>
      </c>
      <c r="R421" s="122" t="str">
        <f t="shared" si="154"/>
        <v/>
      </c>
      <c r="S421" s="98"/>
    </row>
    <row r="422" spans="2:19" x14ac:dyDescent="0.25">
      <c r="B422" s="152"/>
      <c r="C422" s="143"/>
      <c r="D422" s="143"/>
      <c r="E422" s="152"/>
      <c r="F422" s="153"/>
      <c r="G422" s="152"/>
      <c r="H422" s="90">
        <v>6</v>
      </c>
      <c r="I422" s="98"/>
      <c r="J422" s="99"/>
      <c r="K422" s="121" t="str">
        <f t="shared" si="150"/>
        <v/>
      </c>
      <c r="L422" s="99"/>
      <c r="M422" s="121" t="str">
        <f t="shared" si="151"/>
        <v/>
      </c>
      <c r="N422" s="99"/>
      <c r="O422" s="121" t="str">
        <f t="shared" si="152"/>
        <v/>
      </c>
      <c r="P422" s="91"/>
      <c r="Q422" s="122" t="str">
        <f t="shared" si="153"/>
        <v/>
      </c>
      <c r="R422" s="122" t="str">
        <f t="shared" si="154"/>
        <v/>
      </c>
      <c r="S422" s="98"/>
    </row>
    <row r="423" spans="2:19" x14ac:dyDescent="0.25">
      <c r="B423" s="152"/>
      <c r="C423" s="143"/>
      <c r="D423" s="143"/>
      <c r="E423" s="152"/>
      <c r="F423" s="153"/>
      <c r="G423" s="152"/>
      <c r="H423" s="90">
        <v>7</v>
      </c>
      <c r="I423" s="98"/>
      <c r="J423" s="99"/>
      <c r="K423" s="121" t="str">
        <f t="shared" si="150"/>
        <v/>
      </c>
      <c r="L423" s="99"/>
      <c r="M423" s="121" t="str">
        <f t="shared" si="151"/>
        <v/>
      </c>
      <c r="N423" s="99"/>
      <c r="O423" s="121" t="str">
        <f t="shared" si="152"/>
        <v/>
      </c>
      <c r="P423" s="91"/>
      <c r="Q423" s="122" t="str">
        <f t="shared" si="153"/>
        <v/>
      </c>
      <c r="R423" s="122" t="str">
        <f t="shared" si="154"/>
        <v/>
      </c>
      <c r="S423" s="98"/>
    </row>
    <row r="424" spans="2:19" x14ac:dyDescent="0.25">
      <c r="B424" s="152"/>
      <c r="C424" s="143"/>
      <c r="D424" s="143"/>
      <c r="E424" s="152"/>
      <c r="F424" s="153"/>
      <c r="G424" s="152"/>
      <c r="H424" s="90">
        <v>8</v>
      </c>
      <c r="I424" s="98"/>
      <c r="J424" s="99"/>
      <c r="K424" s="121" t="str">
        <f t="shared" si="150"/>
        <v/>
      </c>
      <c r="L424" s="99"/>
      <c r="M424" s="121" t="str">
        <f t="shared" si="151"/>
        <v/>
      </c>
      <c r="N424" s="99"/>
      <c r="O424" s="121" t="str">
        <f t="shared" si="152"/>
        <v/>
      </c>
      <c r="P424" s="91"/>
      <c r="Q424" s="122" t="str">
        <f t="shared" si="153"/>
        <v/>
      </c>
      <c r="R424" s="122" t="str">
        <f t="shared" si="154"/>
        <v/>
      </c>
      <c r="S424" s="98"/>
    </row>
    <row r="425" spans="2:19" x14ac:dyDescent="0.25">
      <c r="B425" s="154"/>
      <c r="C425" s="142"/>
      <c r="D425" s="142"/>
      <c r="E425" s="154"/>
      <c r="F425" s="155"/>
      <c r="G425" s="154"/>
      <c r="H425" s="108">
        <v>9</v>
      </c>
      <c r="I425" s="109"/>
      <c r="J425" s="110"/>
      <c r="K425" s="123" t="str">
        <f t="shared" si="150"/>
        <v/>
      </c>
      <c r="L425" s="110"/>
      <c r="M425" s="123" t="str">
        <f t="shared" si="151"/>
        <v/>
      </c>
      <c r="N425" s="110"/>
      <c r="O425" s="123" t="str">
        <f t="shared" si="152"/>
        <v/>
      </c>
      <c r="P425" s="105"/>
      <c r="Q425" s="124" t="str">
        <f t="shared" si="153"/>
        <v/>
      </c>
      <c r="R425" s="124" t="str">
        <f t="shared" si="154"/>
        <v/>
      </c>
      <c r="S425" s="109"/>
    </row>
    <row r="426" spans="2:19" x14ac:dyDescent="0.25">
      <c r="B426" s="148">
        <v>74</v>
      </c>
      <c r="C426" s="149" t="s">
        <v>44</v>
      </c>
      <c r="D426" s="149" t="s">
        <v>248</v>
      </c>
      <c r="E426" s="148" t="s">
        <v>247</v>
      </c>
      <c r="F426" s="150"/>
      <c r="G426" s="148"/>
      <c r="H426" s="151"/>
      <c r="I426" s="151"/>
      <c r="J426" s="96" t="str">
        <f>_xlfn.XLOOKUP(1,$K$427:$K$435,$I$427:$I$435, "-", 0)</f>
        <v>-</v>
      </c>
      <c r="K426" s="151"/>
      <c r="L426" s="96" t="str">
        <f>_xlfn.XLOOKUP(1,$M$427:$M$435,$I$427:$I$435, "-", 0)</f>
        <v>-</v>
      </c>
      <c r="M426" s="151"/>
      <c r="N426" s="96" t="str">
        <f>_xlfn.XLOOKUP(1,$O$427:$O$435,$I$427:$I$435, "-", 0)</f>
        <v>-</v>
      </c>
      <c r="O426" s="151"/>
      <c r="P426" s="97" t="str">
        <f>IF(COUNTIF($P$427:$P$435,"Yes")&gt;0,"Yes","")</f>
        <v/>
      </c>
      <c r="Q426" s="96">
        <f>SUM($Q$427:$Q$435)</f>
        <v>0</v>
      </c>
      <c r="R426" s="96" t="str">
        <f>IF($Q$426&gt;0,$F$426-$Q$426,"")</f>
        <v/>
      </c>
      <c r="S426" s="151"/>
    </row>
    <row r="427" spans="2:19" x14ac:dyDescent="0.25">
      <c r="B427" s="152"/>
      <c r="C427" s="143"/>
      <c r="D427" s="143"/>
      <c r="E427" s="152"/>
      <c r="F427" s="153"/>
      <c r="G427" s="152"/>
      <c r="H427" s="90">
        <v>1</v>
      </c>
      <c r="I427" s="98"/>
      <c r="J427" s="99"/>
      <c r="K427" s="121" t="str">
        <f t="shared" ref="K427:K435" si="155">IF($J427="","",RANK(J427,$J$427:$J$435,1))</f>
        <v/>
      </c>
      <c r="L427" s="99"/>
      <c r="M427" s="121" t="str">
        <f t="shared" ref="M427:M435" si="156">IF($L427="","",RANK(L427,$L$427:$L$435,1))</f>
        <v/>
      </c>
      <c r="N427" s="99"/>
      <c r="O427" s="121" t="str">
        <f t="shared" ref="O427:O435" si="157">IF($N427="","",RANK(N427,$N$427:$N$435,1))</f>
        <v/>
      </c>
      <c r="P427" s="91"/>
      <c r="Q427" s="122" t="str">
        <f t="shared" ref="Q427:Q435" si="158">IF($P427="Yes",IF($N427&gt;0,$N427,IF($L427&gt;0,$L427,IF($J427&gt;0,$J427,""))),"")</f>
        <v/>
      </c>
      <c r="R427" s="122" t="str">
        <f t="shared" ref="R427:R435" si="159">IFERROR(IF(INT($Q427)&gt;0,$F$426-$Q427,""),"")</f>
        <v/>
      </c>
      <c r="S427" s="98"/>
    </row>
    <row r="428" spans="2:19" x14ac:dyDescent="0.25">
      <c r="B428" s="152"/>
      <c r="C428" s="143"/>
      <c r="D428" s="143"/>
      <c r="E428" s="152"/>
      <c r="F428" s="153"/>
      <c r="G428" s="152"/>
      <c r="H428" s="90">
        <v>2</v>
      </c>
      <c r="I428" s="98"/>
      <c r="J428" s="99"/>
      <c r="K428" s="121" t="str">
        <f t="shared" si="155"/>
        <v/>
      </c>
      <c r="L428" s="99"/>
      <c r="M428" s="121" t="str">
        <f t="shared" si="156"/>
        <v/>
      </c>
      <c r="N428" s="99"/>
      <c r="O428" s="121" t="str">
        <f t="shared" si="157"/>
        <v/>
      </c>
      <c r="P428" s="91"/>
      <c r="Q428" s="122" t="str">
        <f t="shared" si="158"/>
        <v/>
      </c>
      <c r="R428" s="122" t="str">
        <f t="shared" si="159"/>
        <v/>
      </c>
      <c r="S428" s="98"/>
    </row>
    <row r="429" spans="2:19" x14ac:dyDescent="0.25">
      <c r="B429" s="152"/>
      <c r="C429" s="143"/>
      <c r="D429" s="143"/>
      <c r="E429" s="152"/>
      <c r="F429" s="153"/>
      <c r="G429" s="152"/>
      <c r="H429" s="90">
        <v>3</v>
      </c>
      <c r="I429" s="98"/>
      <c r="J429" s="99"/>
      <c r="K429" s="121" t="str">
        <f t="shared" si="155"/>
        <v/>
      </c>
      <c r="L429" s="99"/>
      <c r="M429" s="121" t="str">
        <f t="shared" si="156"/>
        <v/>
      </c>
      <c r="N429" s="99"/>
      <c r="O429" s="121" t="str">
        <f t="shared" si="157"/>
        <v/>
      </c>
      <c r="P429" s="91"/>
      <c r="Q429" s="122" t="str">
        <f t="shared" si="158"/>
        <v/>
      </c>
      <c r="R429" s="122" t="str">
        <f t="shared" si="159"/>
        <v/>
      </c>
      <c r="S429" s="98"/>
    </row>
    <row r="430" spans="2:19" x14ac:dyDescent="0.25">
      <c r="B430" s="152"/>
      <c r="C430" s="143"/>
      <c r="D430" s="143"/>
      <c r="E430" s="152"/>
      <c r="F430" s="153"/>
      <c r="G430" s="152"/>
      <c r="H430" s="90">
        <v>4</v>
      </c>
      <c r="I430" s="98"/>
      <c r="J430" s="99"/>
      <c r="K430" s="121" t="str">
        <f t="shared" si="155"/>
        <v/>
      </c>
      <c r="L430" s="99"/>
      <c r="M430" s="121" t="str">
        <f t="shared" si="156"/>
        <v/>
      </c>
      <c r="N430" s="99"/>
      <c r="O430" s="121" t="str">
        <f t="shared" si="157"/>
        <v/>
      </c>
      <c r="P430" s="91"/>
      <c r="Q430" s="122" t="str">
        <f t="shared" si="158"/>
        <v/>
      </c>
      <c r="R430" s="122" t="str">
        <f t="shared" si="159"/>
        <v/>
      </c>
      <c r="S430" s="98"/>
    </row>
    <row r="431" spans="2:19" x14ac:dyDescent="0.25">
      <c r="B431" s="152"/>
      <c r="C431" s="143"/>
      <c r="D431" s="143"/>
      <c r="E431" s="152"/>
      <c r="F431" s="153"/>
      <c r="G431" s="152"/>
      <c r="H431" s="90">
        <v>5</v>
      </c>
      <c r="I431" s="98"/>
      <c r="J431" s="99"/>
      <c r="K431" s="121" t="str">
        <f t="shared" si="155"/>
        <v/>
      </c>
      <c r="L431" s="99"/>
      <c r="M431" s="121" t="str">
        <f t="shared" si="156"/>
        <v/>
      </c>
      <c r="N431" s="99"/>
      <c r="O431" s="121" t="str">
        <f t="shared" si="157"/>
        <v/>
      </c>
      <c r="P431" s="91"/>
      <c r="Q431" s="122" t="str">
        <f t="shared" si="158"/>
        <v/>
      </c>
      <c r="R431" s="122" t="str">
        <f t="shared" si="159"/>
        <v/>
      </c>
      <c r="S431" s="98"/>
    </row>
    <row r="432" spans="2:19" x14ac:dyDescent="0.25">
      <c r="B432" s="152"/>
      <c r="C432" s="143"/>
      <c r="D432" s="143"/>
      <c r="E432" s="152"/>
      <c r="F432" s="153"/>
      <c r="G432" s="152"/>
      <c r="H432" s="90">
        <v>6</v>
      </c>
      <c r="I432" s="98"/>
      <c r="J432" s="99"/>
      <c r="K432" s="121" t="str">
        <f t="shared" si="155"/>
        <v/>
      </c>
      <c r="L432" s="99"/>
      <c r="M432" s="121" t="str">
        <f t="shared" si="156"/>
        <v/>
      </c>
      <c r="N432" s="99"/>
      <c r="O432" s="121" t="str">
        <f t="shared" si="157"/>
        <v/>
      </c>
      <c r="P432" s="91"/>
      <c r="Q432" s="122" t="str">
        <f t="shared" si="158"/>
        <v/>
      </c>
      <c r="R432" s="122" t="str">
        <f t="shared" si="159"/>
        <v/>
      </c>
      <c r="S432" s="98"/>
    </row>
    <row r="433" spans="2:19" x14ac:dyDescent="0.25">
      <c r="B433" s="152"/>
      <c r="C433" s="143"/>
      <c r="D433" s="143"/>
      <c r="E433" s="152"/>
      <c r="F433" s="153"/>
      <c r="G433" s="152"/>
      <c r="H433" s="90">
        <v>7</v>
      </c>
      <c r="I433" s="98"/>
      <c r="J433" s="99"/>
      <c r="K433" s="121" t="str">
        <f t="shared" si="155"/>
        <v/>
      </c>
      <c r="L433" s="99"/>
      <c r="M433" s="121" t="str">
        <f t="shared" si="156"/>
        <v/>
      </c>
      <c r="N433" s="99"/>
      <c r="O433" s="121" t="str">
        <f t="shared" si="157"/>
        <v/>
      </c>
      <c r="P433" s="91"/>
      <c r="Q433" s="122" t="str">
        <f t="shared" si="158"/>
        <v/>
      </c>
      <c r="R433" s="122" t="str">
        <f t="shared" si="159"/>
        <v/>
      </c>
      <c r="S433" s="98"/>
    </row>
    <row r="434" spans="2:19" x14ac:dyDescent="0.25">
      <c r="B434" s="152"/>
      <c r="C434" s="143"/>
      <c r="D434" s="143"/>
      <c r="E434" s="152"/>
      <c r="F434" s="153"/>
      <c r="G434" s="152"/>
      <c r="H434" s="90">
        <v>8</v>
      </c>
      <c r="I434" s="98"/>
      <c r="J434" s="99"/>
      <c r="K434" s="121" t="str">
        <f t="shared" si="155"/>
        <v/>
      </c>
      <c r="L434" s="99"/>
      <c r="M434" s="121" t="str">
        <f t="shared" si="156"/>
        <v/>
      </c>
      <c r="N434" s="99"/>
      <c r="O434" s="121" t="str">
        <f t="shared" si="157"/>
        <v/>
      </c>
      <c r="P434" s="91"/>
      <c r="Q434" s="122" t="str">
        <f t="shared" si="158"/>
        <v/>
      </c>
      <c r="R434" s="122" t="str">
        <f t="shared" si="159"/>
        <v/>
      </c>
      <c r="S434" s="98"/>
    </row>
    <row r="435" spans="2:19" x14ac:dyDescent="0.25">
      <c r="B435" s="154"/>
      <c r="C435" s="142"/>
      <c r="D435" s="142"/>
      <c r="E435" s="154"/>
      <c r="F435" s="155"/>
      <c r="G435" s="154"/>
      <c r="H435" s="108">
        <v>9</v>
      </c>
      <c r="I435" s="109"/>
      <c r="J435" s="110"/>
      <c r="K435" s="123" t="str">
        <f t="shared" si="155"/>
        <v/>
      </c>
      <c r="L435" s="110"/>
      <c r="M435" s="123" t="str">
        <f t="shared" si="156"/>
        <v/>
      </c>
      <c r="N435" s="110"/>
      <c r="O435" s="123" t="str">
        <f t="shared" si="157"/>
        <v/>
      </c>
      <c r="P435" s="105"/>
      <c r="Q435" s="124" t="str">
        <f t="shared" si="158"/>
        <v/>
      </c>
      <c r="R435" s="124" t="str">
        <f t="shared" si="159"/>
        <v/>
      </c>
      <c r="S435" s="109"/>
    </row>
    <row r="436" spans="2:19" x14ac:dyDescent="0.25">
      <c r="B436" s="148">
        <v>75</v>
      </c>
      <c r="C436" s="149" t="s">
        <v>44</v>
      </c>
      <c r="D436" s="149" t="s">
        <v>100</v>
      </c>
      <c r="E436" s="148" t="s">
        <v>249</v>
      </c>
      <c r="F436" s="150"/>
      <c r="G436" s="148"/>
      <c r="H436" s="151"/>
      <c r="I436" s="151"/>
      <c r="J436" s="96" t="str">
        <f>_xlfn.XLOOKUP(1,$K$437:$K$444,$I$437:$I$444, "-", 0)</f>
        <v>-</v>
      </c>
      <c r="K436" s="151"/>
      <c r="L436" s="96" t="str">
        <f>_xlfn.XLOOKUP(1,$M$437:$M$444,$I$437:$I$444, "-", 0)</f>
        <v>-</v>
      </c>
      <c r="M436" s="151"/>
      <c r="N436" s="96" t="str">
        <f>_xlfn.XLOOKUP(1,$O$437:$O$444,$I$437:$I$444, "-", 0)</f>
        <v>-</v>
      </c>
      <c r="O436" s="151"/>
      <c r="P436" s="97" t="str">
        <f>IF(COUNTIF($P$437:$P$444,"Yes")&gt;0,"Yes","")</f>
        <v/>
      </c>
      <c r="Q436" s="96">
        <f>SUM($Q$437:$Q$444)</f>
        <v>0</v>
      </c>
      <c r="R436" s="96" t="str">
        <f>IF($Q$436&gt;0,$F$436-$Q$436,"")</f>
        <v/>
      </c>
      <c r="S436" s="151"/>
    </row>
    <row r="437" spans="2:19" x14ac:dyDescent="0.25">
      <c r="B437" s="152"/>
      <c r="C437" s="143"/>
      <c r="D437" s="143"/>
      <c r="E437" s="152"/>
      <c r="F437" s="153"/>
      <c r="G437" s="152"/>
      <c r="H437" s="90">
        <v>1</v>
      </c>
      <c r="I437" s="98"/>
      <c r="J437" s="99"/>
      <c r="K437" s="121" t="str">
        <f t="shared" ref="K437:K444" si="160">IF($J437="","",RANK(J437,$J$437:$J$444,1))</f>
        <v/>
      </c>
      <c r="L437" s="99"/>
      <c r="M437" s="121" t="str">
        <f t="shared" ref="M437:M444" si="161">IF($L437="","",RANK(L437,$L$437:$L$444,1))</f>
        <v/>
      </c>
      <c r="N437" s="99"/>
      <c r="O437" s="121" t="str">
        <f t="shared" ref="O437:O444" si="162">IF($N437="","",RANK(N437,$N$437:$N$444,1))</f>
        <v/>
      </c>
      <c r="P437" s="91"/>
      <c r="Q437" s="122" t="str">
        <f t="shared" ref="Q437:Q444" si="163">IF($P437="Yes",IF($N437&gt;0,$N437,IF($L437&gt;0,$L437,IF($J437&gt;0,$J437,""))),"")</f>
        <v/>
      </c>
      <c r="R437" s="122" t="str">
        <f t="shared" ref="R437:R444" si="164">IFERROR(IF(INT($Q437)&gt;0,$F$436-$Q437,""),"")</f>
        <v/>
      </c>
      <c r="S437" s="98"/>
    </row>
    <row r="438" spans="2:19" x14ac:dyDescent="0.25">
      <c r="B438" s="152"/>
      <c r="C438" s="143"/>
      <c r="D438" s="143"/>
      <c r="E438" s="152"/>
      <c r="F438" s="153"/>
      <c r="G438" s="152"/>
      <c r="H438" s="90">
        <v>2</v>
      </c>
      <c r="I438" s="98"/>
      <c r="J438" s="99"/>
      <c r="K438" s="121" t="str">
        <f t="shared" si="160"/>
        <v/>
      </c>
      <c r="L438" s="99"/>
      <c r="M438" s="121" t="str">
        <f t="shared" si="161"/>
        <v/>
      </c>
      <c r="N438" s="99"/>
      <c r="O438" s="121" t="str">
        <f t="shared" si="162"/>
        <v/>
      </c>
      <c r="P438" s="91"/>
      <c r="Q438" s="122" t="str">
        <f t="shared" si="163"/>
        <v/>
      </c>
      <c r="R438" s="122" t="str">
        <f t="shared" si="164"/>
        <v/>
      </c>
      <c r="S438" s="98"/>
    </row>
    <row r="439" spans="2:19" x14ac:dyDescent="0.25">
      <c r="B439" s="152"/>
      <c r="C439" s="143"/>
      <c r="D439" s="143"/>
      <c r="E439" s="152"/>
      <c r="F439" s="153"/>
      <c r="G439" s="152"/>
      <c r="H439" s="90">
        <v>3</v>
      </c>
      <c r="I439" s="98"/>
      <c r="J439" s="99"/>
      <c r="K439" s="121" t="str">
        <f t="shared" si="160"/>
        <v/>
      </c>
      <c r="L439" s="99"/>
      <c r="M439" s="121" t="str">
        <f t="shared" si="161"/>
        <v/>
      </c>
      <c r="N439" s="99"/>
      <c r="O439" s="121" t="str">
        <f t="shared" si="162"/>
        <v/>
      </c>
      <c r="P439" s="91"/>
      <c r="Q439" s="122" t="str">
        <f t="shared" si="163"/>
        <v/>
      </c>
      <c r="R439" s="122" t="str">
        <f t="shared" si="164"/>
        <v/>
      </c>
      <c r="S439" s="98"/>
    </row>
    <row r="440" spans="2:19" x14ac:dyDescent="0.25">
      <c r="B440" s="152"/>
      <c r="C440" s="143"/>
      <c r="D440" s="143"/>
      <c r="E440" s="152"/>
      <c r="F440" s="153"/>
      <c r="G440" s="152"/>
      <c r="H440" s="90">
        <v>4</v>
      </c>
      <c r="I440" s="98"/>
      <c r="J440" s="99"/>
      <c r="K440" s="121" t="str">
        <f t="shared" si="160"/>
        <v/>
      </c>
      <c r="L440" s="99"/>
      <c r="M440" s="121" t="str">
        <f t="shared" si="161"/>
        <v/>
      </c>
      <c r="N440" s="99"/>
      <c r="O440" s="121" t="str">
        <f t="shared" si="162"/>
        <v/>
      </c>
      <c r="P440" s="91"/>
      <c r="Q440" s="122" t="str">
        <f t="shared" si="163"/>
        <v/>
      </c>
      <c r="R440" s="122" t="str">
        <f t="shared" si="164"/>
        <v/>
      </c>
      <c r="S440" s="98"/>
    </row>
    <row r="441" spans="2:19" x14ac:dyDescent="0.25">
      <c r="B441" s="152"/>
      <c r="C441" s="143"/>
      <c r="D441" s="143"/>
      <c r="E441" s="152"/>
      <c r="F441" s="153"/>
      <c r="G441" s="152"/>
      <c r="H441" s="90">
        <v>5</v>
      </c>
      <c r="I441" s="98"/>
      <c r="J441" s="99"/>
      <c r="K441" s="121" t="str">
        <f t="shared" si="160"/>
        <v/>
      </c>
      <c r="L441" s="99"/>
      <c r="M441" s="121" t="str">
        <f t="shared" si="161"/>
        <v/>
      </c>
      <c r="N441" s="99"/>
      <c r="O441" s="121" t="str">
        <f t="shared" si="162"/>
        <v/>
      </c>
      <c r="P441" s="91"/>
      <c r="Q441" s="122" t="str">
        <f t="shared" si="163"/>
        <v/>
      </c>
      <c r="R441" s="122" t="str">
        <f t="shared" si="164"/>
        <v/>
      </c>
      <c r="S441" s="98"/>
    </row>
    <row r="442" spans="2:19" x14ac:dyDescent="0.25">
      <c r="B442" s="152"/>
      <c r="C442" s="143"/>
      <c r="D442" s="143"/>
      <c r="E442" s="152"/>
      <c r="F442" s="153"/>
      <c r="G442" s="152"/>
      <c r="H442" s="90">
        <v>6</v>
      </c>
      <c r="I442" s="98"/>
      <c r="J442" s="99"/>
      <c r="K442" s="121" t="str">
        <f t="shared" si="160"/>
        <v/>
      </c>
      <c r="L442" s="99"/>
      <c r="M442" s="121" t="str">
        <f t="shared" si="161"/>
        <v/>
      </c>
      <c r="N442" s="99"/>
      <c r="O442" s="121" t="str">
        <f t="shared" si="162"/>
        <v/>
      </c>
      <c r="P442" s="91"/>
      <c r="Q442" s="122" t="str">
        <f t="shared" si="163"/>
        <v/>
      </c>
      <c r="R442" s="122" t="str">
        <f t="shared" si="164"/>
        <v/>
      </c>
      <c r="S442" s="98"/>
    </row>
    <row r="443" spans="2:19" x14ac:dyDescent="0.25">
      <c r="B443" s="152"/>
      <c r="C443" s="143"/>
      <c r="D443" s="143"/>
      <c r="E443" s="152"/>
      <c r="F443" s="153"/>
      <c r="G443" s="152"/>
      <c r="H443" s="90">
        <v>7</v>
      </c>
      <c r="I443" s="98"/>
      <c r="J443" s="99"/>
      <c r="K443" s="121" t="str">
        <f t="shared" si="160"/>
        <v/>
      </c>
      <c r="L443" s="99"/>
      <c r="M443" s="121" t="str">
        <f t="shared" si="161"/>
        <v/>
      </c>
      <c r="N443" s="99"/>
      <c r="O443" s="121" t="str">
        <f t="shared" si="162"/>
        <v/>
      </c>
      <c r="P443" s="91"/>
      <c r="Q443" s="122" t="str">
        <f t="shared" si="163"/>
        <v/>
      </c>
      <c r="R443" s="122" t="str">
        <f t="shared" si="164"/>
        <v/>
      </c>
      <c r="S443" s="98"/>
    </row>
    <row r="444" spans="2:19" x14ac:dyDescent="0.25">
      <c r="B444" s="154"/>
      <c r="C444" s="142"/>
      <c r="D444" s="142"/>
      <c r="E444" s="154"/>
      <c r="F444" s="155"/>
      <c r="G444" s="154"/>
      <c r="H444" s="108">
        <v>8</v>
      </c>
      <c r="I444" s="109"/>
      <c r="J444" s="110"/>
      <c r="K444" s="123" t="str">
        <f t="shared" si="160"/>
        <v/>
      </c>
      <c r="L444" s="110"/>
      <c r="M444" s="123" t="str">
        <f t="shared" si="161"/>
        <v/>
      </c>
      <c r="N444" s="110"/>
      <c r="O444" s="123" t="str">
        <f t="shared" si="162"/>
        <v/>
      </c>
      <c r="P444" s="105"/>
      <c r="Q444" s="124" t="str">
        <f t="shared" si="163"/>
        <v/>
      </c>
      <c r="R444" s="124" t="str">
        <f t="shared" si="164"/>
        <v/>
      </c>
      <c r="S444" s="109"/>
    </row>
    <row r="445" spans="2:19" x14ac:dyDescent="0.25">
      <c r="B445" s="148">
        <v>76</v>
      </c>
      <c r="C445" s="149" t="s">
        <v>44</v>
      </c>
      <c r="D445" s="149" t="s">
        <v>101</v>
      </c>
      <c r="E445" s="148" t="s">
        <v>249</v>
      </c>
      <c r="F445" s="150"/>
      <c r="G445" s="148"/>
      <c r="H445" s="151"/>
      <c r="I445" s="151"/>
      <c r="J445" s="96" t="str">
        <f>_xlfn.XLOOKUP(1,$K$446:$K$453,$I$446:$I$453, "-", 0)</f>
        <v>-</v>
      </c>
      <c r="K445" s="151"/>
      <c r="L445" s="96" t="str">
        <f>_xlfn.XLOOKUP(1,$M$446:$M$453,$I$446:$I$453, "-", 0)</f>
        <v>-</v>
      </c>
      <c r="M445" s="151"/>
      <c r="N445" s="96" t="str">
        <f>_xlfn.XLOOKUP(1,$O$446:$O$453,$I$446:$I$453, "-", 0)</f>
        <v>-</v>
      </c>
      <c r="O445" s="151"/>
      <c r="P445" s="97" t="str">
        <f>IF(COUNTIF($P$446:$P$453,"Yes")&gt;0,"Yes","")</f>
        <v/>
      </c>
      <c r="Q445" s="96">
        <f>SUM($Q$446:$Q$453)</f>
        <v>0</v>
      </c>
      <c r="R445" s="96" t="str">
        <f>IF($Q$445&gt;0,$F$445-$Q$445,"")</f>
        <v/>
      </c>
      <c r="S445" s="151"/>
    </row>
    <row r="446" spans="2:19" x14ac:dyDescent="0.25">
      <c r="B446" s="152"/>
      <c r="C446" s="143"/>
      <c r="D446" s="143"/>
      <c r="E446" s="152"/>
      <c r="F446" s="153"/>
      <c r="G446" s="152"/>
      <c r="H446" s="90">
        <v>1</v>
      </c>
      <c r="I446" s="98"/>
      <c r="J446" s="99"/>
      <c r="K446" s="121" t="str">
        <f t="shared" ref="K446:K453" si="165">IF($J446="","",RANK(J446,$J$446:$J$453,1))</f>
        <v/>
      </c>
      <c r="L446" s="99"/>
      <c r="M446" s="121" t="str">
        <f t="shared" ref="M446:M453" si="166">IF($L446="","",RANK(L446,$L$446:$L$453,1))</f>
        <v/>
      </c>
      <c r="N446" s="99"/>
      <c r="O446" s="121" t="str">
        <f t="shared" ref="O446:O453" si="167">IF($N446="","",RANK(N446,$N$446:$N$453,1))</f>
        <v/>
      </c>
      <c r="P446" s="91"/>
      <c r="Q446" s="122" t="str">
        <f t="shared" ref="Q446:Q453" si="168">IF($P446="Yes",IF($N446&gt;0,$N446,IF($L446&gt;0,$L446,IF($J446&gt;0,$J446,""))),"")</f>
        <v/>
      </c>
      <c r="R446" s="122" t="str">
        <f t="shared" ref="R446:R453" si="169">IFERROR(IF(INT($Q446)&gt;0,$F$445-$Q446,""),"")</f>
        <v/>
      </c>
      <c r="S446" s="98"/>
    </row>
    <row r="447" spans="2:19" x14ac:dyDescent="0.25">
      <c r="B447" s="152"/>
      <c r="C447" s="143"/>
      <c r="D447" s="143"/>
      <c r="E447" s="152"/>
      <c r="F447" s="153"/>
      <c r="G447" s="152"/>
      <c r="H447" s="90">
        <v>2</v>
      </c>
      <c r="I447" s="98"/>
      <c r="J447" s="99"/>
      <c r="K447" s="121" t="str">
        <f t="shared" si="165"/>
        <v/>
      </c>
      <c r="L447" s="99"/>
      <c r="M447" s="121" t="str">
        <f t="shared" si="166"/>
        <v/>
      </c>
      <c r="N447" s="99"/>
      <c r="O447" s="121" t="str">
        <f t="shared" si="167"/>
        <v/>
      </c>
      <c r="P447" s="91"/>
      <c r="Q447" s="122" t="str">
        <f t="shared" si="168"/>
        <v/>
      </c>
      <c r="R447" s="122" t="str">
        <f t="shared" si="169"/>
        <v/>
      </c>
      <c r="S447" s="98"/>
    </row>
    <row r="448" spans="2:19" x14ac:dyDescent="0.25">
      <c r="B448" s="152"/>
      <c r="C448" s="143"/>
      <c r="D448" s="143"/>
      <c r="E448" s="152"/>
      <c r="F448" s="153"/>
      <c r="G448" s="152"/>
      <c r="H448" s="90">
        <v>3</v>
      </c>
      <c r="I448" s="98"/>
      <c r="J448" s="99"/>
      <c r="K448" s="121" t="str">
        <f t="shared" si="165"/>
        <v/>
      </c>
      <c r="L448" s="99"/>
      <c r="M448" s="121" t="str">
        <f t="shared" si="166"/>
        <v/>
      </c>
      <c r="N448" s="99"/>
      <c r="O448" s="121" t="str">
        <f t="shared" si="167"/>
        <v/>
      </c>
      <c r="P448" s="91"/>
      <c r="Q448" s="122" t="str">
        <f t="shared" si="168"/>
        <v/>
      </c>
      <c r="R448" s="122" t="str">
        <f t="shared" si="169"/>
        <v/>
      </c>
      <c r="S448" s="98"/>
    </row>
    <row r="449" spans="2:19" x14ac:dyDescent="0.25">
      <c r="B449" s="152"/>
      <c r="C449" s="143"/>
      <c r="D449" s="143"/>
      <c r="E449" s="152"/>
      <c r="F449" s="153"/>
      <c r="G449" s="152"/>
      <c r="H449" s="90">
        <v>4</v>
      </c>
      <c r="I449" s="98"/>
      <c r="J449" s="99"/>
      <c r="K449" s="121" t="str">
        <f t="shared" si="165"/>
        <v/>
      </c>
      <c r="L449" s="99"/>
      <c r="M449" s="121" t="str">
        <f t="shared" si="166"/>
        <v/>
      </c>
      <c r="N449" s="99"/>
      <c r="O449" s="121" t="str">
        <f t="shared" si="167"/>
        <v/>
      </c>
      <c r="P449" s="91"/>
      <c r="Q449" s="122" t="str">
        <f t="shared" si="168"/>
        <v/>
      </c>
      <c r="R449" s="122" t="str">
        <f t="shared" si="169"/>
        <v/>
      </c>
      <c r="S449" s="98"/>
    </row>
    <row r="450" spans="2:19" x14ac:dyDescent="0.25">
      <c r="B450" s="152"/>
      <c r="C450" s="143"/>
      <c r="D450" s="143"/>
      <c r="E450" s="152"/>
      <c r="F450" s="153"/>
      <c r="G450" s="152"/>
      <c r="H450" s="90">
        <v>5</v>
      </c>
      <c r="I450" s="98"/>
      <c r="J450" s="99"/>
      <c r="K450" s="121" t="str">
        <f t="shared" si="165"/>
        <v/>
      </c>
      <c r="L450" s="99"/>
      <c r="M450" s="121" t="str">
        <f t="shared" si="166"/>
        <v/>
      </c>
      <c r="N450" s="99"/>
      <c r="O450" s="121" t="str">
        <f t="shared" si="167"/>
        <v/>
      </c>
      <c r="P450" s="91"/>
      <c r="Q450" s="122" t="str">
        <f t="shared" si="168"/>
        <v/>
      </c>
      <c r="R450" s="122" t="str">
        <f t="shared" si="169"/>
        <v/>
      </c>
      <c r="S450" s="98"/>
    </row>
    <row r="451" spans="2:19" x14ac:dyDescent="0.25">
      <c r="B451" s="152"/>
      <c r="C451" s="143"/>
      <c r="D451" s="143"/>
      <c r="E451" s="152"/>
      <c r="F451" s="153"/>
      <c r="G451" s="152"/>
      <c r="H451" s="90">
        <v>6</v>
      </c>
      <c r="I451" s="98"/>
      <c r="J451" s="99"/>
      <c r="K451" s="121" t="str">
        <f t="shared" si="165"/>
        <v/>
      </c>
      <c r="L451" s="99"/>
      <c r="M451" s="121" t="str">
        <f t="shared" si="166"/>
        <v/>
      </c>
      <c r="N451" s="99"/>
      <c r="O451" s="121" t="str">
        <f t="shared" si="167"/>
        <v/>
      </c>
      <c r="P451" s="91"/>
      <c r="Q451" s="122" t="str">
        <f t="shared" si="168"/>
        <v/>
      </c>
      <c r="R451" s="122" t="str">
        <f t="shared" si="169"/>
        <v/>
      </c>
      <c r="S451" s="98"/>
    </row>
    <row r="452" spans="2:19" x14ac:dyDescent="0.25">
      <c r="B452" s="152"/>
      <c r="C452" s="143"/>
      <c r="D452" s="143"/>
      <c r="E452" s="152"/>
      <c r="F452" s="153"/>
      <c r="G452" s="152"/>
      <c r="H452" s="90">
        <v>7</v>
      </c>
      <c r="I452" s="98"/>
      <c r="J452" s="99"/>
      <c r="K452" s="121" t="str">
        <f t="shared" si="165"/>
        <v/>
      </c>
      <c r="L452" s="99"/>
      <c r="M452" s="121" t="str">
        <f t="shared" si="166"/>
        <v/>
      </c>
      <c r="N452" s="99"/>
      <c r="O452" s="121" t="str">
        <f t="shared" si="167"/>
        <v/>
      </c>
      <c r="P452" s="91"/>
      <c r="Q452" s="122" t="str">
        <f t="shared" si="168"/>
        <v/>
      </c>
      <c r="R452" s="122" t="str">
        <f t="shared" si="169"/>
        <v/>
      </c>
      <c r="S452" s="98"/>
    </row>
    <row r="453" spans="2:19" x14ac:dyDescent="0.25">
      <c r="B453" s="154"/>
      <c r="C453" s="142"/>
      <c r="D453" s="142"/>
      <c r="E453" s="154"/>
      <c r="F453" s="155"/>
      <c r="G453" s="154"/>
      <c r="H453" s="108">
        <v>8</v>
      </c>
      <c r="I453" s="109"/>
      <c r="J453" s="110"/>
      <c r="K453" s="123" t="str">
        <f t="shared" si="165"/>
        <v/>
      </c>
      <c r="L453" s="110"/>
      <c r="M453" s="123" t="str">
        <f t="shared" si="166"/>
        <v/>
      </c>
      <c r="N453" s="110"/>
      <c r="O453" s="123" t="str">
        <f t="shared" si="167"/>
        <v/>
      </c>
      <c r="P453" s="105"/>
      <c r="Q453" s="124" t="str">
        <f t="shared" si="168"/>
        <v/>
      </c>
      <c r="R453" s="124" t="str">
        <f t="shared" si="169"/>
        <v/>
      </c>
      <c r="S453" s="109"/>
    </row>
    <row r="454" spans="2:19" x14ac:dyDescent="0.25">
      <c r="B454" s="148">
        <v>77</v>
      </c>
      <c r="C454" s="149" t="s">
        <v>44</v>
      </c>
      <c r="D454" s="149" t="s">
        <v>102</v>
      </c>
      <c r="E454" s="148" t="s">
        <v>250</v>
      </c>
      <c r="F454" s="150"/>
      <c r="G454" s="148"/>
      <c r="H454" s="151"/>
      <c r="I454" s="151"/>
      <c r="J454" s="96" t="str">
        <f>_xlfn.XLOOKUP(1,$K$455:$K$460,$I$455:$I$460, "-", 0)</f>
        <v>-</v>
      </c>
      <c r="K454" s="151"/>
      <c r="L454" s="96" t="str">
        <f>_xlfn.XLOOKUP(1,$M$455:$M$460,$I$455:$I$460, "-", 0)</f>
        <v>-</v>
      </c>
      <c r="M454" s="151"/>
      <c r="N454" s="96" t="str">
        <f>_xlfn.XLOOKUP(1,$O$455:$O$460,$I$455:$I$460, "-", 0)</f>
        <v>-</v>
      </c>
      <c r="O454" s="151"/>
      <c r="P454" s="97" t="str">
        <f>IF(COUNTIF($P$455:$P$460,"Yes")&gt;0,"Yes","")</f>
        <v/>
      </c>
      <c r="Q454" s="96">
        <f>SUM($Q$455:$Q$460)</f>
        <v>0</v>
      </c>
      <c r="R454" s="96" t="str">
        <f>IF($Q$454&gt;0,$F$454-$Q$454,"")</f>
        <v/>
      </c>
      <c r="S454" s="151"/>
    </row>
    <row r="455" spans="2:19" x14ac:dyDescent="0.25">
      <c r="B455" s="152"/>
      <c r="C455" s="143"/>
      <c r="D455" s="143"/>
      <c r="E455" s="152"/>
      <c r="F455" s="153"/>
      <c r="G455" s="152"/>
      <c r="H455" s="90">
        <v>1</v>
      </c>
      <c r="I455" s="98"/>
      <c r="J455" s="99"/>
      <c r="K455" s="121" t="str">
        <f t="shared" ref="K455:K460" si="170">IF($J455="","",RANK(J455,$J$455:$J$460,1))</f>
        <v/>
      </c>
      <c r="L455" s="99"/>
      <c r="M455" s="121" t="str">
        <f t="shared" ref="M455:M460" si="171">IF($L455="","",RANK(L455,$L$455:$L$460,1))</f>
        <v/>
      </c>
      <c r="N455" s="99"/>
      <c r="O455" s="121" t="str">
        <f t="shared" ref="O455:O460" si="172">IF($N455="","",RANK(N455,$N$455:$N$460,1))</f>
        <v/>
      </c>
      <c r="P455" s="91"/>
      <c r="Q455" s="122" t="str">
        <f t="shared" ref="Q455:Q460" si="173">IF($P455="Yes",IF($N455&gt;0,$N455,IF($L455&gt;0,$L455,IF($J455&gt;0,$J455,""))),"")</f>
        <v/>
      </c>
      <c r="R455" s="122" t="str">
        <f t="shared" ref="R455:R460" si="174">IFERROR(IF(INT($Q455)&gt;0,$F$454-$Q455,""),"")</f>
        <v/>
      </c>
      <c r="S455" s="98"/>
    </row>
    <row r="456" spans="2:19" x14ac:dyDescent="0.25">
      <c r="B456" s="152"/>
      <c r="C456" s="143"/>
      <c r="D456" s="143"/>
      <c r="E456" s="152"/>
      <c r="F456" s="153"/>
      <c r="G456" s="152"/>
      <c r="H456" s="90">
        <v>2</v>
      </c>
      <c r="I456" s="98"/>
      <c r="J456" s="99"/>
      <c r="K456" s="121" t="str">
        <f t="shared" si="170"/>
        <v/>
      </c>
      <c r="L456" s="99"/>
      <c r="M456" s="121" t="str">
        <f t="shared" si="171"/>
        <v/>
      </c>
      <c r="N456" s="99"/>
      <c r="O456" s="121" t="str">
        <f t="shared" si="172"/>
        <v/>
      </c>
      <c r="P456" s="91"/>
      <c r="Q456" s="122" t="str">
        <f t="shared" si="173"/>
        <v/>
      </c>
      <c r="R456" s="122" t="str">
        <f t="shared" si="174"/>
        <v/>
      </c>
      <c r="S456" s="98"/>
    </row>
    <row r="457" spans="2:19" x14ac:dyDescent="0.25">
      <c r="B457" s="152"/>
      <c r="C457" s="143"/>
      <c r="D457" s="143"/>
      <c r="E457" s="152"/>
      <c r="F457" s="153"/>
      <c r="G457" s="152"/>
      <c r="H457" s="90">
        <v>3</v>
      </c>
      <c r="I457" s="98"/>
      <c r="J457" s="99"/>
      <c r="K457" s="121" t="str">
        <f t="shared" si="170"/>
        <v/>
      </c>
      <c r="L457" s="99"/>
      <c r="M457" s="121" t="str">
        <f t="shared" si="171"/>
        <v/>
      </c>
      <c r="N457" s="99"/>
      <c r="O457" s="121" t="str">
        <f t="shared" si="172"/>
        <v/>
      </c>
      <c r="P457" s="91"/>
      <c r="Q457" s="122" t="str">
        <f t="shared" si="173"/>
        <v/>
      </c>
      <c r="R457" s="122" t="str">
        <f t="shared" si="174"/>
        <v/>
      </c>
      <c r="S457" s="98"/>
    </row>
    <row r="458" spans="2:19" x14ac:dyDescent="0.25">
      <c r="B458" s="152"/>
      <c r="C458" s="143"/>
      <c r="D458" s="143"/>
      <c r="E458" s="152"/>
      <c r="F458" s="153"/>
      <c r="G458" s="152"/>
      <c r="H458" s="90">
        <v>4</v>
      </c>
      <c r="I458" s="98"/>
      <c r="J458" s="99"/>
      <c r="K458" s="121" t="str">
        <f t="shared" si="170"/>
        <v/>
      </c>
      <c r="L458" s="99"/>
      <c r="M458" s="121" t="str">
        <f t="shared" si="171"/>
        <v/>
      </c>
      <c r="N458" s="99"/>
      <c r="O458" s="121" t="str">
        <f t="shared" si="172"/>
        <v/>
      </c>
      <c r="P458" s="91"/>
      <c r="Q458" s="122" t="str">
        <f t="shared" si="173"/>
        <v/>
      </c>
      <c r="R458" s="122" t="str">
        <f t="shared" si="174"/>
        <v/>
      </c>
      <c r="S458" s="98"/>
    </row>
    <row r="459" spans="2:19" x14ac:dyDescent="0.25">
      <c r="B459" s="152"/>
      <c r="C459" s="143"/>
      <c r="D459" s="143"/>
      <c r="E459" s="152"/>
      <c r="F459" s="153"/>
      <c r="G459" s="152"/>
      <c r="H459" s="90">
        <v>5</v>
      </c>
      <c r="I459" s="98"/>
      <c r="J459" s="99"/>
      <c r="K459" s="121" t="str">
        <f t="shared" si="170"/>
        <v/>
      </c>
      <c r="L459" s="99"/>
      <c r="M459" s="121" t="str">
        <f t="shared" si="171"/>
        <v/>
      </c>
      <c r="N459" s="99"/>
      <c r="O459" s="121" t="str">
        <f t="shared" si="172"/>
        <v/>
      </c>
      <c r="P459" s="91"/>
      <c r="Q459" s="122" t="str">
        <f t="shared" si="173"/>
        <v/>
      </c>
      <c r="R459" s="122" t="str">
        <f t="shared" si="174"/>
        <v/>
      </c>
      <c r="S459" s="98"/>
    </row>
    <row r="460" spans="2:19" x14ac:dyDescent="0.25">
      <c r="B460" s="154"/>
      <c r="C460" s="142"/>
      <c r="D460" s="142"/>
      <c r="E460" s="154"/>
      <c r="F460" s="155"/>
      <c r="G460" s="154"/>
      <c r="H460" s="108">
        <v>6</v>
      </c>
      <c r="I460" s="109"/>
      <c r="J460" s="110"/>
      <c r="K460" s="123" t="str">
        <f t="shared" si="170"/>
        <v/>
      </c>
      <c r="L460" s="110"/>
      <c r="M460" s="123" t="str">
        <f t="shared" si="171"/>
        <v/>
      </c>
      <c r="N460" s="110"/>
      <c r="O460" s="123" t="str">
        <f t="shared" si="172"/>
        <v/>
      </c>
      <c r="P460" s="105"/>
      <c r="Q460" s="124" t="str">
        <f t="shared" si="173"/>
        <v/>
      </c>
      <c r="R460" s="124" t="str">
        <f t="shared" si="174"/>
        <v/>
      </c>
      <c r="S460" s="109"/>
    </row>
    <row r="461" spans="2:19" x14ac:dyDescent="0.25">
      <c r="B461" s="148">
        <v>78</v>
      </c>
      <c r="C461" s="149" t="s">
        <v>44</v>
      </c>
      <c r="D461" s="149" t="s">
        <v>103</v>
      </c>
      <c r="E461" s="148" t="s">
        <v>250</v>
      </c>
      <c r="F461" s="150"/>
      <c r="G461" s="148"/>
      <c r="H461" s="151"/>
      <c r="I461" s="151"/>
      <c r="J461" s="96" t="str">
        <f>_xlfn.XLOOKUP(1,$K$462:$K$467,$I$462:$I$467, "-", 0)</f>
        <v>-</v>
      </c>
      <c r="K461" s="151"/>
      <c r="L461" s="96" t="str">
        <f>_xlfn.XLOOKUP(1,$M$462:$M$467,$I$462:$I$467, "-", 0)</f>
        <v>-</v>
      </c>
      <c r="M461" s="151"/>
      <c r="N461" s="96" t="str">
        <f>_xlfn.XLOOKUP(1,$O$462:$O$467,$I$462:$I$467, "-", 0)</f>
        <v>-</v>
      </c>
      <c r="O461" s="151"/>
      <c r="P461" s="97" t="str">
        <f>IF(COUNTIF($P$462:$P$467,"Yes")&gt;0,"Yes","")</f>
        <v/>
      </c>
      <c r="Q461" s="96">
        <f>SUM($Q$462:$Q$467)</f>
        <v>0</v>
      </c>
      <c r="R461" s="96" t="str">
        <f>IF($Q$461&gt;0,$F$461-$Q$461,"")</f>
        <v/>
      </c>
      <c r="S461" s="151"/>
    </row>
    <row r="462" spans="2:19" x14ac:dyDescent="0.25">
      <c r="B462" s="152"/>
      <c r="C462" s="143"/>
      <c r="D462" s="143"/>
      <c r="E462" s="152"/>
      <c r="F462" s="153"/>
      <c r="G462" s="152"/>
      <c r="H462" s="90">
        <v>1</v>
      </c>
      <c r="I462" s="98"/>
      <c r="J462" s="99"/>
      <c r="K462" s="121" t="str">
        <f t="shared" ref="K462:K467" si="175">IF($J462="","",RANK(J462,$J$462:$J$467,1))</f>
        <v/>
      </c>
      <c r="L462" s="99"/>
      <c r="M462" s="121" t="str">
        <f t="shared" ref="M462:M467" si="176">IF($L462="","",RANK(L462,$L$462:$L$467,1))</f>
        <v/>
      </c>
      <c r="N462" s="99"/>
      <c r="O462" s="121" t="str">
        <f t="shared" ref="O462:O467" si="177">IF($N462="","",RANK(N462,$N$462:$N$467,1))</f>
        <v/>
      </c>
      <c r="P462" s="91"/>
      <c r="Q462" s="122" t="str">
        <f t="shared" ref="Q462:Q467" si="178">IF($P462="Yes",IF($N462&gt;0,$N462,IF($L462&gt;0,$L462,IF($J462&gt;0,$J462,""))),"")</f>
        <v/>
      </c>
      <c r="R462" s="122" t="str">
        <f t="shared" ref="R462:R467" si="179">IFERROR(IF(INT($Q462)&gt;0,$F$461-$Q462,""),"")</f>
        <v/>
      </c>
      <c r="S462" s="98"/>
    </row>
    <row r="463" spans="2:19" x14ac:dyDescent="0.25">
      <c r="B463" s="152"/>
      <c r="C463" s="143"/>
      <c r="D463" s="143"/>
      <c r="E463" s="152"/>
      <c r="F463" s="153"/>
      <c r="G463" s="152"/>
      <c r="H463" s="90">
        <v>2</v>
      </c>
      <c r="I463" s="98"/>
      <c r="J463" s="99"/>
      <c r="K463" s="121" t="str">
        <f t="shared" si="175"/>
        <v/>
      </c>
      <c r="L463" s="99"/>
      <c r="M463" s="121" t="str">
        <f t="shared" si="176"/>
        <v/>
      </c>
      <c r="N463" s="99"/>
      <c r="O463" s="121" t="str">
        <f t="shared" si="177"/>
        <v/>
      </c>
      <c r="P463" s="91"/>
      <c r="Q463" s="122" t="str">
        <f t="shared" si="178"/>
        <v/>
      </c>
      <c r="R463" s="122" t="str">
        <f t="shared" si="179"/>
        <v/>
      </c>
      <c r="S463" s="98"/>
    </row>
    <row r="464" spans="2:19" x14ac:dyDescent="0.25">
      <c r="B464" s="152"/>
      <c r="C464" s="143"/>
      <c r="D464" s="143"/>
      <c r="E464" s="152"/>
      <c r="F464" s="153"/>
      <c r="G464" s="152"/>
      <c r="H464" s="90">
        <v>3</v>
      </c>
      <c r="I464" s="98"/>
      <c r="J464" s="99"/>
      <c r="K464" s="121" t="str">
        <f t="shared" si="175"/>
        <v/>
      </c>
      <c r="L464" s="99"/>
      <c r="M464" s="121" t="str">
        <f t="shared" si="176"/>
        <v/>
      </c>
      <c r="N464" s="99"/>
      <c r="O464" s="121" t="str">
        <f t="shared" si="177"/>
        <v/>
      </c>
      <c r="P464" s="91"/>
      <c r="Q464" s="122" t="str">
        <f t="shared" si="178"/>
        <v/>
      </c>
      <c r="R464" s="122" t="str">
        <f t="shared" si="179"/>
        <v/>
      </c>
      <c r="S464" s="98"/>
    </row>
    <row r="465" spans="2:19" x14ac:dyDescent="0.25">
      <c r="B465" s="152"/>
      <c r="C465" s="143"/>
      <c r="D465" s="143"/>
      <c r="E465" s="152"/>
      <c r="F465" s="153"/>
      <c r="G465" s="152"/>
      <c r="H465" s="90">
        <v>4</v>
      </c>
      <c r="I465" s="98"/>
      <c r="J465" s="99"/>
      <c r="K465" s="121" t="str">
        <f t="shared" si="175"/>
        <v/>
      </c>
      <c r="L465" s="99"/>
      <c r="M465" s="121" t="str">
        <f t="shared" si="176"/>
        <v/>
      </c>
      <c r="N465" s="99"/>
      <c r="O465" s="121" t="str">
        <f t="shared" si="177"/>
        <v/>
      </c>
      <c r="P465" s="91"/>
      <c r="Q465" s="122" t="str">
        <f t="shared" si="178"/>
        <v/>
      </c>
      <c r="R465" s="122" t="str">
        <f t="shared" si="179"/>
        <v/>
      </c>
      <c r="S465" s="98"/>
    </row>
    <row r="466" spans="2:19" x14ac:dyDescent="0.25">
      <c r="B466" s="152"/>
      <c r="C466" s="143"/>
      <c r="D466" s="143"/>
      <c r="E466" s="152"/>
      <c r="F466" s="153"/>
      <c r="G466" s="152"/>
      <c r="H466" s="90">
        <v>5</v>
      </c>
      <c r="I466" s="98"/>
      <c r="J466" s="99"/>
      <c r="K466" s="121" t="str">
        <f t="shared" si="175"/>
        <v/>
      </c>
      <c r="L466" s="99"/>
      <c r="M466" s="121" t="str">
        <f t="shared" si="176"/>
        <v/>
      </c>
      <c r="N466" s="99"/>
      <c r="O466" s="121" t="str">
        <f t="shared" si="177"/>
        <v/>
      </c>
      <c r="P466" s="91"/>
      <c r="Q466" s="122" t="str">
        <f t="shared" si="178"/>
        <v/>
      </c>
      <c r="R466" s="122" t="str">
        <f t="shared" si="179"/>
        <v/>
      </c>
      <c r="S466" s="98"/>
    </row>
    <row r="467" spans="2:19" x14ac:dyDescent="0.25">
      <c r="B467" s="154"/>
      <c r="C467" s="142"/>
      <c r="D467" s="142"/>
      <c r="E467" s="154"/>
      <c r="F467" s="155"/>
      <c r="G467" s="154"/>
      <c r="H467" s="108">
        <v>6</v>
      </c>
      <c r="I467" s="109"/>
      <c r="J467" s="110"/>
      <c r="K467" s="123" t="str">
        <f t="shared" si="175"/>
        <v/>
      </c>
      <c r="L467" s="110"/>
      <c r="M467" s="123" t="str">
        <f t="shared" si="176"/>
        <v/>
      </c>
      <c r="N467" s="110"/>
      <c r="O467" s="123" t="str">
        <f t="shared" si="177"/>
        <v/>
      </c>
      <c r="P467" s="105"/>
      <c r="Q467" s="124" t="str">
        <f t="shared" si="178"/>
        <v/>
      </c>
      <c r="R467" s="124" t="str">
        <f t="shared" si="179"/>
        <v/>
      </c>
      <c r="S467" s="109"/>
    </row>
    <row r="468" spans="2:19" x14ac:dyDescent="0.25">
      <c r="B468" s="148">
        <v>79</v>
      </c>
      <c r="C468" s="149" t="s">
        <v>44</v>
      </c>
      <c r="D468" s="149" t="s">
        <v>104</v>
      </c>
      <c r="E468" s="148" t="s">
        <v>250</v>
      </c>
      <c r="F468" s="150"/>
      <c r="G468" s="148"/>
      <c r="H468" s="151"/>
      <c r="I468" s="151"/>
      <c r="J468" s="96" t="str">
        <f>_xlfn.XLOOKUP(1,$K$469:$K$474,$I$469:$I$474, "-", 0)</f>
        <v>-</v>
      </c>
      <c r="K468" s="151"/>
      <c r="L468" s="96" t="str">
        <f>_xlfn.XLOOKUP(1,$M$469:$M$474,$I$469:$I$474, "-", 0)</f>
        <v>-</v>
      </c>
      <c r="M468" s="151"/>
      <c r="N468" s="96" t="str">
        <f>_xlfn.XLOOKUP(1,$O$469:$O$474,$I$469:$I$474, "-", 0)</f>
        <v>-</v>
      </c>
      <c r="O468" s="151"/>
      <c r="P468" s="97" t="str">
        <f>IF(COUNTIF($P$469:$P$474,"Yes")&gt;0,"Yes","")</f>
        <v/>
      </c>
      <c r="Q468" s="96">
        <f>SUM($Q$469:$Q$474)</f>
        <v>0</v>
      </c>
      <c r="R468" s="96" t="str">
        <f>IF($Q$468&gt;0,$F$468-$Q$468,"")</f>
        <v/>
      </c>
      <c r="S468" s="151"/>
    </row>
    <row r="469" spans="2:19" x14ac:dyDescent="0.25">
      <c r="B469" s="152"/>
      <c r="C469" s="143"/>
      <c r="D469" s="143"/>
      <c r="E469" s="152"/>
      <c r="F469" s="153"/>
      <c r="G469" s="152"/>
      <c r="H469" s="90">
        <v>1</v>
      </c>
      <c r="I469" s="98"/>
      <c r="J469" s="99"/>
      <c r="K469" s="121" t="str">
        <f t="shared" ref="K469:K474" si="180">IF($J469="","",RANK(J469,$J$469:$J$474,1))</f>
        <v/>
      </c>
      <c r="L469" s="99"/>
      <c r="M469" s="121" t="str">
        <f t="shared" ref="M469:M474" si="181">IF($L469="","",RANK(L469,$L$469:$L$474,1))</f>
        <v/>
      </c>
      <c r="N469" s="99"/>
      <c r="O469" s="121" t="str">
        <f t="shared" ref="O469:O474" si="182">IF($N469="","",RANK(N469,$N$469:$N$474,1))</f>
        <v/>
      </c>
      <c r="P469" s="91"/>
      <c r="Q469" s="122" t="str">
        <f t="shared" ref="Q469:Q474" si="183">IF($P469="Yes",IF($N469&gt;0,$N469,IF($L469&gt;0,$L469,IF($J469&gt;0,$J469,""))),"")</f>
        <v/>
      </c>
      <c r="R469" s="122" t="str">
        <f t="shared" ref="R469:R474" si="184">IFERROR(IF(INT($Q469)&gt;0,$F$468-$Q469,""),"")</f>
        <v/>
      </c>
      <c r="S469" s="98"/>
    </row>
    <row r="470" spans="2:19" x14ac:dyDescent="0.25">
      <c r="B470" s="152"/>
      <c r="C470" s="143"/>
      <c r="D470" s="143"/>
      <c r="E470" s="152"/>
      <c r="F470" s="153"/>
      <c r="G470" s="152"/>
      <c r="H470" s="90">
        <v>2</v>
      </c>
      <c r="I470" s="98"/>
      <c r="J470" s="99"/>
      <c r="K470" s="121" t="str">
        <f t="shared" si="180"/>
        <v/>
      </c>
      <c r="L470" s="99"/>
      <c r="M470" s="121" t="str">
        <f t="shared" si="181"/>
        <v/>
      </c>
      <c r="N470" s="99"/>
      <c r="O470" s="121" t="str">
        <f t="shared" si="182"/>
        <v/>
      </c>
      <c r="P470" s="91"/>
      <c r="Q470" s="122" t="str">
        <f t="shared" si="183"/>
        <v/>
      </c>
      <c r="R470" s="122" t="str">
        <f t="shared" si="184"/>
        <v/>
      </c>
      <c r="S470" s="98"/>
    </row>
    <row r="471" spans="2:19" x14ac:dyDescent="0.25">
      <c r="B471" s="152"/>
      <c r="C471" s="143"/>
      <c r="D471" s="143"/>
      <c r="E471" s="152"/>
      <c r="F471" s="153"/>
      <c r="G471" s="152"/>
      <c r="H471" s="90">
        <v>3</v>
      </c>
      <c r="I471" s="98"/>
      <c r="J471" s="99"/>
      <c r="K471" s="121" t="str">
        <f t="shared" si="180"/>
        <v/>
      </c>
      <c r="L471" s="99"/>
      <c r="M471" s="121" t="str">
        <f t="shared" si="181"/>
        <v/>
      </c>
      <c r="N471" s="99"/>
      <c r="O471" s="121" t="str">
        <f t="shared" si="182"/>
        <v/>
      </c>
      <c r="P471" s="91"/>
      <c r="Q471" s="122" t="str">
        <f t="shared" si="183"/>
        <v/>
      </c>
      <c r="R471" s="122" t="str">
        <f t="shared" si="184"/>
        <v/>
      </c>
      <c r="S471" s="98"/>
    </row>
    <row r="472" spans="2:19" x14ac:dyDescent="0.25">
      <c r="B472" s="152"/>
      <c r="C472" s="143"/>
      <c r="D472" s="143"/>
      <c r="E472" s="152"/>
      <c r="F472" s="153"/>
      <c r="G472" s="152"/>
      <c r="H472" s="90">
        <v>4</v>
      </c>
      <c r="I472" s="98"/>
      <c r="J472" s="99"/>
      <c r="K472" s="121" t="str">
        <f t="shared" si="180"/>
        <v/>
      </c>
      <c r="L472" s="99"/>
      <c r="M472" s="121" t="str">
        <f t="shared" si="181"/>
        <v/>
      </c>
      <c r="N472" s="99"/>
      <c r="O472" s="121" t="str">
        <f t="shared" si="182"/>
        <v/>
      </c>
      <c r="P472" s="91"/>
      <c r="Q472" s="122" t="str">
        <f t="shared" si="183"/>
        <v/>
      </c>
      <c r="R472" s="122" t="str">
        <f t="shared" si="184"/>
        <v/>
      </c>
      <c r="S472" s="98"/>
    </row>
    <row r="473" spans="2:19" x14ac:dyDescent="0.25">
      <c r="B473" s="152"/>
      <c r="C473" s="143"/>
      <c r="D473" s="143"/>
      <c r="E473" s="152"/>
      <c r="F473" s="153"/>
      <c r="G473" s="152"/>
      <c r="H473" s="90">
        <v>5</v>
      </c>
      <c r="I473" s="98"/>
      <c r="J473" s="99"/>
      <c r="K473" s="121" t="str">
        <f t="shared" si="180"/>
        <v/>
      </c>
      <c r="L473" s="99"/>
      <c r="M473" s="121" t="str">
        <f t="shared" si="181"/>
        <v/>
      </c>
      <c r="N473" s="99"/>
      <c r="O473" s="121" t="str">
        <f t="shared" si="182"/>
        <v/>
      </c>
      <c r="P473" s="91"/>
      <c r="Q473" s="122" t="str">
        <f t="shared" si="183"/>
        <v/>
      </c>
      <c r="R473" s="122" t="str">
        <f t="shared" si="184"/>
        <v/>
      </c>
      <c r="S473" s="98"/>
    </row>
    <row r="474" spans="2:19" x14ac:dyDescent="0.25">
      <c r="B474" s="154"/>
      <c r="C474" s="142"/>
      <c r="D474" s="142"/>
      <c r="E474" s="154"/>
      <c r="F474" s="155"/>
      <c r="G474" s="154"/>
      <c r="H474" s="108">
        <v>6</v>
      </c>
      <c r="I474" s="109"/>
      <c r="J474" s="110"/>
      <c r="K474" s="123" t="str">
        <f t="shared" si="180"/>
        <v/>
      </c>
      <c r="L474" s="110"/>
      <c r="M474" s="123" t="str">
        <f t="shared" si="181"/>
        <v/>
      </c>
      <c r="N474" s="110"/>
      <c r="O474" s="123" t="str">
        <f t="shared" si="182"/>
        <v/>
      </c>
      <c r="P474" s="105"/>
      <c r="Q474" s="124" t="str">
        <f t="shared" si="183"/>
        <v/>
      </c>
      <c r="R474" s="124" t="str">
        <f t="shared" si="184"/>
        <v/>
      </c>
      <c r="S474" s="109"/>
    </row>
    <row r="475" spans="2:19" x14ac:dyDescent="0.25">
      <c r="B475" s="148">
        <v>80</v>
      </c>
      <c r="C475" s="149" t="s">
        <v>44</v>
      </c>
      <c r="D475" s="149" t="s">
        <v>105</v>
      </c>
      <c r="E475" s="148" t="s">
        <v>250</v>
      </c>
      <c r="F475" s="150"/>
      <c r="G475" s="148"/>
      <c r="H475" s="151"/>
      <c r="I475" s="151"/>
      <c r="J475" s="96" t="str">
        <f>_xlfn.XLOOKUP(1,$K$476:$K$481,$I$476:$I$481, "-", 0)</f>
        <v>-</v>
      </c>
      <c r="K475" s="151"/>
      <c r="L475" s="96" t="str">
        <f>_xlfn.XLOOKUP(1,$M$476:$M$481,$I$476:$I$481, "-", 0)</f>
        <v>-</v>
      </c>
      <c r="M475" s="151"/>
      <c r="N475" s="96" t="str">
        <f>_xlfn.XLOOKUP(1,$O$476:$O$481,$I$476:$I$481, "-", 0)</f>
        <v>-</v>
      </c>
      <c r="O475" s="151"/>
      <c r="P475" s="97" t="str">
        <f>IF(COUNTIF($P$476:$P$481,"Yes")&gt;0,"Yes","")</f>
        <v/>
      </c>
      <c r="Q475" s="96">
        <f>SUM($Q$476:$Q$481)</f>
        <v>0</v>
      </c>
      <c r="R475" s="96" t="str">
        <f>IF($Q$475&gt;0,$F$475-$Q$475,"")</f>
        <v/>
      </c>
      <c r="S475" s="151"/>
    </row>
    <row r="476" spans="2:19" x14ac:dyDescent="0.25">
      <c r="B476" s="152"/>
      <c r="C476" s="143"/>
      <c r="D476" s="143"/>
      <c r="E476" s="152"/>
      <c r="F476" s="153"/>
      <c r="G476" s="152"/>
      <c r="H476" s="90">
        <v>1</v>
      </c>
      <c r="I476" s="98"/>
      <c r="J476" s="99"/>
      <c r="K476" s="121" t="str">
        <f t="shared" ref="K476:K481" si="185">IF($J476="","",RANK(J476,$J$476:$J$481,1))</f>
        <v/>
      </c>
      <c r="L476" s="99"/>
      <c r="M476" s="121" t="str">
        <f t="shared" ref="M476:M481" si="186">IF($L476="","",RANK(L476,$L$476:$L$481,1))</f>
        <v/>
      </c>
      <c r="N476" s="99"/>
      <c r="O476" s="121" t="str">
        <f t="shared" ref="O476:O481" si="187">IF($N476="","",RANK(N476,$N$476:$N$481,1))</f>
        <v/>
      </c>
      <c r="P476" s="91"/>
      <c r="Q476" s="122" t="str">
        <f t="shared" ref="Q476:Q481" si="188">IF($P476="Yes",IF($N476&gt;0,$N476,IF($L476&gt;0,$L476,IF($J476&gt;0,$J476,""))),"")</f>
        <v/>
      </c>
      <c r="R476" s="122" t="str">
        <f t="shared" ref="R476:R481" si="189">IFERROR(IF(INT($Q476)&gt;0,$F$475-$Q476,""),"")</f>
        <v/>
      </c>
      <c r="S476" s="98"/>
    </row>
    <row r="477" spans="2:19" x14ac:dyDescent="0.25">
      <c r="B477" s="152"/>
      <c r="C477" s="143"/>
      <c r="D477" s="143"/>
      <c r="E477" s="152"/>
      <c r="F477" s="153"/>
      <c r="G477" s="152"/>
      <c r="H477" s="90">
        <v>2</v>
      </c>
      <c r="I477" s="98"/>
      <c r="J477" s="99"/>
      <c r="K477" s="121" t="str">
        <f t="shared" si="185"/>
        <v/>
      </c>
      <c r="L477" s="99"/>
      <c r="M477" s="121" t="str">
        <f t="shared" si="186"/>
        <v/>
      </c>
      <c r="N477" s="99"/>
      <c r="O477" s="121" t="str">
        <f t="shared" si="187"/>
        <v/>
      </c>
      <c r="P477" s="91"/>
      <c r="Q477" s="122" t="str">
        <f t="shared" si="188"/>
        <v/>
      </c>
      <c r="R477" s="122" t="str">
        <f t="shared" si="189"/>
        <v/>
      </c>
      <c r="S477" s="98"/>
    </row>
    <row r="478" spans="2:19" x14ac:dyDescent="0.25">
      <c r="B478" s="152"/>
      <c r="C478" s="143"/>
      <c r="D478" s="143"/>
      <c r="E478" s="152"/>
      <c r="F478" s="153"/>
      <c r="G478" s="152"/>
      <c r="H478" s="90">
        <v>3</v>
      </c>
      <c r="I478" s="98"/>
      <c r="J478" s="99"/>
      <c r="K478" s="121" t="str">
        <f t="shared" si="185"/>
        <v/>
      </c>
      <c r="L478" s="99"/>
      <c r="M478" s="121" t="str">
        <f t="shared" si="186"/>
        <v/>
      </c>
      <c r="N478" s="99"/>
      <c r="O478" s="121" t="str">
        <f t="shared" si="187"/>
        <v/>
      </c>
      <c r="P478" s="91"/>
      <c r="Q478" s="122" t="str">
        <f t="shared" si="188"/>
        <v/>
      </c>
      <c r="R478" s="122" t="str">
        <f t="shared" si="189"/>
        <v/>
      </c>
      <c r="S478" s="98"/>
    </row>
    <row r="479" spans="2:19" x14ac:dyDescent="0.25">
      <c r="B479" s="152"/>
      <c r="C479" s="143"/>
      <c r="D479" s="143"/>
      <c r="E479" s="152"/>
      <c r="F479" s="153"/>
      <c r="G479" s="152"/>
      <c r="H479" s="90">
        <v>4</v>
      </c>
      <c r="I479" s="98"/>
      <c r="J479" s="99"/>
      <c r="K479" s="121" t="str">
        <f t="shared" si="185"/>
        <v/>
      </c>
      <c r="L479" s="99"/>
      <c r="M479" s="121" t="str">
        <f t="shared" si="186"/>
        <v/>
      </c>
      <c r="N479" s="99"/>
      <c r="O479" s="121" t="str">
        <f t="shared" si="187"/>
        <v/>
      </c>
      <c r="P479" s="91"/>
      <c r="Q479" s="122" t="str">
        <f t="shared" si="188"/>
        <v/>
      </c>
      <c r="R479" s="122" t="str">
        <f t="shared" si="189"/>
        <v/>
      </c>
      <c r="S479" s="98"/>
    </row>
    <row r="480" spans="2:19" x14ac:dyDescent="0.25">
      <c r="B480" s="152"/>
      <c r="C480" s="143"/>
      <c r="D480" s="143"/>
      <c r="E480" s="152"/>
      <c r="F480" s="153"/>
      <c r="G480" s="152"/>
      <c r="H480" s="90">
        <v>5</v>
      </c>
      <c r="I480" s="98"/>
      <c r="J480" s="99"/>
      <c r="K480" s="121" t="str">
        <f t="shared" si="185"/>
        <v/>
      </c>
      <c r="L480" s="99"/>
      <c r="M480" s="121" t="str">
        <f t="shared" si="186"/>
        <v/>
      </c>
      <c r="N480" s="99"/>
      <c r="O480" s="121" t="str">
        <f t="shared" si="187"/>
        <v/>
      </c>
      <c r="P480" s="91"/>
      <c r="Q480" s="122" t="str">
        <f t="shared" si="188"/>
        <v/>
      </c>
      <c r="R480" s="122" t="str">
        <f t="shared" si="189"/>
        <v/>
      </c>
      <c r="S480" s="98"/>
    </row>
    <row r="481" spans="2:19" x14ac:dyDescent="0.25">
      <c r="B481" s="154"/>
      <c r="C481" s="142"/>
      <c r="D481" s="142"/>
      <c r="E481" s="154"/>
      <c r="F481" s="155"/>
      <c r="G481" s="154"/>
      <c r="H481" s="108">
        <v>6</v>
      </c>
      <c r="I481" s="109"/>
      <c r="J481" s="110"/>
      <c r="K481" s="123" t="str">
        <f t="shared" si="185"/>
        <v/>
      </c>
      <c r="L481" s="110"/>
      <c r="M481" s="123" t="str">
        <f t="shared" si="186"/>
        <v/>
      </c>
      <c r="N481" s="110"/>
      <c r="O481" s="123" t="str">
        <f t="shared" si="187"/>
        <v/>
      </c>
      <c r="P481" s="105"/>
      <c r="Q481" s="124" t="str">
        <f t="shared" si="188"/>
        <v/>
      </c>
      <c r="R481" s="124" t="str">
        <f t="shared" si="189"/>
        <v/>
      </c>
      <c r="S481" s="109"/>
    </row>
    <row r="482" spans="2:19" x14ac:dyDescent="0.25">
      <c r="B482" s="148">
        <v>81</v>
      </c>
      <c r="C482" s="149" t="s">
        <v>44</v>
      </c>
      <c r="D482" s="149" t="s">
        <v>106</v>
      </c>
      <c r="E482" s="148" t="s">
        <v>252</v>
      </c>
      <c r="F482" s="150">
        <v>2328300</v>
      </c>
      <c r="G482" s="148"/>
      <c r="H482" s="151"/>
      <c r="I482" s="151"/>
      <c r="J482" s="96" t="str">
        <f>_xlfn.XLOOKUP(1,$K$483:$K$490,$I$483:$I$490, "-", 0)</f>
        <v xml:space="preserve">Bin Dasmal </v>
      </c>
      <c r="K482" s="151"/>
      <c r="L482" s="96" t="str">
        <f>_xlfn.XLOOKUP(1,$M$483:$M$490,$I$483:$I$490, "-", 0)</f>
        <v xml:space="preserve">Bin Dasmal </v>
      </c>
      <c r="M482" s="151"/>
      <c r="N482" s="96" t="str">
        <f>_xlfn.XLOOKUP(1,$O$483:$O$490,$I$483:$I$490, "-", 0)</f>
        <v xml:space="preserve">Bin Dasmal </v>
      </c>
      <c r="O482" s="151"/>
      <c r="P482" s="97" t="str">
        <f>IF(COUNTIF($P$483:$P$490,"Yes")&gt;0,"Yes","")</f>
        <v>Yes</v>
      </c>
      <c r="Q482" s="96">
        <f>SUM($Q$483:$Q$490)</f>
        <v>1872100</v>
      </c>
      <c r="R482" s="96">
        <f>IF($Q$482&gt;0,$F$482-$Q$482,"")</f>
        <v>456200</v>
      </c>
      <c r="S482" s="151"/>
    </row>
    <row r="483" spans="2:19" x14ac:dyDescent="0.25">
      <c r="B483" s="152"/>
      <c r="C483" s="143"/>
      <c r="D483" s="143"/>
      <c r="E483" s="152"/>
      <c r="F483" s="153"/>
      <c r="G483" s="152"/>
      <c r="H483" s="90">
        <v>1</v>
      </c>
      <c r="I483" s="98" t="s">
        <v>298</v>
      </c>
      <c r="J483" s="99">
        <v>1872100</v>
      </c>
      <c r="K483" s="121">
        <f t="shared" ref="K483:K490" si="190">IF($J483="","",RANK(J483,$J$483:$J$490,1))</f>
        <v>1</v>
      </c>
      <c r="L483" s="99">
        <f>J483</f>
        <v>1872100</v>
      </c>
      <c r="M483" s="121">
        <f t="shared" ref="M483:M490" si="191">IF($L483="","",RANK(L483,$L$483:$L$490,1))</f>
        <v>1</v>
      </c>
      <c r="N483" s="99">
        <f>L483</f>
        <v>1872100</v>
      </c>
      <c r="O483" s="121">
        <f t="shared" ref="O483:O490" si="192">IF($N483="","",RANK(N483,$N$483:$N$490,1))</f>
        <v>1</v>
      </c>
      <c r="P483" s="91" t="s">
        <v>276</v>
      </c>
      <c r="Q483" s="122">
        <f t="shared" ref="Q483:Q490" si="193">IF($P483="Yes",IF($N483&gt;0,$N483,IF($L483&gt;0,$L483,IF($J483&gt;0,$J483,""))),"")</f>
        <v>1872100</v>
      </c>
      <c r="R483" s="122">
        <f t="shared" ref="R483:R490" si="194">IFERROR(IF(INT($Q483)&gt;0,$F$482-$Q483,""),"")</f>
        <v>456200</v>
      </c>
      <c r="S483" s="98"/>
    </row>
    <row r="484" spans="2:19" x14ac:dyDescent="0.25">
      <c r="B484" s="152"/>
      <c r="C484" s="143"/>
      <c r="D484" s="143"/>
      <c r="E484" s="152"/>
      <c r="F484" s="153"/>
      <c r="G484" s="152"/>
      <c r="H484" s="90">
        <v>2</v>
      </c>
      <c r="I484" s="98"/>
      <c r="J484" s="99"/>
      <c r="K484" s="121" t="str">
        <f t="shared" si="190"/>
        <v/>
      </c>
      <c r="L484" s="99"/>
      <c r="M484" s="121" t="str">
        <f t="shared" si="191"/>
        <v/>
      </c>
      <c r="N484" s="99"/>
      <c r="O484" s="121" t="str">
        <f t="shared" si="192"/>
        <v/>
      </c>
      <c r="P484" s="91"/>
      <c r="Q484" s="122" t="str">
        <f t="shared" si="193"/>
        <v/>
      </c>
      <c r="R484" s="122" t="str">
        <f t="shared" si="194"/>
        <v/>
      </c>
      <c r="S484" s="98"/>
    </row>
    <row r="485" spans="2:19" x14ac:dyDescent="0.25">
      <c r="B485" s="152"/>
      <c r="C485" s="143"/>
      <c r="D485" s="143"/>
      <c r="E485" s="152"/>
      <c r="F485" s="153"/>
      <c r="G485" s="152"/>
      <c r="H485" s="90">
        <v>3</v>
      </c>
      <c r="I485" s="98"/>
      <c r="J485" s="99"/>
      <c r="K485" s="121" t="str">
        <f t="shared" si="190"/>
        <v/>
      </c>
      <c r="L485" s="99"/>
      <c r="M485" s="121" t="str">
        <f t="shared" si="191"/>
        <v/>
      </c>
      <c r="N485" s="99"/>
      <c r="O485" s="121" t="str">
        <f t="shared" si="192"/>
        <v/>
      </c>
      <c r="P485" s="91"/>
      <c r="Q485" s="122" t="str">
        <f t="shared" si="193"/>
        <v/>
      </c>
      <c r="R485" s="122" t="str">
        <f t="shared" si="194"/>
        <v/>
      </c>
      <c r="S485" s="98"/>
    </row>
    <row r="486" spans="2:19" x14ac:dyDescent="0.25">
      <c r="B486" s="152"/>
      <c r="C486" s="143"/>
      <c r="D486" s="143"/>
      <c r="E486" s="152"/>
      <c r="F486" s="153"/>
      <c r="G486" s="152"/>
      <c r="H486" s="90">
        <v>4</v>
      </c>
      <c r="I486" s="98"/>
      <c r="J486" s="99"/>
      <c r="K486" s="121" t="str">
        <f t="shared" si="190"/>
        <v/>
      </c>
      <c r="L486" s="99"/>
      <c r="M486" s="121" t="str">
        <f t="shared" si="191"/>
        <v/>
      </c>
      <c r="N486" s="99"/>
      <c r="O486" s="121" t="str">
        <f t="shared" si="192"/>
        <v/>
      </c>
      <c r="P486" s="91"/>
      <c r="Q486" s="122" t="str">
        <f t="shared" si="193"/>
        <v/>
      </c>
      <c r="R486" s="122" t="str">
        <f t="shared" si="194"/>
        <v/>
      </c>
      <c r="S486" s="98"/>
    </row>
    <row r="487" spans="2:19" x14ac:dyDescent="0.25">
      <c r="B487" s="152"/>
      <c r="C487" s="143"/>
      <c r="D487" s="143"/>
      <c r="E487" s="152"/>
      <c r="F487" s="153"/>
      <c r="G487" s="152"/>
      <c r="H487" s="90">
        <v>5</v>
      </c>
      <c r="I487" s="98"/>
      <c r="J487" s="99"/>
      <c r="K487" s="121" t="str">
        <f t="shared" si="190"/>
        <v/>
      </c>
      <c r="L487" s="99"/>
      <c r="M487" s="121" t="str">
        <f t="shared" si="191"/>
        <v/>
      </c>
      <c r="N487" s="99"/>
      <c r="O487" s="121" t="str">
        <f t="shared" si="192"/>
        <v/>
      </c>
      <c r="P487" s="91"/>
      <c r="Q487" s="122" t="str">
        <f t="shared" si="193"/>
        <v/>
      </c>
      <c r="R487" s="122" t="str">
        <f t="shared" si="194"/>
        <v/>
      </c>
      <c r="S487" s="98"/>
    </row>
    <row r="488" spans="2:19" x14ac:dyDescent="0.25">
      <c r="B488" s="152"/>
      <c r="C488" s="143"/>
      <c r="D488" s="143"/>
      <c r="E488" s="152"/>
      <c r="F488" s="153"/>
      <c r="G488" s="152"/>
      <c r="H488" s="90">
        <v>6</v>
      </c>
      <c r="I488" s="98"/>
      <c r="J488" s="99"/>
      <c r="K488" s="121" t="str">
        <f t="shared" si="190"/>
        <v/>
      </c>
      <c r="L488" s="99"/>
      <c r="M488" s="121" t="str">
        <f t="shared" si="191"/>
        <v/>
      </c>
      <c r="N488" s="99"/>
      <c r="O488" s="121" t="str">
        <f t="shared" si="192"/>
        <v/>
      </c>
      <c r="P488" s="91"/>
      <c r="Q488" s="122" t="str">
        <f t="shared" si="193"/>
        <v/>
      </c>
      <c r="R488" s="122" t="str">
        <f t="shared" si="194"/>
        <v/>
      </c>
      <c r="S488" s="98"/>
    </row>
    <row r="489" spans="2:19" x14ac:dyDescent="0.25">
      <c r="B489" s="152"/>
      <c r="C489" s="143"/>
      <c r="D489" s="143"/>
      <c r="E489" s="152"/>
      <c r="F489" s="153"/>
      <c r="G489" s="152"/>
      <c r="H489" s="90">
        <v>7</v>
      </c>
      <c r="I489" s="98"/>
      <c r="J489" s="99"/>
      <c r="K489" s="121" t="str">
        <f t="shared" si="190"/>
        <v/>
      </c>
      <c r="L489" s="99"/>
      <c r="M489" s="121" t="str">
        <f t="shared" si="191"/>
        <v/>
      </c>
      <c r="N489" s="99"/>
      <c r="O489" s="121" t="str">
        <f t="shared" si="192"/>
        <v/>
      </c>
      <c r="P489" s="91"/>
      <c r="Q489" s="122" t="str">
        <f t="shared" si="193"/>
        <v/>
      </c>
      <c r="R489" s="122" t="str">
        <f t="shared" si="194"/>
        <v/>
      </c>
      <c r="S489" s="98"/>
    </row>
    <row r="490" spans="2:19" x14ac:dyDescent="0.25">
      <c r="B490" s="154"/>
      <c r="C490" s="142"/>
      <c r="D490" s="142"/>
      <c r="E490" s="154"/>
      <c r="F490" s="155"/>
      <c r="G490" s="154"/>
      <c r="H490" s="108">
        <v>8</v>
      </c>
      <c r="I490" s="109"/>
      <c r="J490" s="110"/>
      <c r="K490" s="123" t="str">
        <f t="shared" si="190"/>
        <v/>
      </c>
      <c r="L490" s="110"/>
      <c r="M490" s="123" t="str">
        <f t="shared" si="191"/>
        <v/>
      </c>
      <c r="N490" s="110"/>
      <c r="O490" s="123" t="str">
        <f t="shared" si="192"/>
        <v/>
      </c>
      <c r="P490" s="105"/>
      <c r="Q490" s="124" t="str">
        <f t="shared" si="193"/>
        <v/>
      </c>
      <c r="R490" s="124" t="str">
        <f t="shared" si="194"/>
        <v/>
      </c>
      <c r="S490" s="109"/>
    </row>
    <row r="491" spans="2:19" x14ac:dyDescent="0.25">
      <c r="B491" s="148">
        <v>82</v>
      </c>
      <c r="C491" s="149" t="s">
        <v>44</v>
      </c>
      <c r="D491" s="149" t="s">
        <v>107</v>
      </c>
      <c r="E491" s="148" t="s">
        <v>253</v>
      </c>
      <c r="F491" s="150"/>
      <c r="G491" s="148"/>
      <c r="H491" s="151"/>
      <c r="I491" s="151"/>
      <c r="J491" s="96" t="str">
        <f>_xlfn.XLOOKUP(1,$K$492:$K$496,$I$492:$I$496, "-", 0)</f>
        <v>-</v>
      </c>
      <c r="K491" s="151"/>
      <c r="L491" s="96" t="str">
        <f>_xlfn.XLOOKUP(1,$M$492:$M$496,$I$492:$I$496, "-", 0)</f>
        <v>-</v>
      </c>
      <c r="M491" s="151"/>
      <c r="N491" s="96" t="str">
        <f>_xlfn.XLOOKUP(1,$O$492:$O$496,$I$492:$I$496, "-", 0)</f>
        <v>-</v>
      </c>
      <c r="O491" s="151"/>
      <c r="P491" s="97" t="str">
        <f>IF(COUNTIF($P$492:$P$496,"Yes")&gt;0,"Yes","")</f>
        <v/>
      </c>
      <c r="Q491" s="96">
        <f>SUM($Q$492:$Q$496)</f>
        <v>0</v>
      </c>
      <c r="R491" s="96" t="str">
        <f>IF($Q$491&gt;0,$F$491-$Q$491,"")</f>
        <v/>
      </c>
      <c r="S491" s="151"/>
    </row>
    <row r="492" spans="2:19" x14ac:dyDescent="0.25">
      <c r="B492" s="152"/>
      <c r="C492" s="143"/>
      <c r="D492" s="143"/>
      <c r="E492" s="152"/>
      <c r="F492" s="153"/>
      <c r="G492" s="152"/>
      <c r="H492" s="90">
        <v>1</v>
      </c>
      <c r="I492" s="98"/>
      <c r="J492" s="99"/>
      <c r="K492" s="121" t="str">
        <f>IF($J492="","",RANK(J492,$J$492:$J$496,1))</f>
        <v/>
      </c>
      <c r="L492" s="99"/>
      <c r="M492" s="121" t="str">
        <f>IF($L492="","",RANK(L492,$L$492:$L$496,1))</f>
        <v/>
      </c>
      <c r="N492" s="99"/>
      <c r="O492" s="121" t="str">
        <f>IF($N492="","",RANK(N492,$N$492:$N$496,1))</f>
        <v/>
      </c>
      <c r="P492" s="91"/>
      <c r="Q492" s="122" t="str">
        <f>IF($P492="Yes",IF($N492&gt;0,$N492,IF($L492&gt;0,$L492,IF($J492&gt;0,$J492,""))),"")</f>
        <v/>
      </c>
      <c r="R492" s="122" t="str">
        <f>IFERROR(IF(INT($Q492)&gt;0,$F$491-$Q492,""),"")</f>
        <v/>
      </c>
      <c r="S492" s="98"/>
    </row>
    <row r="493" spans="2:19" x14ac:dyDescent="0.25">
      <c r="B493" s="152"/>
      <c r="C493" s="143"/>
      <c r="D493" s="143"/>
      <c r="E493" s="152"/>
      <c r="F493" s="153"/>
      <c r="G493" s="152"/>
      <c r="H493" s="90">
        <v>2</v>
      </c>
      <c r="I493" s="98"/>
      <c r="J493" s="99"/>
      <c r="K493" s="121" t="str">
        <f>IF($J493="","",RANK(J493,$J$492:$J$496,1))</f>
        <v/>
      </c>
      <c r="L493" s="99"/>
      <c r="M493" s="121" t="str">
        <f>IF($L493="","",RANK(L493,$L$492:$L$496,1))</f>
        <v/>
      </c>
      <c r="N493" s="99"/>
      <c r="O493" s="121" t="str">
        <f>IF($N493="","",RANK(N493,$N$492:$N$496,1))</f>
        <v/>
      </c>
      <c r="P493" s="91"/>
      <c r="Q493" s="122" t="str">
        <f>IF($P493="Yes",IF($N493&gt;0,$N493,IF($L493&gt;0,$L493,IF($J493&gt;0,$J493,""))),"")</f>
        <v/>
      </c>
      <c r="R493" s="122" t="str">
        <f>IFERROR(IF(INT($Q493)&gt;0,$F$491-$Q493,""),"")</f>
        <v/>
      </c>
      <c r="S493" s="98"/>
    </row>
    <row r="494" spans="2:19" x14ac:dyDescent="0.25">
      <c r="B494" s="152"/>
      <c r="C494" s="143"/>
      <c r="D494" s="143"/>
      <c r="E494" s="152"/>
      <c r="F494" s="153"/>
      <c r="G494" s="152"/>
      <c r="H494" s="90">
        <v>3</v>
      </c>
      <c r="I494" s="98"/>
      <c r="J494" s="99"/>
      <c r="K494" s="121" t="str">
        <f>IF($J494="","",RANK(J494,$J$492:$J$496,1))</f>
        <v/>
      </c>
      <c r="L494" s="99"/>
      <c r="M494" s="121" t="str">
        <f>IF($L494="","",RANK(L494,$L$492:$L$496,1))</f>
        <v/>
      </c>
      <c r="N494" s="99"/>
      <c r="O494" s="121" t="str">
        <f>IF($N494="","",RANK(N494,$N$492:$N$496,1))</f>
        <v/>
      </c>
      <c r="P494" s="91"/>
      <c r="Q494" s="122" t="str">
        <f>IF($P494="Yes",IF($N494&gt;0,$N494,IF($L494&gt;0,$L494,IF($J494&gt;0,$J494,""))),"")</f>
        <v/>
      </c>
      <c r="R494" s="122" t="str">
        <f>IFERROR(IF(INT($Q494)&gt;0,$F$491-$Q494,""),"")</f>
        <v/>
      </c>
      <c r="S494" s="98"/>
    </row>
    <row r="495" spans="2:19" x14ac:dyDescent="0.25">
      <c r="B495" s="152"/>
      <c r="C495" s="143"/>
      <c r="D495" s="143"/>
      <c r="E495" s="152"/>
      <c r="F495" s="153"/>
      <c r="G495" s="152"/>
      <c r="H495" s="90">
        <v>4</v>
      </c>
      <c r="I495" s="98"/>
      <c r="J495" s="99"/>
      <c r="K495" s="121" t="str">
        <f>IF($J495="","",RANK(J495,$J$492:$J$496,1))</f>
        <v/>
      </c>
      <c r="L495" s="99"/>
      <c r="M495" s="121" t="str">
        <f>IF($L495="","",RANK(L495,$L$492:$L$496,1))</f>
        <v/>
      </c>
      <c r="N495" s="99"/>
      <c r="O495" s="121" t="str">
        <f>IF($N495="","",RANK(N495,$N$492:$N$496,1))</f>
        <v/>
      </c>
      <c r="P495" s="91"/>
      <c r="Q495" s="122" t="str">
        <f>IF($P495="Yes",IF($N495&gt;0,$N495,IF($L495&gt;0,$L495,IF($J495&gt;0,$J495,""))),"")</f>
        <v/>
      </c>
      <c r="R495" s="122" t="str">
        <f>IFERROR(IF(INT($Q495)&gt;0,$F$491-$Q495,""),"")</f>
        <v/>
      </c>
      <c r="S495" s="98"/>
    </row>
    <row r="496" spans="2:19" x14ac:dyDescent="0.25">
      <c r="B496" s="154"/>
      <c r="C496" s="142"/>
      <c r="D496" s="142"/>
      <c r="E496" s="154"/>
      <c r="F496" s="155"/>
      <c r="G496" s="154"/>
      <c r="H496" s="108">
        <v>5</v>
      </c>
      <c r="I496" s="109"/>
      <c r="J496" s="110"/>
      <c r="K496" s="123" t="str">
        <f>IF($J496="","",RANK(J496,$J$492:$J$496,1))</f>
        <v/>
      </c>
      <c r="L496" s="110"/>
      <c r="M496" s="123" t="str">
        <f>IF($L496="","",RANK(L496,$L$492:$L$496,1))</f>
        <v/>
      </c>
      <c r="N496" s="110"/>
      <c r="O496" s="123" t="str">
        <f>IF($N496="","",RANK(N496,$N$492:$N$496,1))</f>
        <v/>
      </c>
      <c r="P496" s="105"/>
      <c r="Q496" s="124" t="str">
        <f>IF($P496="Yes",IF($N496&gt;0,$N496,IF($L496&gt;0,$L496,IF($J496&gt;0,$J496,""))),"")</f>
        <v/>
      </c>
      <c r="R496" s="124" t="str">
        <f>IFERROR(IF(INT($Q496)&gt;0,$F$491-$Q496,""),"")</f>
        <v/>
      </c>
      <c r="S496" s="109"/>
    </row>
    <row r="497" spans="2:19" x14ac:dyDescent="0.25">
      <c r="B497" s="148">
        <v>83</v>
      </c>
      <c r="C497" s="149" t="s">
        <v>44</v>
      </c>
      <c r="D497" s="149" t="s">
        <v>108</v>
      </c>
      <c r="E497" s="148" t="s">
        <v>254</v>
      </c>
      <c r="F497" s="150"/>
      <c r="G497" s="148"/>
      <c r="H497" s="151"/>
      <c r="I497" s="151"/>
      <c r="J497" s="96" t="str">
        <f>_xlfn.XLOOKUP(1,$K$498:$K$507,$I$498:$I$507, "-", 0)</f>
        <v>-</v>
      </c>
      <c r="K497" s="151"/>
      <c r="L497" s="96" t="str">
        <f>_xlfn.XLOOKUP(1,$M$498:$M$507,$I$498:$I$507, "-", 0)</f>
        <v>-</v>
      </c>
      <c r="M497" s="151"/>
      <c r="N497" s="96" t="str">
        <f>_xlfn.XLOOKUP(1,$O$498:$O$507,$I$498:$I$507, "-", 0)</f>
        <v>-</v>
      </c>
      <c r="O497" s="151"/>
      <c r="P497" s="97" t="str">
        <f>IF(COUNTIF($P$498:$P$507,"Yes")&gt;0,"Yes","")</f>
        <v/>
      </c>
      <c r="Q497" s="96">
        <f>SUM($Q$498:$Q$507)</f>
        <v>0</v>
      </c>
      <c r="R497" s="96" t="str">
        <f>IF($Q$497&gt;0,$F$497-$Q$497,"")</f>
        <v/>
      </c>
      <c r="S497" s="151"/>
    </row>
    <row r="498" spans="2:19" x14ac:dyDescent="0.25">
      <c r="B498" s="152"/>
      <c r="C498" s="143"/>
      <c r="D498" s="143"/>
      <c r="E498" s="152"/>
      <c r="F498" s="153"/>
      <c r="G498" s="152"/>
      <c r="H498" s="90">
        <v>1</v>
      </c>
      <c r="I498" s="98"/>
      <c r="J498" s="99"/>
      <c r="K498" s="121" t="str">
        <f t="shared" ref="K498:K507" si="195">IF($J498="","",RANK(J498,$J$498:$J$507,1))</f>
        <v/>
      </c>
      <c r="L498" s="99"/>
      <c r="M498" s="121" t="str">
        <f t="shared" ref="M498:M507" si="196">IF($L498="","",RANK(L498,$L$498:$L$507,1))</f>
        <v/>
      </c>
      <c r="N498" s="99"/>
      <c r="O498" s="121" t="str">
        <f t="shared" ref="O498:O507" si="197">IF($N498="","",RANK(N498,$N$498:$N$507,1))</f>
        <v/>
      </c>
      <c r="P498" s="91"/>
      <c r="Q498" s="122" t="str">
        <f t="shared" ref="Q498:Q507" si="198">IF($P498="Yes",IF($N498&gt;0,$N498,IF($L498&gt;0,$L498,IF($J498&gt;0,$J498,""))),"")</f>
        <v/>
      </c>
      <c r="R498" s="122" t="str">
        <f t="shared" ref="R498:R507" si="199">IFERROR(IF(INT($Q498)&gt;0,$F$497-$Q498,""),"")</f>
        <v/>
      </c>
      <c r="S498" s="98"/>
    </row>
    <row r="499" spans="2:19" x14ac:dyDescent="0.25">
      <c r="B499" s="152"/>
      <c r="C499" s="143"/>
      <c r="D499" s="143"/>
      <c r="E499" s="152"/>
      <c r="F499" s="153"/>
      <c r="G499" s="152"/>
      <c r="H499" s="90">
        <v>2</v>
      </c>
      <c r="I499" s="98"/>
      <c r="J499" s="99"/>
      <c r="K499" s="121" t="str">
        <f t="shared" si="195"/>
        <v/>
      </c>
      <c r="L499" s="99"/>
      <c r="M499" s="121" t="str">
        <f t="shared" si="196"/>
        <v/>
      </c>
      <c r="N499" s="99"/>
      <c r="O499" s="121" t="str">
        <f t="shared" si="197"/>
        <v/>
      </c>
      <c r="P499" s="91"/>
      <c r="Q499" s="122" t="str">
        <f t="shared" si="198"/>
        <v/>
      </c>
      <c r="R499" s="122" t="str">
        <f t="shared" si="199"/>
        <v/>
      </c>
      <c r="S499" s="98"/>
    </row>
    <row r="500" spans="2:19" x14ac:dyDescent="0.25">
      <c r="B500" s="152"/>
      <c r="C500" s="143"/>
      <c r="D500" s="143"/>
      <c r="E500" s="152"/>
      <c r="F500" s="153"/>
      <c r="G500" s="152"/>
      <c r="H500" s="90">
        <v>3</v>
      </c>
      <c r="I500" s="98"/>
      <c r="J500" s="99"/>
      <c r="K500" s="121" t="str">
        <f t="shared" si="195"/>
        <v/>
      </c>
      <c r="L500" s="99"/>
      <c r="M500" s="121" t="str">
        <f t="shared" si="196"/>
        <v/>
      </c>
      <c r="N500" s="99"/>
      <c r="O500" s="121" t="str">
        <f t="shared" si="197"/>
        <v/>
      </c>
      <c r="P500" s="91"/>
      <c r="Q500" s="122" t="str">
        <f t="shared" si="198"/>
        <v/>
      </c>
      <c r="R500" s="122" t="str">
        <f t="shared" si="199"/>
        <v/>
      </c>
      <c r="S500" s="98"/>
    </row>
    <row r="501" spans="2:19" x14ac:dyDescent="0.25">
      <c r="B501" s="152"/>
      <c r="C501" s="143"/>
      <c r="D501" s="143"/>
      <c r="E501" s="152"/>
      <c r="F501" s="153"/>
      <c r="G501" s="152"/>
      <c r="H501" s="90">
        <v>4</v>
      </c>
      <c r="I501" s="98"/>
      <c r="J501" s="99"/>
      <c r="K501" s="121" t="str">
        <f t="shared" si="195"/>
        <v/>
      </c>
      <c r="L501" s="99"/>
      <c r="M501" s="121" t="str">
        <f t="shared" si="196"/>
        <v/>
      </c>
      <c r="N501" s="99"/>
      <c r="O501" s="121" t="str">
        <f t="shared" si="197"/>
        <v/>
      </c>
      <c r="P501" s="91"/>
      <c r="Q501" s="122" t="str">
        <f t="shared" si="198"/>
        <v/>
      </c>
      <c r="R501" s="122" t="str">
        <f t="shared" si="199"/>
        <v/>
      </c>
      <c r="S501" s="98"/>
    </row>
    <row r="502" spans="2:19" x14ac:dyDescent="0.25">
      <c r="B502" s="152"/>
      <c r="C502" s="143"/>
      <c r="D502" s="143"/>
      <c r="E502" s="152"/>
      <c r="F502" s="153"/>
      <c r="G502" s="152"/>
      <c r="H502" s="90">
        <v>5</v>
      </c>
      <c r="I502" s="98"/>
      <c r="J502" s="99"/>
      <c r="K502" s="121" t="str">
        <f t="shared" si="195"/>
        <v/>
      </c>
      <c r="L502" s="99"/>
      <c r="M502" s="121" t="str">
        <f t="shared" si="196"/>
        <v/>
      </c>
      <c r="N502" s="99"/>
      <c r="O502" s="121" t="str">
        <f t="shared" si="197"/>
        <v/>
      </c>
      <c r="P502" s="91"/>
      <c r="Q502" s="122" t="str">
        <f t="shared" si="198"/>
        <v/>
      </c>
      <c r="R502" s="122" t="str">
        <f t="shared" si="199"/>
        <v/>
      </c>
      <c r="S502" s="98"/>
    </row>
    <row r="503" spans="2:19" x14ac:dyDescent="0.25">
      <c r="B503" s="152"/>
      <c r="C503" s="143"/>
      <c r="D503" s="143"/>
      <c r="E503" s="152"/>
      <c r="F503" s="153"/>
      <c r="G503" s="152"/>
      <c r="H503" s="90">
        <v>6</v>
      </c>
      <c r="I503" s="98"/>
      <c r="J503" s="99"/>
      <c r="K503" s="121" t="str">
        <f t="shared" si="195"/>
        <v/>
      </c>
      <c r="L503" s="99"/>
      <c r="M503" s="121" t="str">
        <f t="shared" si="196"/>
        <v/>
      </c>
      <c r="N503" s="99"/>
      <c r="O503" s="121" t="str">
        <f t="shared" si="197"/>
        <v/>
      </c>
      <c r="P503" s="91"/>
      <c r="Q503" s="122" t="str">
        <f t="shared" si="198"/>
        <v/>
      </c>
      <c r="R503" s="122" t="str">
        <f t="shared" si="199"/>
        <v/>
      </c>
      <c r="S503" s="98"/>
    </row>
    <row r="504" spans="2:19" x14ac:dyDescent="0.25">
      <c r="B504" s="152"/>
      <c r="C504" s="143"/>
      <c r="D504" s="143"/>
      <c r="E504" s="152"/>
      <c r="F504" s="153"/>
      <c r="G504" s="152"/>
      <c r="H504" s="90">
        <v>7</v>
      </c>
      <c r="I504" s="98"/>
      <c r="J504" s="99"/>
      <c r="K504" s="121" t="str">
        <f t="shared" si="195"/>
        <v/>
      </c>
      <c r="L504" s="99"/>
      <c r="M504" s="121" t="str">
        <f t="shared" si="196"/>
        <v/>
      </c>
      <c r="N504" s="99"/>
      <c r="O504" s="121" t="str">
        <f t="shared" si="197"/>
        <v/>
      </c>
      <c r="P504" s="91"/>
      <c r="Q504" s="122" t="str">
        <f t="shared" si="198"/>
        <v/>
      </c>
      <c r="R504" s="122" t="str">
        <f t="shared" si="199"/>
        <v/>
      </c>
      <c r="S504" s="98"/>
    </row>
    <row r="505" spans="2:19" x14ac:dyDescent="0.25">
      <c r="B505" s="152"/>
      <c r="C505" s="143"/>
      <c r="D505" s="143"/>
      <c r="E505" s="152"/>
      <c r="F505" s="153"/>
      <c r="G505" s="152"/>
      <c r="H505" s="90">
        <v>8</v>
      </c>
      <c r="I505" s="98"/>
      <c r="J505" s="99"/>
      <c r="K505" s="121" t="str">
        <f t="shared" si="195"/>
        <v/>
      </c>
      <c r="L505" s="99"/>
      <c r="M505" s="121" t="str">
        <f t="shared" si="196"/>
        <v/>
      </c>
      <c r="N505" s="99"/>
      <c r="O505" s="121" t="str">
        <f t="shared" si="197"/>
        <v/>
      </c>
      <c r="P505" s="91"/>
      <c r="Q505" s="122" t="str">
        <f t="shared" si="198"/>
        <v/>
      </c>
      <c r="R505" s="122" t="str">
        <f t="shared" si="199"/>
        <v/>
      </c>
      <c r="S505" s="98"/>
    </row>
    <row r="506" spans="2:19" x14ac:dyDescent="0.25">
      <c r="B506" s="152"/>
      <c r="C506" s="143"/>
      <c r="D506" s="143"/>
      <c r="E506" s="152"/>
      <c r="F506" s="153"/>
      <c r="G506" s="152"/>
      <c r="H506" s="90">
        <v>9</v>
      </c>
      <c r="I506" s="98"/>
      <c r="J506" s="99"/>
      <c r="K506" s="121" t="str">
        <f t="shared" si="195"/>
        <v/>
      </c>
      <c r="L506" s="99"/>
      <c r="M506" s="121" t="str">
        <f t="shared" si="196"/>
        <v/>
      </c>
      <c r="N506" s="99"/>
      <c r="O506" s="121" t="str">
        <f t="shared" si="197"/>
        <v/>
      </c>
      <c r="P506" s="91"/>
      <c r="Q506" s="122" t="str">
        <f t="shared" si="198"/>
        <v/>
      </c>
      <c r="R506" s="122" t="str">
        <f t="shared" si="199"/>
        <v/>
      </c>
      <c r="S506" s="98"/>
    </row>
    <row r="507" spans="2:19" x14ac:dyDescent="0.25">
      <c r="B507" s="154"/>
      <c r="C507" s="142"/>
      <c r="D507" s="142"/>
      <c r="E507" s="154"/>
      <c r="F507" s="155"/>
      <c r="G507" s="154"/>
      <c r="H507" s="108">
        <v>10</v>
      </c>
      <c r="I507" s="109"/>
      <c r="J507" s="110"/>
      <c r="K507" s="123" t="str">
        <f t="shared" si="195"/>
        <v/>
      </c>
      <c r="L507" s="110"/>
      <c r="M507" s="123" t="str">
        <f t="shared" si="196"/>
        <v/>
      </c>
      <c r="N507" s="110"/>
      <c r="O507" s="123" t="str">
        <f t="shared" si="197"/>
        <v/>
      </c>
      <c r="P507" s="105"/>
      <c r="Q507" s="124" t="str">
        <f t="shared" si="198"/>
        <v/>
      </c>
      <c r="R507" s="124" t="str">
        <f t="shared" si="199"/>
        <v/>
      </c>
      <c r="S507" s="109"/>
    </row>
    <row r="508" spans="2:19" x14ac:dyDescent="0.25">
      <c r="B508" s="148">
        <v>84</v>
      </c>
      <c r="C508" s="149" t="s">
        <v>44</v>
      </c>
      <c r="D508" s="149" t="s">
        <v>109</v>
      </c>
      <c r="E508" s="148" t="s">
        <v>256</v>
      </c>
      <c r="F508" s="150"/>
      <c r="G508" s="148"/>
      <c r="H508" s="151"/>
      <c r="I508" s="151"/>
      <c r="J508" s="96" t="str">
        <f>_xlfn.XLOOKUP(1,$K$509:$K$515,$I$509:$I$515, "-", 0)</f>
        <v>-</v>
      </c>
      <c r="K508" s="151"/>
      <c r="L508" s="96" t="str">
        <f>_xlfn.XLOOKUP(1,$M$509:$M$515,$I$509:$I$515, "-", 0)</f>
        <v>-</v>
      </c>
      <c r="M508" s="151"/>
      <c r="N508" s="96" t="str">
        <f>_xlfn.XLOOKUP(1,$O$509:$O$515,$I$509:$I$515, "-", 0)</f>
        <v>-</v>
      </c>
      <c r="O508" s="151"/>
      <c r="P508" s="97" t="str">
        <f>IF(COUNTIF($P$509:$P$515,"Yes")&gt;0,"Yes","")</f>
        <v/>
      </c>
      <c r="Q508" s="96">
        <f>SUM($Q$509:$Q$515)</f>
        <v>0</v>
      </c>
      <c r="R508" s="96" t="str">
        <f>IF($Q$508&gt;0,$F$508-$Q$508,"")</f>
        <v/>
      </c>
      <c r="S508" s="151"/>
    </row>
    <row r="509" spans="2:19" x14ac:dyDescent="0.25">
      <c r="B509" s="152"/>
      <c r="C509" s="143"/>
      <c r="D509" s="143"/>
      <c r="E509" s="152"/>
      <c r="F509" s="153"/>
      <c r="G509" s="152"/>
      <c r="H509" s="90">
        <v>1</v>
      </c>
      <c r="I509" s="98"/>
      <c r="J509" s="99"/>
      <c r="K509" s="121" t="str">
        <f t="shared" ref="K509:K515" si="200">IF($J509="","",RANK(J509,$J$509:$J$515,1))</f>
        <v/>
      </c>
      <c r="L509" s="99"/>
      <c r="M509" s="121" t="str">
        <f t="shared" ref="M509:M515" si="201">IF($L509="","",RANK(L509,$L$509:$L$515,1))</f>
        <v/>
      </c>
      <c r="N509" s="99"/>
      <c r="O509" s="121" t="str">
        <f t="shared" ref="O509:O515" si="202">IF($N509="","",RANK(N509,$N$509:$N$515,1))</f>
        <v/>
      </c>
      <c r="P509" s="91"/>
      <c r="Q509" s="122" t="str">
        <f t="shared" ref="Q509:Q515" si="203">IF($P509="Yes",IF($N509&gt;0,$N509,IF($L509&gt;0,$L509,IF($J509&gt;0,$J509,""))),"")</f>
        <v/>
      </c>
      <c r="R509" s="122" t="str">
        <f t="shared" ref="R509:R515" si="204">IFERROR(IF(INT($Q509)&gt;0,$F$508-$Q509,""),"")</f>
        <v/>
      </c>
      <c r="S509" s="98"/>
    </row>
    <row r="510" spans="2:19" x14ac:dyDescent="0.25">
      <c r="B510" s="152"/>
      <c r="C510" s="143"/>
      <c r="D510" s="143"/>
      <c r="E510" s="152"/>
      <c r="F510" s="153"/>
      <c r="G510" s="152"/>
      <c r="H510" s="90">
        <v>2</v>
      </c>
      <c r="I510" s="98"/>
      <c r="J510" s="99"/>
      <c r="K510" s="121" t="str">
        <f t="shared" si="200"/>
        <v/>
      </c>
      <c r="L510" s="99"/>
      <c r="M510" s="121" t="str">
        <f t="shared" si="201"/>
        <v/>
      </c>
      <c r="N510" s="99"/>
      <c r="O510" s="121" t="str">
        <f t="shared" si="202"/>
        <v/>
      </c>
      <c r="P510" s="91"/>
      <c r="Q510" s="122" t="str">
        <f t="shared" si="203"/>
        <v/>
      </c>
      <c r="R510" s="122" t="str">
        <f t="shared" si="204"/>
        <v/>
      </c>
      <c r="S510" s="98"/>
    </row>
    <row r="511" spans="2:19" x14ac:dyDescent="0.25">
      <c r="B511" s="152"/>
      <c r="C511" s="143"/>
      <c r="D511" s="143"/>
      <c r="E511" s="152"/>
      <c r="F511" s="153"/>
      <c r="G511" s="152"/>
      <c r="H511" s="90">
        <v>3</v>
      </c>
      <c r="I511" s="98"/>
      <c r="J511" s="99"/>
      <c r="K511" s="121" t="str">
        <f t="shared" si="200"/>
        <v/>
      </c>
      <c r="L511" s="99"/>
      <c r="M511" s="121" t="str">
        <f t="shared" si="201"/>
        <v/>
      </c>
      <c r="N511" s="99"/>
      <c r="O511" s="121" t="str">
        <f t="shared" si="202"/>
        <v/>
      </c>
      <c r="P511" s="91"/>
      <c r="Q511" s="122" t="str">
        <f t="shared" si="203"/>
        <v/>
      </c>
      <c r="R511" s="122" t="str">
        <f t="shared" si="204"/>
        <v/>
      </c>
      <c r="S511" s="98"/>
    </row>
    <row r="512" spans="2:19" x14ac:dyDescent="0.25">
      <c r="B512" s="152"/>
      <c r="C512" s="143"/>
      <c r="D512" s="143"/>
      <c r="E512" s="152"/>
      <c r="F512" s="153"/>
      <c r="G512" s="152"/>
      <c r="H512" s="90">
        <v>4</v>
      </c>
      <c r="I512" s="98"/>
      <c r="J512" s="99"/>
      <c r="K512" s="121" t="str">
        <f t="shared" si="200"/>
        <v/>
      </c>
      <c r="L512" s="99"/>
      <c r="M512" s="121" t="str">
        <f t="shared" si="201"/>
        <v/>
      </c>
      <c r="N512" s="99"/>
      <c r="O512" s="121" t="str">
        <f t="shared" si="202"/>
        <v/>
      </c>
      <c r="P512" s="91"/>
      <c r="Q512" s="122" t="str">
        <f t="shared" si="203"/>
        <v/>
      </c>
      <c r="R512" s="122" t="str">
        <f t="shared" si="204"/>
        <v/>
      </c>
      <c r="S512" s="98"/>
    </row>
    <row r="513" spans="2:19" x14ac:dyDescent="0.25">
      <c r="B513" s="152"/>
      <c r="C513" s="143"/>
      <c r="D513" s="143"/>
      <c r="E513" s="152"/>
      <c r="F513" s="153"/>
      <c r="G513" s="152"/>
      <c r="H513" s="90">
        <v>5</v>
      </c>
      <c r="I513" s="98"/>
      <c r="J513" s="99"/>
      <c r="K513" s="121" t="str">
        <f t="shared" si="200"/>
        <v/>
      </c>
      <c r="L513" s="99"/>
      <c r="M513" s="121" t="str">
        <f t="shared" si="201"/>
        <v/>
      </c>
      <c r="N513" s="99"/>
      <c r="O513" s="121" t="str">
        <f t="shared" si="202"/>
        <v/>
      </c>
      <c r="P513" s="91"/>
      <c r="Q513" s="122" t="str">
        <f t="shared" si="203"/>
        <v/>
      </c>
      <c r="R513" s="122" t="str">
        <f t="shared" si="204"/>
        <v/>
      </c>
      <c r="S513" s="98"/>
    </row>
    <row r="514" spans="2:19" x14ac:dyDescent="0.25">
      <c r="B514" s="154"/>
      <c r="C514" s="142"/>
      <c r="D514" s="142"/>
      <c r="E514" s="154"/>
      <c r="F514" s="155"/>
      <c r="G514" s="154"/>
      <c r="H514" s="108">
        <v>6</v>
      </c>
      <c r="I514" s="109"/>
      <c r="J514" s="110"/>
      <c r="K514" s="123" t="str">
        <f t="shared" si="200"/>
        <v/>
      </c>
      <c r="L514" s="110"/>
      <c r="M514" s="123" t="str">
        <f t="shared" si="201"/>
        <v/>
      </c>
      <c r="N514" s="110"/>
      <c r="O514" s="123" t="str">
        <f t="shared" si="202"/>
        <v/>
      </c>
      <c r="P514" s="105"/>
      <c r="Q514" s="124" t="str">
        <f t="shared" si="203"/>
        <v/>
      </c>
      <c r="R514" s="124" t="str">
        <f t="shared" si="204"/>
        <v/>
      </c>
      <c r="S514" s="109"/>
    </row>
    <row r="515" spans="2:19" x14ac:dyDescent="0.25">
      <c r="B515" s="152"/>
      <c r="C515" s="143"/>
      <c r="D515" s="143"/>
      <c r="E515" s="152"/>
      <c r="F515" s="153"/>
      <c r="G515" s="152"/>
      <c r="H515" s="90">
        <v>7</v>
      </c>
      <c r="I515" s="98"/>
      <c r="J515" s="99"/>
      <c r="K515" s="121" t="str">
        <f t="shared" si="200"/>
        <v/>
      </c>
      <c r="L515" s="99"/>
      <c r="M515" s="121" t="str">
        <f t="shared" si="201"/>
        <v/>
      </c>
      <c r="N515" s="99"/>
      <c r="O515" s="121" t="str">
        <f t="shared" si="202"/>
        <v/>
      </c>
      <c r="P515" s="91"/>
      <c r="Q515" s="122" t="str">
        <f t="shared" si="203"/>
        <v/>
      </c>
      <c r="R515" s="122" t="str">
        <f t="shared" si="204"/>
        <v/>
      </c>
      <c r="S515" s="98"/>
    </row>
    <row r="516" spans="2:19" x14ac:dyDescent="0.25">
      <c r="B516" s="156">
        <v>87</v>
      </c>
      <c r="C516" s="157" t="s">
        <v>44</v>
      </c>
      <c r="D516" s="157" t="s">
        <v>110</v>
      </c>
      <c r="E516" s="156" t="s">
        <v>257</v>
      </c>
      <c r="F516" s="158"/>
      <c r="G516" s="156"/>
      <c r="H516" s="159"/>
      <c r="I516" s="159"/>
      <c r="J516" s="113" t="str">
        <f>_xlfn.XLOOKUP(1,$K$517:$K$523,$I$517:$I$523, "-", 0)</f>
        <v>-</v>
      </c>
      <c r="K516" s="159"/>
      <c r="L516" s="113" t="str">
        <f>_xlfn.XLOOKUP(1,$M$517:$M$523,$I$517:$I$523, "-", 0)</f>
        <v>-</v>
      </c>
      <c r="M516" s="159"/>
      <c r="N516" s="113" t="str">
        <f>_xlfn.XLOOKUP(1,$O$517:$O$523,$I$517:$I$523, "-", 0)</f>
        <v>-</v>
      </c>
      <c r="O516" s="159"/>
      <c r="P516" s="114" t="str">
        <f>IF(COUNTIF($P$517:$P$523,"Yes")&gt;0,"Yes","")</f>
        <v/>
      </c>
      <c r="Q516" s="113">
        <f>SUM($Q$517:$Q$523)</f>
        <v>0</v>
      </c>
      <c r="R516" s="113" t="str">
        <f>IF($Q$516&gt;0,$F$516-$Q$516,"")</f>
        <v/>
      </c>
      <c r="S516" s="159"/>
    </row>
    <row r="517" spans="2:19" x14ac:dyDescent="0.25">
      <c r="B517" s="152"/>
      <c r="C517" s="143"/>
      <c r="D517" s="143"/>
      <c r="E517" s="152"/>
      <c r="F517" s="153"/>
      <c r="G517" s="152"/>
      <c r="H517" s="90">
        <v>1</v>
      </c>
      <c r="I517" s="98"/>
      <c r="J517" s="99"/>
      <c r="K517" s="121" t="str">
        <f t="shared" ref="K517:K523" si="205">IF($J517="","",RANK(J517,$J$517:$J$523,1))</f>
        <v/>
      </c>
      <c r="L517" s="99"/>
      <c r="M517" s="121" t="str">
        <f t="shared" ref="M517:M523" si="206">IF($L517="","",RANK(L517,$L$517:$L$523,1))</f>
        <v/>
      </c>
      <c r="N517" s="99"/>
      <c r="O517" s="121" t="str">
        <f t="shared" ref="O517:O523" si="207">IF($N517="","",RANK(N517,$N$517:$N$523,1))</f>
        <v/>
      </c>
      <c r="P517" s="91"/>
      <c r="Q517" s="122" t="str">
        <f t="shared" ref="Q517:Q523" si="208">IF($P517="Yes",IF($N517&gt;0,$N517,IF($L517&gt;0,$L517,IF($J517&gt;0,$J517,""))),"")</f>
        <v/>
      </c>
      <c r="R517" s="122" t="str">
        <f t="shared" ref="R517:R523" si="209">IFERROR(IF(INT($Q517)&gt;0,$F$516-$Q517,""),"")</f>
        <v/>
      </c>
      <c r="S517" s="98"/>
    </row>
    <row r="518" spans="2:19" x14ac:dyDescent="0.25">
      <c r="B518" s="152"/>
      <c r="C518" s="143"/>
      <c r="D518" s="143"/>
      <c r="E518" s="152"/>
      <c r="F518" s="153"/>
      <c r="G518" s="152"/>
      <c r="H518" s="90">
        <v>2</v>
      </c>
      <c r="I518" s="98"/>
      <c r="J518" s="99"/>
      <c r="K518" s="121" t="str">
        <f t="shared" si="205"/>
        <v/>
      </c>
      <c r="L518" s="99"/>
      <c r="M518" s="121" t="str">
        <f t="shared" si="206"/>
        <v/>
      </c>
      <c r="N518" s="99"/>
      <c r="O518" s="121" t="str">
        <f t="shared" si="207"/>
        <v/>
      </c>
      <c r="P518" s="91"/>
      <c r="Q518" s="122" t="str">
        <f t="shared" si="208"/>
        <v/>
      </c>
      <c r="R518" s="122" t="str">
        <f t="shared" si="209"/>
        <v/>
      </c>
      <c r="S518" s="98"/>
    </row>
    <row r="519" spans="2:19" x14ac:dyDescent="0.25">
      <c r="B519" s="152"/>
      <c r="C519" s="143"/>
      <c r="D519" s="143"/>
      <c r="E519" s="152"/>
      <c r="F519" s="153"/>
      <c r="G519" s="152"/>
      <c r="H519" s="90">
        <v>3</v>
      </c>
      <c r="I519" s="98"/>
      <c r="J519" s="99"/>
      <c r="K519" s="121" t="str">
        <f t="shared" si="205"/>
        <v/>
      </c>
      <c r="L519" s="99"/>
      <c r="M519" s="121" t="str">
        <f t="shared" si="206"/>
        <v/>
      </c>
      <c r="N519" s="99"/>
      <c r="O519" s="121" t="str">
        <f t="shared" si="207"/>
        <v/>
      </c>
      <c r="P519" s="91"/>
      <c r="Q519" s="122" t="str">
        <f t="shared" si="208"/>
        <v/>
      </c>
      <c r="R519" s="122" t="str">
        <f t="shared" si="209"/>
        <v/>
      </c>
      <c r="S519" s="98"/>
    </row>
    <row r="520" spans="2:19" x14ac:dyDescent="0.25">
      <c r="B520" s="152"/>
      <c r="C520" s="143"/>
      <c r="D520" s="143"/>
      <c r="E520" s="152"/>
      <c r="F520" s="153"/>
      <c r="G520" s="152"/>
      <c r="H520" s="90">
        <v>4</v>
      </c>
      <c r="I520" s="98"/>
      <c r="J520" s="99"/>
      <c r="K520" s="121" t="str">
        <f t="shared" si="205"/>
        <v/>
      </c>
      <c r="L520" s="99"/>
      <c r="M520" s="121" t="str">
        <f t="shared" si="206"/>
        <v/>
      </c>
      <c r="N520" s="99"/>
      <c r="O520" s="121" t="str">
        <f t="shared" si="207"/>
        <v/>
      </c>
      <c r="P520" s="91"/>
      <c r="Q520" s="122" t="str">
        <f t="shared" si="208"/>
        <v/>
      </c>
      <c r="R520" s="122" t="str">
        <f t="shared" si="209"/>
        <v/>
      </c>
      <c r="S520" s="98"/>
    </row>
    <row r="521" spans="2:19" x14ac:dyDescent="0.25">
      <c r="B521" s="152"/>
      <c r="C521" s="143"/>
      <c r="D521" s="143"/>
      <c r="E521" s="152"/>
      <c r="F521" s="153"/>
      <c r="G521" s="152"/>
      <c r="H521" s="90">
        <v>5</v>
      </c>
      <c r="I521" s="98"/>
      <c r="J521" s="99"/>
      <c r="K521" s="121" t="str">
        <f t="shared" si="205"/>
        <v/>
      </c>
      <c r="L521" s="99"/>
      <c r="M521" s="121" t="str">
        <f t="shared" si="206"/>
        <v/>
      </c>
      <c r="N521" s="99"/>
      <c r="O521" s="121" t="str">
        <f t="shared" si="207"/>
        <v/>
      </c>
      <c r="P521" s="91"/>
      <c r="Q521" s="122" t="str">
        <f t="shared" si="208"/>
        <v/>
      </c>
      <c r="R521" s="122" t="str">
        <f t="shared" si="209"/>
        <v/>
      </c>
      <c r="S521" s="98"/>
    </row>
    <row r="522" spans="2:19" x14ac:dyDescent="0.25">
      <c r="B522" s="152"/>
      <c r="C522" s="143"/>
      <c r="D522" s="143"/>
      <c r="E522" s="152"/>
      <c r="F522" s="153"/>
      <c r="G522" s="152"/>
      <c r="H522" s="90">
        <v>6</v>
      </c>
      <c r="I522" s="98"/>
      <c r="J522" s="99"/>
      <c r="K522" s="121" t="str">
        <f t="shared" si="205"/>
        <v/>
      </c>
      <c r="L522" s="99"/>
      <c r="M522" s="121" t="str">
        <f t="shared" si="206"/>
        <v/>
      </c>
      <c r="N522" s="99"/>
      <c r="O522" s="121" t="str">
        <f t="shared" si="207"/>
        <v/>
      </c>
      <c r="P522" s="91"/>
      <c r="Q522" s="122" t="str">
        <f t="shared" si="208"/>
        <v/>
      </c>
      <c r="R522" s="122" t="str">
        <f t="shared" si="209"/>
        <v/>
      </c>
      <c r="S522" s="98"/>
    </row>
    <row r="523" spans="2:19" x14ac:dyDescent="0.25">
      <c r="B523" s="154"/>
      <c r="C523" s="142"/>
      <c r="D523" s="142"/>
      <c r="E523" s="154"/>
      <c r="F523" s="155"/>
      <c r="G523" s="154"/>
      <c r="H523" s="108">
        <v>7</v>
      </c>
      <c r="I523" s="109"/>
      <c r="J523" s="110"/>
      <c r="K523" s="123" t="str">
        <f t="shared" si="205"/>
        <v/>
      </c>
      <c r="L523" s="110"/>
      <c r="M523" s="123" t="str">
        <f t="shared" si="206"/>
        <v/>
      </c>
      <c r="N523" s="110"/>
      <c r="O523" s="123" t="str">
        <f t="shared" si="207"/>
        <v/>
      </c>
      <c r="P523" s="105"/>
      <c r="Q523" s="124" t="str">
        <f t="shared" si="208"/>
        <v/>
      </c>
      <c r="R523" s="124" t="str">
        <f t="shared" si="209"/>
        <v/>
      </c>
      <c r="S523" s="109"/>
    </row>
    <row r="524" spans="2:19" x14ac:dyDescent="0.25">
      <c r="B524" s="148">
        <v>88</v>
      </c>
      <c r="C524" s="149" t="s">
        <v>44</v>
      </c>
      <c r="D524" s="149" t="s">
        <v>111</v>
      </c>
      <c r="E524" s="148" t="s">
        <v>257</v>
      </c>
      <c r="F524" s="150"/>
      <c r="G524" s="148"/>
      <c r="H524" s="151"/>
      <c r="I524" s="151"/>
      <c r="J524" s="96" t="str">
        <f>_xlfn.XLOOKUP(1,$K$525:$K$531,$I$525:$I$531, "-", 0)</f>
        <v>-</v>
      </c>
      <c r="K524" s="151"/>
      <c r="L524" s="96" t="str">
        <f>_xlfn.XLOOKUP(1,$M$525:$M$531,$I$525:$I$531, "-", 0)</f>
        <v>-</v>
      </c>
      <c r="M524" s="151"/>
      <c r="N524" s="96" t="str">
        <f>_xlfn.XLOOKUP(1,$O$525:$O$531,$I$525:$I$531, "-", 0)</f>
        <v>-</v>
      </c>
      <c r="O524" s="151"/>
      <c r="P524" s="97" t="str">
        <f>IF(COUNTIF($P$525:$P$531,"Yes")&gt;0,"Yes","")</f>
        <v/>
      </c>
      <c r="Q524" s="96">
        <f>SUM($Q$525:$Q$531)</f>
        <v>0</v>
      </c>
      <c r="R524" s="96" t="str">
        <f>IF($Q$524&gt;0,$F$524-$Q$524,"")</f>
        <v/>
      </c>
      <c r="S524" s="151"/>
    </row>
    <row r="525" spans="2:19" x14ac:dyDescent="0.25">
      <c r="B525" s="152"/>
      <c r="C525" s="143"/>
      <c r="D525" s="143"/>
      <c r="E525" s="152"/>
      <c r="F525" s="153"/>
      <c r="G525" s="152"/>
      <c r="H525" s="90">
        <v>1</v>
      </c>
      <c r="I525" s="98"/>
      <c r="J525" s="99"/>
      <c r="K525" s="121" t="str">
        <f t="shared" ref="K525:K531" si="210">IF($J525="","",RANK(J525,$J$525:$J$531,1))</f>
        <v/>
      </c>
      <c r="L525" s="99"/>
      <c r="M525" s="121" t="str">
        <f t="shared" ref="M525:M531" si="211">IF($L525="","",RANK(L525,$L$525:$L$531,1))</f>
        <v/>
      </c>
      <c r="N525" s="99"/>
      <c r="O525" s="121" t="str">
        <f t="shared" ref="O525:O531" si="212">IF($N525="","",RANK(N525,$N$525:$N$531,1))</f>
        <v/>
      </c>
      <c r="P525" s="91"/>
      <c r="Q525" s="122" t="str">
        <f t="shared" ref="Q525:Q531" si="213">IF($P525="Yes",IF($N525&gt;0,$N525,IF($L525&gt;0,$L525,IF($J525&gt;0,$J525,""))),"")</f>
        <v/>
      </c>
      <c r="R525" s="122" t="str">
        <f t="shared" ref="R525:R531" si="214">IFERROR(IF(INT($Q525)&gt;0,$F$524-$Q525,""),"")</f>
        <v/>
      </c>
      <c r="S525" s="98"/>
    </row>
    <row r="526" spans="2:19" x14ac:dyDescent="0.25">
      <c r="B526" s="152"/>
      <c r="C526" s="143"/>
      <c r="D526" s="143"/>
      <c r="E526" s="152"/>
      <c r="F526" s="153"/>
      <c r="G526" s="152"/>
      <c r="H526" s="90">
        <v>2</v>
      </c>
      <c r="I526" s="98"/>
      <c r="J526" s="99"/>
      <c r="K526" s="121" t="str">
        <f t="shared" si="210"/>
        <v/>
      </c>
      <c r="L526" s="99"/>
      <c r="M526" s="121" t="str">
        <f t="shared" si="211"/>
        <v/>
      </c>
      <c r="N526" s="99"/>
      <c r="O526" s="121" t="str">
        <f t="shared" si="212"/>
        <v/>
      </c>
      <c r="P526" s="91"/>
      <c r="Q526" s="122" t="str">
        <f t="shared" si="213"/>
        <v/>
      </c>
      <c r="R526" s="122" t="str">
        <f t="shared" si="214"/>
        <v/>
      </c>
      <c r="S526" s="98"/>
    </row>
    <row r="527" spans="2:19" x14ac:dyDescent="0.25">
      <c r="B527" s="152"/>
      <c r="C527" s="143"/>
      <c r="D527" s="143"/>
      <c r="E527" s="152"/>
      <c r="F527" s="153"/>
      <c r="G527" s="152"/>
      <c r="H527" s="90">
        <v>3</v>
      </c>
      <c r="I527" s="98"/>
      <c r="J527" s="99"/>
      <c r="K527" s="121" t="str">
        <f t="shared" si="210"/>
        <v/>
      </c>
      <c r="L527" s="99"/>
      <c r="M527" s="121" t="str">
        <f t="shared" si="211"/>
        <v/>
      </c>
      <c r="N527" s="99"/>
      <c r="O527" s="121" t="str">
        <f t="shared" si="212"/>
        <v/>
      </c>
      <c r="P527" s="91"/>
      <c r="Q527" s="122" t="str">
        <f t="shared" si="213"/>
        <v/>
      </c>
      <c r="R527" s="122" t="str">
        <f t="shared" si="214"/>
        <v/>
      </c>
      <c r="S527" s="98"/>
    </row>
    <row r="528" spans="2:19" x14ac:dyDescent="0.25">
      <c r="B528" s="152"/>
      <c r="C528" s="143"/>
      <c r="D528" s="143"/>
      <c r="E528" s="152"/>
      <c r="F528" s="153"/>
      <c r="G528" s="152"/>
      <c r="H528" s="90">
        <v>4</v>
      </c>
      <c r="I528" s="98"/>
      <c r="J528" s="99"/>
      <c r="K528" s="121" t="str">
        <f t="shared" si="210"/>
        <v/>
      </c>
      <c r="L528" s="99"/>
      <c r="M528" s="121" t="str">
        <f t="shared" si="211"/>
        <v/>
      </c>
      <c r="N528" s="99"/>
      <c r="O528" s="121" t="str">
        <f t="shared" si="212"/>
        <v/>
      </c>
      <c r="P528" s="91"/>
      <c r="Q528" s="122" t="str">
        <f t="shared" si="213"/>
        <v/>
      </c>
      <c r="R528" s="122" t="str">
        <f t="shared" si="214"/>
        <v/>
      </c>
      <c r="S528" s="98"/>
    </row>
    <row r="529" spans="2:19" x14ac:dyDescent="0.25">
      <c r="B529" s="152"/>
      <c r="C529" s="143"/>
      <c r="D529" s="143"/>
      <c r="E529" s="152"/>
      <c r="F529" s="153"/>
      <c r="G529" s="152"/>
      <c r="H529" s="90">
        <v>5</v>
      </c>
      <c r="I529" s="98"/>
      <c r="J529" s="99"/>
      <c r="K529" s="121" t="str">
        <f t="shared" si="210"/>
        <v/>
      </c>
      <c r="L529" s="99"/>
      <c r="M529" s="121" t="str">
        <f t="shared" si="211"/>
        <v/>
      </c>
      <c r="N529" s="99"/>
      <c r="O529" s="121" t="str">
        <f t="shared" si="212"/>
        <v/>
      </c>
      <c r="P529" s="91"/>
      <c r="Q529" s="122" t="str">
        <f t="shared" si="213"/>
        <v/>
      </c>
      <c r="R529" s="122" t="str">
        <f t="shared" si="214"/>
        <v/>
      </c>
      <c r="S529" s="98"/>
    </row>
    <row r="530" spans="2:19" x14ac:dyDescent="0.25">
      <c r="B530" s="152"/>
      <c r="C530" s="143"/>
      <c r="D530" s="143"/>
      <c r="E530" s="152"/>
      <c r="F530" s="153"/>
      <c r="G530" s="152"/>
      <c r="H530" s="90">
        <v>6</v>
      </c>
      <c r="I530" s="98"/>
      <c r="J530" s="99"/>
      <c r="K530" s="121" t="str">
        <f t="shared" si="210"/>
        <v/>
      </c>
      <c r="L530" s="99"/>
      <c r="M530" s="121" t="str">
        <f t="shared" si="211"/>
        <v/>
      </c>
      <c r="N530" s="99"/>
      <c r="O530" s="121" t="str">
        <f t="shared" si="212"/>
        <v/>
      </c>
      <c r="P530" s="91"/>
      <c r="Q530" s="122" t="str">
        <f t="shared" si="213"/>
        <v/>
      </c>
      <c r="R530" s="122" t="str">
        <f t="shared" si="214"/>
        <v/>
      </c>
      <c r="S530" s="98"/>
    </row>
    <row r="531" spans="2:19" x14ac:dyDescent="0.25">
      <c r="B531" s="154"/>
      <c r="C531" s="142"/>
      <c r="D531" s="142"/>
      <c r="E531" s="154"/>
      <c r="F531" s="155"/>
      <c r="G531" s="154"/>
      <c r="H531" s="108">
        <v>7</v>
      </c>
      <c r="I531" s="109"/>
      <c r="J531" s="110"/>
      <c r="K531" s="123" t="str">
        <f t="shared" si="210"/>
        <v/>
      </c>
      <c r="L531" s="110"/>
      <c r="M531" s="123" t="str">
        <f t="shared" si="211"/>
        <v/>
      </c>
      <c r="N531" s="110"/>
      <c r="O531" s="123" t="str">
        <f t="shared" si="212"/>
        <v/>
      </c>
      <c r="P531" s="105"/>
      <c r="Q531" s="124" t="str">
        <f t="shared" si="213"/>
        <v/>
      </c>
      <c r="R531" s="124" t="str">
        <f t="shared" si="214"/>
        <v/>
      </c>
      <c r="S531" s="109"/>
    </row>
    <row r="532" spans="2:19" x14ac:dyDescent="0.25">
      <c r="B532" s="148">
        <v>89</v>
      </c>
      <c r="C532" s="149" t="s">
        <v>53</v>
      </c>
      <c r="D532" s="149" t="s">
        <v>112</v>
      </c>
      <c r="E532" s="148" t="s">
        <v>258</v>
      </c>
      <c r="F532" s="150">
        <v>1252440</v>
      </c>
      <c r="G532" s="148"/>
      <c r="H532" s="151"/>
      <c r="I532" s="151"/>
      <c r="J532" s="96" t="str">
        <f>_xlfn.XLOOKUP(1,$K$533:$K$535,$I$533:$I$535,"-",0)</f>
        <v xml:space="preserve">Casamia </v>
      </c>
      <c r="K532" s="151"/>
      <c r="L532" s="96" t="str">
        <f>_xlfn.XLOOKUP(1,$M$533:$M$535,$I$533:$I$535,"-",0)</f>
        <v xml:space="preserve">Casamia </v>
      </c>
      <c r="M532" s="151"/>
      <c r="N532" s="96" t="str">
        <f>_xlfn.XLOOKUP(1,$O$533:$O$535,$I$533:$I$535,"-",0)</f>
        <v xml:space="preserve">Casamia </v>
      </c>
      <c r="O532" s="151"/>
      <c r="P532" s="97" t="str">
        <f>IF(COUNTIF($P$533:$P$535,"Yes")&gt;0,"Yes","")</f>
        <v>Yes</v>
      </c>
      <c r="Q532" s="96">
        <f>SUM($Q$533:$Q$535)</f>
        <v>1252440</v>
      </c>
      <c r="R532" s="96">
        <f>IF($Q$532&gt;0,$F$532-$Q$532,"")</f>
        <v>0</v>
      </c>
      <c r="S532" s="151"/>
    </row>
    <row r="533" spans="2:19" x14ac:dyDescent="0.25">
      <c r="B533" s="152"/>
      <c r="C533" s="143"/>
      <c r="D533" s="143"/>
      <c r="E533" s="152"/>
      <c r="F533" s="153"/>
      <c r="G533" s="152"/>
      <c r="H533" s="90">
        <v>1</v>
      </c>
      <c r="I533" s="98" t="s">
        <v>299</v>
      </c>
      <c r="J533" s="99">
        <v>1252440</v>
      </c>
      <c r="K533" s="121">
        <f>IF($J533="","",RANK(J533,$J$533:$J$535,1))</f>
        <v>1</v>
      </c>
      <c r="L533" s="99">
        <f>J533</f>
        <v>1252440</v>
      </c>
      <c r="M533" s="121">
        <f>IF($L533="","",RANK(L533,$L$533:$L$535,1))</f>
        <v>1</v>
      </c>
      <c r="N533" s="99">
        <f>L533</f>
        <v>1252440</v>
      </c>
      <c r="O533" s="121">
        <f>IF($N533="","",RANK(N533,$N$533:$N$535,1))</f>
        <v>1</v>
      </c>
      <c r="P533" s="91" t="s">
        <v>276</v>
      </c>
      <c r="Q533" s="122">
        <f>IF($P533="Yes",IF($N533&gt;0,$N533,IF($L533&gt;0,$L533,IF($J533&gt;0,$J533,""))),"")</f>
        <v>1252440</v>
      </c>
      <c r="R533" s="122">
        <f>IFERROR(IF(INT($Q533)&gt;0,$F$532-$Q533,""),"")</f>
        <v>0</v>
      </c>
      <c r="S533" s="98"/>
    </row>
    <row r="534" spans="2:19" x14ac:dyDescent="0.25">
      <c r="B534" s="152"/>
      <c r="C534" s="143"/>
      <c r="D534" s="143"/>
      <c r="E534" s="152"/>
      <c r="F534" s="153"/>
      <c r="G534" s="152"/>
      <c r="H534" s="90">
        <v>2</v>
      </c>
      <c r="I534" s="98"/>
      <c r="J534" s="99"/>
      <c r="K534" s="121" t="str">
        <f>IF($J534="","",RANK(J534,$J$533:$J$535,1))</f>
        <v/>
      </c>
      <c r="L534" s="99"/>
      <c r="M534" s="121" t="str">
        <f>IF($L534="","",RANK(L534,$L$533:$L$535,1))</f>
        <v/>
      </c>
      <c r="N534" s="99"/>
      <c r="O534" s="121" t="str">
        <f>IF($N534="","",RANK(N534,$N$533:$N$535,1))</f>
        <v/>
      </c>
      <c r="P534" s="91"/>
      <c r="Q534" s="122" t="str">
        <f>IF($P534="Yes",IF($N534&gt;0,$N534,IF($L534&gt;0,$L534,IF($J534&gt;0,$J534,""))),"")</f>
        <v/>
      </c>
      <c r="R534" s="122" t="str">
        <f>IFERROR(IF(INT($Q534)&gt;0,$F$532-$Q534,""),"")</f>
        <v/>
      </c>
      <c r="S534" s="98"/>
    </row>
    <row r="535" spans="2:19" x14ac:dyDescent="0.25">
      <c r="B535" s="154"/>
      <c r="C535" s="142"/>
      <c r="D535" s="142"/>
      <c r="E535" s="154"/>
      <c r="F535" s="155"/>
      <c r="G535" s="154"/>
      <c r="H535" s="108">
        <v>3</v>
      </c>
      <c r="I535" s="109"/>
      <c r="J535" s="110"/>
      <c r="K535" s="123" t="str">
        <f>IF($J535="","",RANK(J535,$J$533:$J$535,1))</f>
        <v/>
      </c>
      <c r="L535" s="110"/>
      <c r="M535" s="123" t="str">
        <f>IF($L535="","",RANK(L535,$L$533:$L$535,1))</f>
        <v/>
      </c>
      <c r="N535" s="110"/>
      <c r="O535" s="123" t="str">
        <f>IF($N535="","",RANK(N535,$N$533:$N$535,1))</f>
        <v/>
      </c>
      <c r="P535" s="105"/>
      <c r="Q535" s="124" t="str">
        <f>IF($P535="Yes",IF($N535&gt;0,$N535,IF($L535&gt;0,$L535,IF($J535&gt;0,$J535,""))),"")</f>
        <v/>
      </c>
      <c r="R535" s="124" t="str">
        <f>IFERROR(IF(INT($Q535)&gt;0,$F$532-$Q535,""),"")</f>
        <v/>
      </c>
      <c r="S535" s="109"/>
    </row>
    <row r="536" spans="2:19" x14ac:dyDescent="0.25">
      <c r="B536" s="148">
        <v>90</v>
      </c>
      <c r="C536" s="149" t="s">
        <v>44</v>
      </c>
      <c r="D536" s="149" t="s">
        <v>113</v>
      </c>
      <c r="E536" s="148" t="s">
        <v>261</v>
      </c>
      <c r="F536" s="150">
        <v>3598860</v>
      </c>
      <c r="G536" s="148"/>
      <c r="H536" s="151"/>
      <c r="I536" s="151"/>
      <c r="J536" s="96" t="str">
        <f>_xlfn.XLOOKUP(1,$K$537:$K$540,$I$537:$I$540,"-",0)</f>
        <v xml:space="preserve">Eastern </v>
      </c>
      <c r="K536" s="151"/>
      <c r="L536" s="96" t="str">
        <f>_xlfn.XLOOKUP(1,$M$537:$M$540,$I$537:$I$540,"-",0)</f>
        <v xml:space="preserve">Eastern </v>
      </c>
      <c r="M536" s="151"/>
      <c r="N536" s="96" t="str">
        <f>_xlfn.XLOOKUP(1,$O$537:$O$540,$I$537:$I$540,"-",0)</f>
        <v xml:space="preserve">Eastern </v>
      </c>
      <c r="O536" s="151"/>
      <c r="P536" s="97" t="str">
        <f>IF(COUNTIF($P$537:$P$540,"Yes")&gt;0,"Yes","")</f>
        <v>Yes</v>
      </c>
      <c r="Q536" s="96">
        <f>SUM($Q$537:$Q$540)</f>
        <v>3474313</v>
      </c>
      <c r="R536" s="96">
        <f>IF($Q$536&gt;0,$F$536-$Q$536,"")</f>
        <v>124547</v>
      </c>
      <c r="S536" s="151"/>
    </row>
    <row r="537" spans="2:19" x14ac:dyDescent="0.25">
      <c r="B537" s="152"/>
      <c r="C537" s="143"/>
      <c r="D537" s="143"/>
      <c r="E537" s="152"/>
      <c r="F537" s="153"/>
      <c r="G537" s="152"/>
      <c r="H537" s="90">
        <v>1</v>
      </c>
      <c r="I537" s="98" t="s">
        <v>281</v>
      </c>
      <c r="J537" s="99">
        <v>3474313</v>
      </c>
      <c r="K537" s="121">
        <f>IF($J537="","",RANK(J537,$J$537:$J$540,1))</f>
        <v>1</v>
      </c>
      <c r="L537" s="99">
        <f>J537</f>
        <v>3474313</v>
      </c>
      <c r="M537" s="121">
        <f>IF($L537="","",RANK(L537,$L$537:$L$540,1))</f>
        <v>1</v>
      </c>
      <c r="N537" s="99">
        <f>L537</f>
        <v>3474313</v>
      </c>
      <c r="O537" s="121">
        <f>IF($N537="","",RANK(N537,$N$537:$N$540,1))</f>
        <v>1</v>
      </c>
      <c r="P537" s="91" t="s">
        <v>276</v>
      </c>
      <c r="Q537" s="122">
        <f>IF($P537="Yes",IF($N537&gt;0,$N537,IF($L537&gt;0,$L537,IF($J537&gt;0,$J537,""))),"")</f>
        <v>3474313</v>
      </c>
      <c r="R537" s="122">
        <f>IFERROR(IF(INT($Q537)&gt;0,$F$536-$Q537,""),"")</f>
        <v>124547</v>
      </c>
      <c r="S537" s="98"/>
    </row>
    <row r="538" spans="2:19" x14ac:dyDescent="0.25">
      <c r="B538" s="152"/>
      <c r="C538" s="143"/>
      <c r="D538" s="143"/>
      <c r="E538" s="152"/>
      <c r="F538" s="153"/>
      <c r="G538" s="152"/>
      <c r="H538" s="90">
        <v>2</v>
      </c>
      <c r="I538" s="98"/>
      <c r="J538" s="99"/>
      <c r="K538" s="121" t="str">
        <f>IF($J538="","",RANK(J538,$J$537:$J$540,1))</f>
        <v/>
      </c>
      <c r="L538" s="99"/>
      <c r="M538" s="121" t="str">
        <f>IF($L538="","",RANK(L538,$L$537:$L$540,1))</f>
        <v/>
      </c>
      <c r="N538" s="99"/>
      <c r="O538" s="121" t="str">
        <f>IF($N538="","",RANK(N538,$N$537:$N$540,1))</f>
        <v/>
      </c>
      <c r="P538" s="91"/>
      <c r="Q538" s="122" t="str">
        <f>IF($P538="Yes",IF($N538&gt;0,$N538,IF($L538&gt;0,$L538,IF($J538&gt;0,$J538,""))),"")</f>
        <v/>
      </c>
      <c r="R538" s="122" t="str">
        <f>IFERROR(IF(INT($Q538)&gt;0,$F$536-$Q538,""),"")</f>
        <v/>
      </c>
      <c r="S538" s="98"/>
    </row>
    <row r="539" spans="2:19" x14ac:dyDescent="0.25">
      <c r="B539" s="152"/>
      <c r="C539" s="143"/>
      <c r="D539" s="143"/>
      <c r="E539" s="152"/>
      <c r="F539" s="153"/>
      <c r="G539" s="152"/>
      <c r="H539" s="90">
        <v>3</v>
      </c>
      <c r="I539" s="98"/>
      <c r="J539" s="99"/>
      <c r="K539" s="121" t="str">
        <f>IF($J539="","",RANK(J539,$J$537:$J$540,1))</f>
        <v/>
      </c>
      <c r="L539" s="99"/>
      <c r="M539" s="121" t="str">
        <f>IF($L539="","",RANK(L539,$L$537:$L$540,1))</f>
        <v/>
      </c>
      <c r="N539" s="99"/>
      <c r="O539" s="121" t="str">
        <f>IF($N539="","",RANK(N539,$N$537:$N$540,1))</f>
        <v/>
      </c>
      <c r="P539" s="91"/>
      <c r="Q539" s="122" t="str">
        <f>IF($P539="Yes",IF($N539&gt;0,$N539,IF($L539&gt;0,$L539,IF($J539&gt;0,$J539,""))),"")</f>
        <v/>
      </c>
      <c r="R539" s="122" t="str">
        <f>IFERROR(IF(INT($Q539)&gt;0,$F$536-$Q539,""),"")</f>
        <v/>
      </c>
      <c r="S539" s="98"/>
    </row>
    <row r="540" spans="2:19" x14ac:dyDescent="0.25">
      <c r="B540" s="154"/>
      <c r="C540" s="142"/>
      <c r="D540" s="142"/>
      <c r="E540" s="154"/>
      <c r="F540" s="155"/>
      <c r="G540" s="154"/>
      <c r="H540" s="108">
        <v>4</v>
      </c>
      <c r="I540" s="109"/>
      <c r="J540" s="110"/>
      <c r="K540" s="123" t="str">
        <f>IF($J540="","",RANK(J540,$J$537:$J$540,1))</f>
        <v/>
      </c>
      <c r="L540" s="110"/>
      <c r="M540" s="123" t="str">
        <f>IF($L540="","",RANK(L540,$L$537:$L$540,1))</f>
        <v/>
      </c>
      <c r="N540" s="110"/>
      <c r="O540" s="123" t="str">
        <f>IF($N540="","",RANK(N540,$N$537:$N$540,1))</f>
        <v/>
      </c>
      <c r="P540" s="105"/>
      <c r="Q540" s="124" t="str">
        <f>IF($P540="Yes",IF($N540&gt;0,$N540,IF($L540&gt;0,$L540,IF($J540&gt;0,$J540,""))),"")</f>
        <v/>
      </c>
      <c r="R540" s="124" t="str">
        <f>IFERROR(IF(INT($Q540)&gt;0,$F$536-$Q540,""),"")</f>
        <v/>
      </c>
      <c r="S540" s="109"/>
    </row>
    <row r="541" spans="2:19" x14ac:dyDescent="0.25">
      <c r="B541" s="148">
        <v>91</v>
      </c>
      <c r="C541" s="149" t="s">
        <v>44</v>
      </c>
      <c r="D541" s="149" t="s">
        <v>113</v>
      </c>
      <c r="E541" s="148" t="s">
        <v>261</v>
      </c>
      <c r="F541" s="150">
        <v>4207272</v>
      </c>
      <c r="G541" s="148"/>
      <c r="H541" s="151"/>
      <c r="I541" s="151"/>
      <c r="J541" s="96" t="str">
        <f>_xlfn.XLOOKUP(1,$K$542:$K$544,$I$542:$I$544,"-",0)</f>
        <v xml:space="preserve">Al Qassim </v>
      </c>
      <c r="K541" s="151"/>
      <c r="L541" s="96" t="str">
        <f>_xlfn.XLOOKUP(1,$M$542:$M$544,$I$542:$I$544,"-",0)</f>
        <v xml:space="preserve">Al Qassim </v>
      </c>
      <c r="M541" s="151"/>
      <c r="N541" s="96" t="str">
        <f>_xlfn.XLOOKUP(1,$O$542:$O$544,$I$542:$I$544,"-",0)</f>
        <v xml:space="preserve">Al Qassim </v>
      </c>
      <c r="O541" s="151"/>
      <c r="P541" s="97" t="str">
        <f>IF(COUNTIF($P$542:$P$544,"Yes")&gt;0,"Yes","")</f>
        <v>Yes</v>
      </c>
      <c r="Q541" s="96">
        <f>SUM($Q$542:$Q$544)</f>
        <v>4187043</v>
      </c>
      <c r="R541" s="96">
        <f>IF($Q$541&gt;0,$F$541-$Q$541,"")</f>
        <v>20229</v>
      </c>
      <c r="S541" s="151"/>
    </row>
    <row r="542" spans="2:19" x14ac:dyDescent="0.25">
      <c r="B542" s="152"/>
      <c r="C542" s="143"/>
      <c r="D542" s="143"/>
      <c r="E542" s="152"/>
      <c r="F542" s="153"/>
      <c r="G542" s="152"/>
      <c r="H542" s="90">
        <v>1</v>
      </c>
      <c r="I542" s="98" t="s">
        <v>280</v>
      </c>
      <c r="J542" s="99">
        <v>4187043</v>
      </c>
      <c r="K542" s="121">
        <f>IF($J542="","",RANK(J542,$J$542:$J$544,1))</f>
        <v>1</v>
      </c>
      <c r="L542" s="99">
        <f>J542</f>
        <v>4187043</v>
      </c>
      <c r="M542" s="121">
        <f>IF($L542="","",RANK(L542,$L$542:$L$544,1))</f>
        <v>1</v>
      </c>
      <c r="N542" s="99">
        <f>L542</f>
        <v>4187043</v>
      </c>
      <c r="O542" s="121">
        <f>IF($N542="","",RANK(N542,$N$542:$N$544,1))</f>
        <v>1</v>
      </c>
      <c r="P542" s="91" t="s">
        <v>276</v>
      </c>
      <c r="Q542" s="122">
        <f>IF($P542="Yes",IF($N542&gt;0,$N542,IF($L542&gt;0,$L542,IF($J542&gt;0,$J542,""))),"")</f>
        <v>4187043</v>
      </c>
      <c r="R542" s="122">
        <f>IFERROR(IF(INT($Q542)&gt;0,$F$541-$Q542,""),"")</f>
        <v>20229</v>
      </c>
      <c r="S542" s="98"/>
    </row>
    <row r="543" spans="2:19" x14ac:dyDescent="0.25">
      <c r="B543" s="152"/>
      <c r="C543" s="143"/>
      <c r="D543" s="143"/>
      <c r="E543" s="152"/>
      <c r="F543" s="153"/>
      <c r="G543" s="152"/>
      <c r="H543" s="90">
        <v>2</v>
      </c>
      <c r="I543" s="98"/>
      <c r="J543" s="99"/>
      <c r="K543" s="121" t="str">
        <f>IF($J543="","",RANK(J543,$J$542:$J$544,1))</f>
        <v/>
      </c>
      <c r="L543" s="99"/>
      <c r="M543" s="121" t="str">
        <f>IF($L543="","",RANK(L543,$L$542:$L$544,1))</f>
        <v/>
      </c>
      <c r="N543" s="99"/>
      <c r="O543" s="121" t="str">
        <f>IF($N543="","",RANK(N543,$N$542:$N$544,1))</f>
        <v/>
      </c>
      <c r="P543" s="91"/>
      <c r="Q543" s="122" t="str">
        <f>IF($P543="Yes",IF($N543&gt;0,$N543,IF($L543&gt;0,$L543,IF($J543&gt;0,$J543,""))),"")</f>
        <v/>
      </c>
      <c r="R543" s="122" t="str">
        <f>IFERROR(IF(INT($Q543)&gt;0,$F$541-$Q543,""),"")</f>
        <v/>
      </c>
      <c r="S543" s="98"/>
    </row>
    <row r="544" spans="2:19" x14ac:dyDescent="0.25">
      <c r="B544" s="154"/>
      <c r="C544" s="142"/>
      <c r="D544" s="142"/>
      <c r="E544" s="154"/>
      <c r="F544" s="155"/>
      <c r="G544" s="154"/>
      <c r="H544" s="108">
        <v>3</v>
      </c>
      <c r="I544" s="109"/>
      <c r="J544" s="110"/>
      <c r="K544" s="123" t="str">
        <f>IF($J544="","",RANK(J544,$J$542:$J$544,1))</f>
        <v/>
      </c>
      <c r="L544" s="110"/>
      <c r="M544" s="123" t="str">
        <f>IF($L544="","",RANK(L544,$L$542:$L$544,1))</f>
        <v/>
      </c>
      <c r="N544" s="110"/>
      <c r="O544" s="123" t="str">
        <f>IF($N544="","",RANK(N544,$N$542:$N$544,1))</f>
        <v/>
      </c>
      <c r="P544" s="105"/>
      <c r="Q544" s="124" t="str">
        <f>IF($P544="Yes",IF($N544&gt;0,$N544,IF($L544&gt;0,$L544,IF($J544&gt;0,$J544,""))),"")</f>
        <v/>
      </c>
      <c r="R544" s="124" t="str">
        <f>IFERROR(IF(INT($Q544)&gt;0,$F$541-$Q544,""),"")</f>
        <v/>
      </c>
      <c r="S544" s="109"/>
    </row>
    <row r="545" spans="2:19" x14ac:dyDescent="0.25">
      <c r="B545" s="148">
        <v>92</v>
      </c>
      <c r="C545" s="149" t="s">
        <v>44</v>
      </c>
      <c r="D545" s="149" t="s">
        <v>115</v>
      </c>
      <c r="E545" s="148" t="s">
        <v>188</v>
      </c>
      <c r="F545" s="150">
        <v>18263257.440000001</v>
      </c>
      <c r="G545" s="148"/>
      <c r="H545" s="151"/>
      <c r="I545" s="151"/>
      <c r="J545" s="96" t="str">
        <f>_xlfn.XLOOKUP(1,$K$546:$K$548,$I$546:$I$548,"-",0)</f>
        <v>MOULDEX</v>
      </c>
      <c r="K545" s="151"/>
      <c r="L545" s="96" t="str">
        <f>_xlfn.XLOOKUP(1,$M$546:$M$548,$I$546:$I$548,"-",0)</f>
        <v>MOULDEX</v>
      </c>
      <c r="M545" s="151"/>
      <c r="N545" s="96" t="str">
        <f>_xlfn.XLOOKUP(1,$O$546:$O$548,$I$546:$I$548,"-",0)</f>
        <v>MOULDEX</v>
      </c>
      <c r="O545" s="151"/>
      <c r="P545" s="97" t="str">
        <f>IF(COUNTIF($P$546:$P$548,"Yes")&gt;0,"Yes","")</f>
        <v>Yes</v>
      </c>
      <c r="Q545" s="96">
        <f>SUM($Q$546:$Q$548)</f>
        <v>16200000</v>
      </c>
      <c r="R545" s="96">
        <f>IF($Q$545&gt;0,$F$545-$Q$545,"")</f>
        <v>2063257.4400000013</v>
      </c>
      <c r="S545" s="151"/>
    </row>
    <row r="546" spans="2:19" x14ac:dyDescent="0.25">
      <c r="B546" s="152"/>
      <c r="C546" s="143"/>
      <c r="D546" s="143"/>
      <c r="E546" s="152"/>
      <c r="F546" s="153"/>
      <c r="G546" s="152"/>
      <c r="H546" s="90">
        <v>1</v>
      </c>
      <c r="I546" s="98" t="s">
        <v>300</v>
      </c>
      <c r="J546" s="99">
        <v>16200000</v>
      </c>
      <c r="K546" s="121">
        <f>IF($J546="","",RANK(J546,$J$546:$J$548,1))</f>
        <v>1</v>
      </c>
      <c r="L546" s="99">
        <f>J546</f>
        <v>16200000</v>
      </c>
      <c r="M546" s="121">
        <f>IF($L546="","",RANK(L546,$L$546:$L$548,1))</f>
        <v>1</v>
      </c>
      <c r="N546" s="99">
        <f>L546</f>
        <v>16200000</v>
      </c>
      <c r="O546" s="121">
        <f>IF($N546="","",RANK(N546,$N$546:$N$548,1))</f>
        <v>1</v>
      </c>
      <c r="P546" s="91" t="s">
        <v>276</v>
      </c>
      <c r="Q546" s="122">
        <f>IF($P546="Yes",IF($N546&gt;0,$N546,IF($L546&gt;0,$L546,IF($J546&gt;0,$J546,""))),"")</f>
        <v>16200000</v>
      </c>
      <c r="R546" s="122">
        <f>IFERROR(IF(INT($Q546)&gt;0,$F$545-$Q546,""),"")</f>
        <v>2063257.4400000013</v>
      </c>
      <c r="S546" s="98"/>
    </row>
    <row r="547" spans="2:19" x14ac:dyDescent="0.25">
      <c r="B547" s="152"/>
      <c r="C547" s="143"/>
      <c r="D547" s="143"/>
      <c r="E547" s="152"/>
      <c r="F547" s="153"/>
      <c r="G547" s="152"/>
      <c r="H547" s="90">
        <v>2</v>
      </c>
      <c r="I547" s="98"/>
      <c r="J547" s="99"/>
      <c r="K547" s="121" t="str">
        <f>IF($J547="","",RANK(J547,$J$546:$J$548,1))</f>
        <v/>
      </c>
      <c r="L547" s="99"/>
      <c r="M547" s="121" t="str">
        <f>IF($L547="","",RANK(L547,$L$546:$L$548,1))</f>
        <v/>
      </c>
      <c r="N547" s="99"/>
      <c r="O547" s="121" t="str">
        <f>IF($N547="","",RANK(N547,$N$546:$N$548,1))</f>
        <v/>
      </c>
      <c r="P547" s="91"/>
      <c r="Q547" s="122" t="str">
        <f>IF($P547="Yes",IF($N547&gt;0,$N547,IF($L547&gt;0,$L547,IF($J547&gt;0,$J547,""))),"")</f>
        <v/>
      </c>
      <c r="R547" s="122" t="str">
        <f>IFERROR(IF(INT($Q547)&gt;0,$F$545-$Q547,""),"")</f>
        <v/>
      </c>
      <c r="S547" s="98"/>
    </row>
    <row r="548" spans="2:19" x14ac:dyDescent="0.25">
      <c r="B548" s="154"/>
      <c r="C548" s="142"/>
      <c r="D548" s="142"/>
      <c r="E548" s="154"/>
      <c r="F548" s="155"/>
      <c r="G548" s="154"/>
      <c r="H548" s="108">
        <v>3</v>
      </c>
      <c r="I548" s="109"/>
      <c r="J548" s="110"/>
      <c r="K548" s="123" t="str">
        <f>IF($J548="","",RANK(J548,$J$546:$J$548,1))</f>
        <v/>
      </c>
      <c r="L548" s="110"/>
      <c r="M548" s="123" t="str">
        <f>IF($L548="","",RANK(L548,$L$546:$L$548,1))</f>
        <v/>
      </c>
      <c r="N548" s="110"/>
      <c r="O548" s="123" t="str">
        <f>IF($N548="","",RANK(N548,$N$546:$N$548,1))</f>
        <v/>
      </c>
      <c r="P548" s="105"/>
      <c r="Q548" s="124" t="str">
        <f>IF($P548="Yes",IF($N548&gt;0,$N548,IF($L548&gt;0,$L548,IF($J548&gt;0,$J548,""))),"")</f>
        <v/>
      </c>
      <c r="R548" s="124" t="str">
        <f>IFERROR(IF(INT($Q548)&gt;0,$F$545-$Q548,""),"")</f>
        <v/>
      </c>
      <c r="S548" s="109"/>
    </row>
    <row r="549" spans="2:19" x14ac:dyDescent="0.25">
      <c r="B549" s="148">
        <v>93</v>
      </c>
      <c r="C549" s="149" t="s">
        <v>44</v>
      </c>
      <c r="D549" s="149" t="s">
        <v>116</v>
      </c>
      <c r="E549" s="148" t="s">
        <v>263</v>
      </c>
      <c r="F549" s="150">
        <v>17581625.079999998</v>
      </c>
      <c r="G549" s="148"/>
      <c r="H549" s="151"/>
      <c r="I549" s="151"/>
      <c r="J549" s="96" t="str">
        <f>_xlfn.XLOOKUP(1,$K$550:$K$553,$I$550:$I$553,"-",0)</f>
        <v xml:space="preserve">Stonetta </v>
      </c>
      <c r="K549" s="151"/>
      <c r="L549" s="96" t="str">
        <f>_xlfn.XLOOKUP(1,$M$550:$M$553,$I$550:$I$553,"-",0)</f>
        <v xml:space="preserve">Stonetta </v>
      </c>
      <c r="M549" s="151"/>
      <c r="N549" s="96" t="str">
        <f>_xlfn.XLOOKUP(1,$O$550:$O$553,$I$550:$I$553,"-",0)</f>
        <v xml:space="preserve">Stonetta </v>
      </c>
      <c r="O549" s="151"/>
      <c r="P549" s="97" t="str">
        <f>IF(COUNTIF($P$550:$P$553,"Yes")&gt;0,"Yes","")</f>
        <v>Yes</v>
      </c>
      <c r="Q549" s="96">
        <f>SUM($Q$550:$Q$553)</f>
        <v>16894669</v>
      </c>
      <c r="R549" s="96">
        <f>IF($Q$549&gt;0,$F$549-$Q$549,"")</f>
        <v>686956.07999999821</v>
      </c>
      <c r="S549" s="151"/>
    </row>
    <row r="550" spans="2:19" x14ac:dyDescent="0.25">
      <c r="B550" s="152"/>
      <c r="C550" s="143"/>
      <c r="D550" s="143"/>
      <c r="E550" s="152"/>
      <c r="F550" s="153"/>
      <c r="G550" s="152"/>
      <c r="H550" s="90">
        <v>1</v>
      </c>
      <c r="I550" s="98" t="s">
        <v>301</v>
      </c>
      <c r="J550" s="99">
        <v>16894669</v>
      </c>
      <c r="K550" s="121">
        <f>IF($J550="","",RANK(J550,$J$550:$J$553,1))</f>
        <v>1</v>
      </c>
      <c r="L550" s="99">
        <f>J550</f>
        <v>16894669</v>
      </c>
      <c r="M550" s="121">
        <f>IF($L550="","",RANK(L550,$L$550:$L$553,1))</f>
        <v>1</v>
      </c>
      <c r="N550" s="99">
        <f>L550</f>
        <v>16894669</v>
      </c>
      <c r="O550" s="121">
        <f>IF($N550="","",RANK(N550,$N$550:$N$553,1))</f>
        <v>1</v>
      </c>
      <c r="P550" s="91" t="s">
        <v>276</v>
      </c>
      <c r="Q550" s="122">
        <f>IF($P550="Yes",IF($N550&gt;0,$N550,IF($L550&gt;0,$L550,IF($J550&gt;0,$J550,""))),"")</f>
        <v>16894669</v>
      </c>
      <c r="R550" s="122">
        <f>IFERROR(IF(INT($Q550)&gt;0,$F$549-$Q550,""),"")</f>
        <v>686956.07999999821</v>
      </c>
      <c r="S550" s="98"/>
    </row>
    <row r="551" spans="2:19" x14ac:dyDescent="0.25">
      <c r="B551" s="152"/>
      <c r="C551" s="143"/>
      <c r="D551" s="143"/>
      <c r="E551" s="152"/>
      <c r="F551" s="153"/>
      <c r="G551" s="152"/>
      <c r="H551" s="90">
        <v>2</v>
      </c>
      <c r="I551" s="98"/>
      <c r="J551" s="99"/>
      <c r="K551" s="121" t="str">
        <f>IF($J551="","",RANK(J551,$J$550:$J$553,1))</f>
        <v/>
      </c>
      <c r="L551" s="99"/>
      <c r="M551" s="121" t="str">
        <f>IF($L551="","",RANK(L551,$L$550:$L$553,1))</f>
        <v/>
      </c>
      <c r="N551" s="99"/>
      <c r="O551" s="121" t="str">
        <f>IF($N551="","",RANK(N551,$N$550:$N$553,1))</f>
        <v/>
      </c>
      <c r="P551" s="91"/>
      <c r="Q551" s="122" t="str">
        <f>IF($P551="Yes",IF($N551&gt;0,$N551,IF($L551&gt;0,$L551,IF($J551&gt;0,$J551,""))),"")</f>
        <v/>
      </c>
      <c r="R551" s="122" t="str">
        <f>IFERROR(IF(INT($Q551)&gt;0,$F$549-$Q551,""),"")</f>
        <v/>
      </c>
      <c r="S551" s="98"/>
    </row>
    <row r="552" spans="2:19" x14ac:dyDescent="0.25">
      <c r="B552" s="152"/>
      <c r="C552" s="143"/>
      <c r="D552" s="143"/>
      <c r="E552" s="152"/>
      <c r="F552" s="153"/>
      <c r="G552" s="152"/>
      <c r="H552" s="90">
        <v>3</v>
      </c>
      <c r="I552" s="98"/>
      <c r="J552" s="99"/>
      <c r="K552" s="121" t="str">
        <f>IF($J552="","",RANK(J552,$J$550:$J$553,1))</f>
        <v/>
      </c>
      <c r="L552" s="99"/>
      <c r="M552" s="121" t="str">
        <f>IF($L552="","",RANK(L552,$L$550:$L$553,1))</f>
        <v/>
      </c>
      <c r="N552" s="99"/>
      <c r="O552" s="121" t="str">
        <f>IF($N552="","",RANK(N552,$N$550:$N$553,1))</f>
        <v/>
      </c>
      <c r="P552" s="91"/>
      <c r="Q552" s="122" t="str">
        <f>IF($P552="Yes",IF($N552&gt;0,$N552,IF($L552&gt;0,$L552,IF($J552&gt;0,$J552,""))),"")</f>
        <v/>
      </c>
      <c r="R552" s="122" t="str">
        <f>IFERROR(IF(INT($Q552)&gt;0,$F$549-$Q552,""),"")</f>
        <v/>
      </c>
      <c r="S552" s="98"/>
    </row>
    <row r="553" spans="2:19" x14ac:dyDescent="0.25">
      <c r="B553" s="154"/>
      <c r="C553" s="142"/>
      <c r="D553" s="142"/>
      <c r="E553" s="154"/>
      <c r="F553" s="155"/>
      <c r="G553" s="154"/>
      <c r="H553" s="108">
        <v>4</v>
      </c>
      <c r="I553" s="109"/>
      <c r="J553" s="110"/>
      <c r="K553" s="123" t="str">
        <f>IF($J553="","",RANK(J553,$J$550:$J$553,1))</f>
        <v/>
      </c>
      <c r="L553" s="110"/>
      <c r="M553" s="123" t="str">
        <f>IF($L553="","",RANK(L553,$L$550:$L$553,1))</f>
        <v/>
      </c>
      <c r="N553" s="110"/>
      <c r="O553" s="123" t="str">
        <f>IF($N553="","",RANK(N553,$N$550:$N$553,1))</f>
        <v/>
      </c>
      <c r="P553" s="105"/>
      <c r="Q553" s="124" t="str">
        <f>IF($P553="Yes",IF($N553&gt;0,$N553,IF($L553&gt;0,$L553,IF($J553&gt;0,$J553,""))),"")</f>
        <v/>
      </c>
      <c r="R553" s="124" t="str">
        <f>IFERROR(IF(INT($Q553)&gt;0,$F$549-$Q553,""),"")</f>
        <v/>
      </c>
      <c r="S553" s="109"/>
    </row>
    <row r="554" spans="2:19" x14ac:dyDescent="0.25">
      <c r="B554" s="148">
        <v>94</v>
      </c>
      <c r="C554" s="149" t="s">
        <v>44</v>
      </c>
      <c r="D554" s="149" t="s">
        <v>117</v>
      </c>
      <c r="E554" s="148" t="s">
        <v>263</v>
      </c>
      <c r="F554" s="150">
        <v>15602372.51</v>
      </c>
      <c r="G554" s="148"/>
      <c r="H554" s="151"/>
      <c r="I554" s="151"/>
      <c r="J554" s="96" t="str">
        <f>_xlfn.XLOOKUP(1,$K$555:$K$558,$I$555:$I$558,"-",0)</f>
        <v xml:space="preserve">Al Shafar </v>
      </c>
      <c r="K554" s="151"/>
      <c r="L554" s="96" t="str">
        <f>_xlfn.XLOOKUP(1,$M$555:$M$558,$I$555:$I$558,"-",0)</f>
        <v xml:space="preserve">Al Shafar </v>
      </c>
      <c r="M554" s="151"/>
      <c r="N554" s="96" t="str">
        <f>_xlfn.XLOOKUP(1,$O$555:$O$558,$I$555:$I$558,"-",0)</f>
        <v xml:space="preserve">Al Shafar </v>
      </c>
      <c r="O554" s="151"/>
      <c r="P554" s="97" t="str">
        <f>IF(COUNTIF($P$555:$P$558,"Yes")&gt;0,"Yes","")</f>
        <v>Yes</v>
      </c>
      <c r="Q554" s="96">
        <f>SUM($Q$555:$Q$558)</f>
        <v>14823106.92</v>
      </c>
      <c r="R554" s="96">
        <f>IF($Q$554&gt;0,$F$554-$Q$554,"")</f>
        <v>779265.58999999985</v>
      </c>
      <c r="S554" s="151"/>
    </row>
    <row r="555" spans="2:19" x14ac:dyDescent="0.25">
      <c r="B555" s="152"/>
      <c r="C555" s="143"/>
      <c r="D555" s="143"/>
      <c r="E555" s="152"/>
      <c r="F555" s="153"/>
      <c r="G555" s="152"/>
      <c r="H555" s="90">
        <v>1</v>
      </c>
      <c r="I555" s="98" t="s">
        <v>302</v>
      </c>
      <c r="J555" s="99">
        <v>14823106.92</v>
      </c>
      <c r="K555" s="121">
        <f>IF($J555="","",RANK(J555,$J$555:$J$558,1))</f>
        <v>1</v>
      </c>
      <c r="L555" s="99">
        <f>J555</f>
        <v>14823106.92</v>
      </c>
      <c r="M555" s="121">
        <f>IF($L555="","",RANK(L555,$L$555:$L$558,1))</f>
        <v>1</v>
      </c>
      <c r="N555" s="99">
        <f>L555</f>
        <v>14823106.92</v>
      </c>
      <c r="O555" s="121">
        <f>IF($N555="","",RANK(N555,$N$555:$N$558,1))</f>
        <v>1</v>
      </c>
      <c r="P555" s="91" t="s">
        <v>276</v>
      </c>
      <c r="Q555" s="122">
        <f>IF($P555="Yes",IF($N555&gt;0,$N555,IF($L555&gt;0,$L555,IF($J555&gt;0,$J555,""))),"")</f>
        <v>14823106.92</v>
      </c>
      <c r="R555" s="122">
        <f>IFERROR(IF(INT($Q555)&gt;0,$F$554-$Q555,""),"")</f>
        <v>779265.58999999985</v>
      </c>
      <c r="S555" s="98"/>
    </row>
    <row r="556" spans="2:19" x14ac:dyDescent="0.25">
      <c r="B556" s="152"/>
      <c r="C556" s="143"/>
      <c r="D556" s="143"/>
      <c r="E556" s="152"/>
      <c r="F556" s="153"/>
      <c r="G556" s="152"/>
      <c r="H556" s="90">
        <v>2</v>
      </c>
      <c r="I556" s="98"/>
      <c r="J556" s="99"/>
      <c r="K556" s="121" t="str">
        <f>IF($J556="","",RANK(J556,$J$555:$J$558,1))</f>
        <v/>
      </c>
      <c r="L556" s="99"/>
      <c r="M556" s="121" t="str">
        <f>IF($L556="","",RANK(L556,$L$555:$L$558,1))</f>
        <v/>
      </c>
      <c r="N556" s="99"/>
      <c r="O556" s="121" t="str">
        <f>IF($N556="","",RANK(N556,$N$555:$N$558,1))</f>
        <v/>
      </c>
      <c r="P556" s="91"/>
      <c r="Q556" s="122" t="str">
        <f>IF($P556="Yes",IF($N556&gt;0,$N556,IF($L556&gt;0,$L556,IF($J556&gt;0,$J556,""))),"")</f>
        <v/>
      </c>
      <c r="R556" s="122" t="str">
        <f>IFERROR(IF(INT($Q556)&gt;0,$F$554-$Q556,""),"")</f>
        <v/>
      </c>
      <c r="S556" s="98"/>
    </row>
    <row r="557" spans="2:19" x14ac:dyDescent="0.25">
      <c r="B557" s="152"/>
      <c r="C557" s="143"/>
      <c r="D557" s="143"/>
      <c r="E557" s="152"/>
      <c r="F557" s="153"/>
      <c r="G557" s="152"/>
      <c r="H557" s="90">
        <v>3</v>
      </c>
      <c r="I557" s="98"/>
      <c r="J557" s="99"/>
      <c r="K557" s="121" t="str">
        <f>IF($J557="","",RANK(J557,$J$555:$J$558,1))</f>
        <v/>
      </c>
      <c r="L557" s="99"/>
      <c r="M557" s="121" t="str">
        <f>IF($L557="","",RANK(L557,$L$555:$L$558,1))</f>
        <v/>
      </c>
      <c r="N557" s="99"/>
      <c r="O557" s="121" t="str">
        <f>IF($N557="","",RANK(N557,$N$555:$N$558,1))</f>
        <v/>
      </c>
      <c r="P557" s="91"/>
      <c r="Q557" s="122" t="str">
        <f>IF($P557="Yes",IF($N557&gt;0,$N557,IF($L557&gt;0,$L557,IF($J557&gt;0,$J557,""))),"")</f>
        <v/>
      </c>
      <c r="R557" s="122" t="str">
        <f>IFERROR(IF(INT($Q557)&gt;0,$F$554-$Q557,""),"")</f>
        <v/>
      </c>
      <c r="S557" s="98"/>
    </row>
    <row r="558" spans="2:19" x14ac:dyDescent="0.25">
      <c r="B558" s="154"/>
      <c r="C558" s="142"/>
      <c r="D558" s="142"/>
      <c r="E558" s="154"/>
      <c r="F558" s="155"/>
      <c r="G558" s="154"/>
      <c r="H558" s="108">
        <v>4</v>
      </c>
      <c r="I558" s="109"/>
      <c r="J558" s="110"/>
      <c r="K558" s="123" t="str">
        <f>IF($J558="","",RANK(J558,$J$555:$J$558,1))</f>
        <v/>
      </c>
      <c r="L558" s="110"/>
      <c r="M558" s="123" t="str">
        <f>IF($L558="","",RANK(L558,$L$555:$L$558,1))</f>
        <v/>
      </c>
      <c r="N558" s="110"/>
      <c r="O558" s="123" t="str">
        <f>IF($N558="","",RANK(N558,$N$555:$N$558,1))</f>
        <v/>
      </c>
      <c r="P558" s="105"/>
      <c r="Q558" s="124" t="str">
        <f>IF($P558="Yes",IF($N558&gt;0,$N558,IF($L558&gt;0,$L558,IF($J558&gt;0,$J558,""))),"")</f>
        <v/>
      </c>
      <c r="R558" s="124" t="str">
        <f>IFERROR(IF(INT($Q558)&gt;0,$F$554-$Q558,""),"")</f>
        <v/>
      </c>
      <c r="S558" s="109"/>
    </row>
    <row r="559" spans="2:19" x14ac:dyDescent="0.25">
      <c r="B559" s="148">
        <v>95</v>
      </c>
      <c r="C559" s="149" t="s">
        <v>44</v>
      </c>
      <c r="D559" s="149" t="s">
        <v>118</v>
      </c>
      <c r="E559" s="148" t="s">
        <v>234</v>
      </c>
      <c r="F559" s="150">
        <v>1183875</v>
      </c>
      <c r="G559" s="148"/>
      <c r="H559" s="151"/>
      <c r="I559" s="151"/>
      <c r="J559" s="96" t="str">
        <f>_xlfn.XLOOKUP(1,$K$560:$K$562,$I$560:$I$562,"-",0)</f>
        <v>-</v>
      </c>
      <c r="K559" s="151"/>
      <c r="L559" s="96" t="str">
        <f>_xlfn.XLOOKUP(1,$M$560:$M$562,$I$560:$I$562,"-",0)</f>
        <v>-</v>
      </c>
      <c r="M559" s="151"/>
      <c r="N559" s="96" t="str">
        <f>_xlfn.XLOOKUP(1,$O$560:$O$562,$I$560:$I$562,"-",0)</f>
        <v>-</v>
      </c>
      <c r="O559" s="151"/>
      <c r="P559" s="97" t="str">
        <f>IF(COUNTIF($P$560:$P$562,"Yes")&gt;0,"Yes","")</f>
        <v/>
      </c>
      <c r="Q559" s="96">
        <f>SUM($Q$560:$Q$562)</f>
        <v>0</v>
      </c>
      <c r="R559" s="96" t="str">
        <f>IF($Q$559&gt;0,$F$559-$Q$559,"")</f>
        <v/>
      </c>
      <c r="S559" s="151"/>
    </row>
    <row r="560" spans="2:19" x14ac:dyDescent="0.25">
      <c r="B560" s="152"/>
      <c r="C560" s="143"/>
      <c r="D560" s="143"/>
      <c r="E560" s="152"/>
      <c r="F560" s="153"/>
      <c r="G560" s="152"/>
      <c r="H560" s="90">
        <v>1</v>
      </c>
      <c r="I560" s="98"/>
      <c r="J560" s="99"/>
      <c r="K560" s="121" t="str">
        <f>IF($J560="","",RANK(J560,$J$560:$J$562,1))</f>
        <v/>
      </c>
      <c r="L560" s="99"/>
      <c r="M560" s="121" t="str">
        <f>IF($L560="","",RANK(L560,$L$560:$L$562,1))</f>
        <v/>
      </c>
      <c r="N560" s="99"/>
      <c r="O560" s="121" t="str">
        <f>IF($N560="","",RANK(N560,$N$560:$N$562,1))</f>
        <v/>
      </c>
      <c r="P560" s="91"/>
      <c r="Q560" s="122" t="str">
        <f>IF($P560="Yes",IF($N560&gt;0,$N560,IF($L560&gt;0,$L560,IF($J560&gt;0,$J560,""))),"")</f>
        <v/>
      </c>
      <c r="R560" s="122" t="str">
        <f>IFERROR(IF(INT($Q560)&gt;0,$F$559-$Q560,""),"")</f>
        <v/>
      </c>
      <c r="S560" s="98"/>
    </row>
    <row r="561" spans="2:19" x14ac:dyDescent="0.25">
      <c r="B561" s="152"/>
      <c r="C561" s="143"/>
      <c r="D561" s="143"/>
      <c r="E561" s="152"/>
      <c r="F561" s="153"/>
      <c r="G561" s="152"/>
      <c r="H561" s="90">
        <v>2</v>
      </c>
      <c r="I561" s="98"/>
      <c r="J561" s="99"/>
      <c r="K561" s="121" t="str">
        <f>IF($J561="","",RANK(J561,$J$560:$J$562,1))</f>
        <v/>
      </c>
      <c r="L561" s="99"/>
      <c r="M561" s="121" t="str">
        <f>IF($L561="","",RANK(L561,$L$560:$L$562,1))</f>
        <v/>
      </c>
      <c r="N561" s="99"/>
      <c r="O561" s="121" t="str">
        <f>IF($N561="","",RANK(N561,$N$560:$N$562,1))</f>
        <v/>
      </c>
      <c r="P561" s="91"/>
      <c r="Q561" s="122" t="str">
        <f>IF($P561="Yes",IF($N561&gt;0,$N561,IF($L561&gt;0,$L561,IF($J561&gt;0,$J561,""))),"")</f>
        <v/>
      </c>
      <c r="R561" s="122" t="str">
        <f>IFERROR(IF(INT($Q561)&gt;0,$F$559-$Q561,""),"")</f>
        <v/>
      </c>
      <c r="S561" s="98"/>
    </row>
    <row r="562" spans="2:19" x14ac:dyDescent="0.25">
      <c r="B562" s="154"/>
      <c r="C562" s="142"/>
      <c r="D562" s="142"/>
      <c r="E562" s="154"/>
      <c r="F562" s="155"/>
      <c r="G562" s="154"/>
      <c r="H562" s="108">
        <v>3</v>
      </c>
      <c r="I562" s="109"/>
      <c r="J562" s="110"/>
      <c r="K562" s="123" t="str">
        <f>IF($J562="","",RANK(J562,$J$560:$J$562,1))</f>
        <v/>
      </c>
      <c r="L562" s="110"/>
      <c r="M562" s="123" t="str">
        <f>IF($L562="","",RANK(L562,$L$560:$L$562,1))</f>
        <v/>
      </c>
      <c r="N562" s="110"/>
      <c r="O562" s="123" t="str">
        <f>IF($N562="","",RANK(N562,$N$560:$N$562,1))</f>
        <v/>
      </c>
      <c r="P562" s="105"/>
      <c r="Q562" s="124" t="str">
        <f>IF($P562="Yes",IF($N562&gt;0,$N562,IF($L562&gt;0,$L562,IF($J562&gt;0,$J562,""))),"")</f>
        <v/>
      </c>
      <c r="R562" s="124" t="str">
        <f>IFERROR(IF(INT($Q562)&gt;0,$F$559-$Q562,""),"")</f>
        <v/>
      </c>
      <c r="S562" s="109"/>
    </row>
    <row r="563" spans="2:19" x14ac:dyDescent="0.25">
      <c r="B563" s="148">
        <v>96</v>
      </c>
      <c r="C563" s="149" t="s">
        <v>44</v>
      </c>
      <c r="D563" s="149" t="s">
        <v>119</v>
      </c>
      <c r="E563" s="148" t="s">
        <v>264</v>
      </c>
      <c r="F563" s="150">
        <v>509611.05</v>
      </c>
      <c r="G563" s="148"/>
      <c r="H563" s="151"/>
      <c r="I563" s="151"/>
      <c r="J563" s="96" t="str">
        <f>_xlfn.XLOOKUP(1,$K$564:$K$566,$I$564:$I$566,"-",0)</f>
        <v>-</v>
      </c>
      <c r="K563" s="151"/>
      <c r="L563" s="96" t="str">
        <f>_xlfn.XLOOKUP(1,$M$564:$M$566,$I$564:$I$566,"-",0)</f>
        <v>-</v>
      </c>
      <c r="M563" s="151"/>
      <c r="N563" s="96" t="str">
        <f>_xlfn.XLOOKUP(1,$O$564:$O$566,$I$564:$I$566,"-",0)</f>
        <v>-</v>
      </c>
      <c r="O563" s="151"/>
      <c r="P563" s="97" t="str">
        <f>IF(COUNTIF($P$564:$P$566,"Yes")&gt;0,"Yes","")</f>
        <v/>
      </c>
      <c r="Q563" s="96">
        <f>SUM($Q$564:$Q$566)</f>
        <v>0</v>
      </c>
      <c r="R563" s="96" t="str">
        <f>IF($Q$563&gt;0,$F$563-$Q$563,"")</f>
        <v/>
      </c>
      <c r="S563" s="151"/>
    </row>
    <row r="564" spans="2:19" x14ac:dyDescent="0.25">
      <c r="B564" s="152"/>
      <c r="C564" s="143"/>
      <c r="D564" s="143"/>
      <c r="E564" s="152"/>
      <c r="F564" s="153"/>
      <c r="G564" s="152"/>
      <c r="H564" s="90">
        <v>1</v>
      </c>
      <c r="I564" s="98"/>
      <c r="J564" s="99"/>
      <c r="K564" s="121" t="str">
        <f>IF($J564="","",RANK(J564,$J$564:$J$566,1))</f>
        <v/>
      </c>
      <c r="L564" s="99"/>
      <c r="M564" s="121" t="str">
        <f>IF($L564="","",RANK(L564,$L$564:$L$566,1))</f>
        <v/>
      </c>
      <c r="N564" s="99"/>
      <c r="O564" s="121" t="str">
        <f>IF($N564="","",RANK(N564,$N$564:$N$566,1))</f>
        <v/>
      </c>
      <c r="P564" s="91"/>
      <c r="Q564" s="122" t="str">
        <f>IF($P564="Yes",IF($N564&gt;0,$N564,IF($L564&gt;0,$L564,IF($J564&gt;0,$J564,""))),"")</f>
        <v/>
      </c>
      <c r="R564" s="122" t="str">
        <f>IFERROR(IF(INT($Q564)&gt;0,$F$563-$Q564,""),"")</f>
        <v/>
      </c>
      <c r="S564" s="98"/>
    </row>
    <row r="565" spans="2:19" x14ac:dyDescent="0.25">
      <c r="B565" s="152"/>
      <c r="C565" s="143"/>
      <c r="D565" s="143"/>
      <c r="E565" s="152"/>
      <c r="F565" s="153"/>
      <c r="G565" s="152"/>
      <c r="H565" s="90">
        <v>2</v>
      </c>
      <c r="I565" s="98"/>
      <c r="J565" s="99"/>
      <c r="K565" s="121" t="str">
        <f>IF($J565="","",RANK(J565,$J$564:$J$566,1))</f>
        <v/>
      </c>
      <c r="L565" s="99"/>
      <c r="M565" s="121" t="str">
        <f>IF($L565="","",RANK(L565,$L$564:$L$566,1))</f>
        <v/>
      </c>
      <c r="N565" s="99"/>
      <c r="O565" s="121" t="str">
        <f>IF($N565="","",RANK(N565,$N$564:$N$566,1))</f>
        <v/>
      </c>
      <c r="P565" s="91"/>
      <c r="Q565" s="122" t="str">
        <f>IF($P565="Yes",IF($N565&gt;0,$N565,IF($L565&gt;0,$L565,IF($J565&gt;0,$J565,""))),"")</f>
        <v/>
      </c>
      <c r="R565" s="122" t="str">
        <f>IFERROR(IF(INT($Q565)&gt;0,$F$563-$Q565,""),"")</f>
        <v/>
      </c>
      <c r="S565" s="98"/>
    </row>
    <row r="566" spans="2:19" x14ac:dyDescent="0.25">
      <c r="B566" s="152"/>
      <c r="C566" s="143"/>
      <c r="D566" s="143"/>
      <c r="E566" s="152"/>
      <c r="F566" s="153"/>
      <c r="G566" s="152"/>
      <c r="H566" s="90">
        <v>3</v>
      </c>
      <c r="I566" s="98"/>
      <c r="J566" s="99"/>
      <c r="K566" s="121" t="str">
        <f>IF($J566="","",RANK(J566,$J$564:$J$566,1))</f>
        <v/>
      </c>
      <c r="L566" s="99"/>
      <c r="M566" s="121" t="str">
        <f>IF($L566="","",RANK(L566,$L$564:$L$566,1))</f>
        <v/>
      </c>
      <c r="N566" s="99"/>
      <c r="O566" s="121" t="str">
        <f>IF($N566="","",RANK(N566,$N$564:$N$566,1))</f>
        <v/>
      </c>
      <c r="P566" s="91"/>
      <c r="Q566" s="122" t="str">
        <f>IF($P566="Yes",IF($N566&gt;0,$N566,IF($L566&gt;0,$L566,IF($J566&gt;0,$J566,""))),"")</f>
        <v/>
      </c>
      <c r="R566" s="122" t="str">
        <f>IFERROR(IF(INT($Q566)&gt;0,$F$563-$Q566,""),"")</f>
        <v/>
      </c>
      <c r="S566" s="98"/>
    </row>
  </sheetData>
  <sheetProtection algorithmName="SHA-512" hashValue="lWmjBO09CFc97mEcJsvGWsf7Q+DYoaU2Xlqi+r70EDy3ZNtENZbfUAwj8XxfWXoKvS9bUnS3mAqHAsft2JB6xw==" saltValue="4rPFiokBI+Ks6F4EY9KHIA==" spinCount="100000" sheet="1" objects="1" scenarios="1"/>
  <mergeCells count="4">
    <mergeCell ref="C5:E5"/>
    <mergeCell ref="C7:E7"/>
    <mergeCell ref="C8:E8"/>
    <mergeCell ref="A1:D3"/>
  </mergeCells>
  <phoneticPr fontId="14" type="noConversion"/>
  <conditionalFormatting sqref="J1:J58 N1:N1048576 L1:L1048576 J64:J1048576">
    <cfRule type="expression" dxfId="31" priority="2">
      <formula>K1=1</formula>
    </cfRule>
  </conditionalFormatting>
  <conditionalFormatting sqref="K1:K1048576 M1:M1048576 O1:O1048576">
    <cfRule type="cellIs" dxfId="30" priority="16" operator="equal">
      <formula>1</formula>
    </cfRule>
  </conditionalFormatting>
  <conditionalFormatting sqref="J59:J63">
    <cfRule type="expression" dxfId="29" priority="1">
      <formula>K59=1</formula>
    </cfRule>
  </conditionalFormatting>
  <dataValidations count="1">
    <dataValidation type="list" allowBlank="1" showInputMessage="1" showErrorMessage="1" sqref="P12:P1457" xr:uid="{0622E31D-8973-44DC-9231-C992C2C28F4C}">
      <formula1>"Yes,No"</formula1>
    </dataValidation>
  </dataValidations>
  <pageMargins left="0.7" right="0.7" top="0.75" bottom="0.75" header="0.3" footer="0.3"/>
  <pageSetup paperSize="8" scale="56" fitToHeight="0" orientation="landscape" r:id="rId1"/>
  <rowBreaks count="3" manualBreakCount="3">
    <brk id="389" max="19" man="1"/>
    <brk id="467" max="19" man="1"/>
    <brk id="544" max="1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89C6-06F0-41CE-A6A6-E65956DFDF33}">
  <sheetPr codeName="Sheet3">
    <pageSetUpPr fitToPage="1"/>
  </sheetPr>
  <dimension ref="A1:J99"/>
  <sheetViews>
    <sheetView showGridLines="0" view="pageBreakPreview" zoomScale="85" zoomScaleNormal="85" zoomScaleSheetLayoutView="85" workbookViewId="0">
      <pane ySplit="11" topLeftCell="A68" activePane="bottomLeft" state="frozen"/>
      <selection activeCell="G30" sqref="G30:G31"/>
      <selection pane="bottomLeft" activeCell="C74" sqref="C74"/>
    </sheetView>
  </sheetViews>
  <sheetFormatPr defaultColWidth="9.28515625" defaultRowHeight="15" x14ac:dyDescent="0.25"/>
  <cols>
    <col min="1" max="1" width="5.42578125" style="24" customWidth="1"/>
    <col min="2" max="2" width="12.7109375" style="22" customWidth="1"/>
    <col min="3" max="3" width="39" style="24" customWidth="1"/>
    <col min="4" max="4" width="27" style="24" customWidth="1"/>
    <col min="5" max="5" width="17.7109375" style="24" customWidth="1"/>
    <col min="6" max="6" width="20.28515625" style="24" customWidth="1"/>
    <col min="7" max="7" width="12.7109375" style="24" customWidth="1"/>
    <col min="8" max="8" width="13.7109375" style="24" customWidth="1"/>
    <col min="9" max="9" width="31.7109375" style="24" customWidth="1"/>
    <col min="10" max="10" width="17.5703125" style="24" customWidth="1"/>
    <col min="11" max="11" width="5.7109375" style="24" customWidth="1"/>
    <col min="12" max="16384" width="9.28515625" style="24"/>
  </cols>
  <sheetData>
    <row r="1" spans="1:10" s="22" customFormat="1" ht="15" customHeight="1" x14ac:dyDescent="0.25">
      <c r="A1" s="250" t="s">
        <v>303</v>
      </c>
      <c r="B1" s="250"/>
      <c r="C1" s="250"/>
      <c r="D1" s="87"/>
      <c r="E1" s="23"/>
    </row>
    <row r="2" spans="1:10" s="22" customFormat="1" ht="15" customHeight="1" x14ac:dyDescent="0.25">
      <c r="A2" s="250"/>
      <c r="B2" s="250"/>
      <c r="C2" s="250"/>
      <c r="D2" s="87"/>
      <c r="E2" s="23"/>
    </row>
    <row r="3" spans="1:10" s="22" customFormat="1" ht="15" customHeight="1" x14ac:dyDescent="0.25">
      <c r="A3" s="250"/>
      <c r="B3" s="250"/>
      <c r="C3" s="250"/>
      <c r="D3" s="87"/>
    </row>
    <row r="4" spans="1:10" s="22" customFormat="1" x14ac:dyDescent="0.25"/>
    <row r="5" spans="1:10" s="22" customFormat="1" x14ac:dyDescent="0.25">
      <c r="B5" s="1" t="s">
        <v>4</v>
      </c>
      <c r="C5" s="246">
        <f>'Project Information'!C8</f>
        <v>0</v>
      </c>
      <c r="D5" s="247"/>
      <c r="E5" s="248"/>
    </row>
    <row r="6" spans="1:10" s="22" customFormat="1" x14ac:dyDescent="0.25">
      <c r="B6" s="1" t="s">
        <v>5</v>
      </c>
      <c r="C6" s="12">
        <f>'Project Information'!C9</f>
        <v>0</v>
      </c>
      <c r="D6" s="13"/>
      <c r="E6" s="13"/>
    </row>
    <row r="7" spans="1:10" s="22" customFormat="1" x14ac:dyDescent="0.25">
      <c r="B7" s="1" t="s">
        <v>6</v>
      </c>
      <c r="C7" s="246">
        <f>'Project Information'!C10</f>
        <v>0</v>
      </c>
      <c r="D7" s="247"/>
      <c r="E7" s="248"/>
    </row>
    <row r="8" spans="1:10" s="22" customFormat="1" x14ac:dyDescent="0.25">
      <c r="B8" s="1" t="s">
        <v>7</v>
      </c>
      <c r="C8" s="246">
        <f>'Project Information'!C11</f>
        <v>0</v>
      </c>
      <c r="D8" s="247"/>
      <c r="E8" s="248"/>
    </row>
    <row r="9" spans="1:10" s="22" customFormat="1" x14ac:dyDescent="0.25">
      <c r="B9" s="4"/>
      <c r="C9" s="5"/>
      <c r="D9" s="5"/>
      <c r="E9" s="5"/>
    </row>
    <row r="10" spans="1:10" s="22" customFormat="1" x14ac:dyDescent="0.25"/>
    <row r="11" spans="1:10" s="22" customFormat="1" ht="33.75" customHeight="1" thickBot="1" x14ac:dyDescent="0.3">
      <c r="B11" s="37" t="s">
        <v>304</v>
      </c>
      <c r="C11" s="38" t="s">
        <v>305</v>
      </c>
      <c r="D11" s="38" t="s">
        <v>306</v>
      </c>
      <c r="E11" s="38" t="s">
        <v>141</v>
      </c>
      <c r="F11" s="38" t="s">
        <v>307</v>
      </c>
      <c r="G11" s="38" t="s">
        <v>308</v>
      </c>
      <c r="H11" s="38" t="s">
        <v>309</v>
      </c>
      <c r="I11" s="38" t="s">
        <v>143</v>
      </c>
      <c r="J11" s="39" t="s">
        <v>310</v>
      </c>
    </row>
    <row r="12" spans="1:10" ht="15.75" thickTop="1" x14ac:dyDescent="0.25">
      <c r="C12" s="24" t="s">
        <v>45</v>
      </c>
      <c r="D12" s="24" t="s">
        <v>45</v>
      </c>
      <c r="E12" s="24" t="s">
        <v>164</v>
      </c>
      <c r="F12" s="24" t="s">
        <v>44</v>
      </c>
      <c r="G12" s="24">
        <v>2</v>
      </c>
      <c r="H12" s="25" t="s">
        <v>276</v>
      </c>
      <c r="I12" s="24" t="s">
        <v>311</v>
      </c>
      <c r="J12" s="26"/>
    </row>
    <row r="13" spans="1:10" x14ac:dyDescent="0.25">
      <c r="C13" s="24" t="s">
        <v>46</v>
      </c>
      <c r="D13" s="24" t="s">
        <v>46</v>
      </c>
      <c r="E13" s="24" t="s">
        <v>170</v>
      </c>
      <c r="F13" s="24" t="s">
        <v>44</v>
      </c>
      <c r="G13" s="24">
        <v>5</v>
      </c>
      <c r="H13" s="25" t="s">
        <v>276</v>
      </c>
      <c r="I13" s="24" t="s">
        <v>311</v>
      </c>
      <c r="J13" s="26"/>
    </row>
    <row r="14" spans="1:10" x14ac:dyDescent="0.25">
      <c r="C14" s="24" t="s">
        <v>47</v>
      </c>
      <c r="D14" s="24" t="s">
        <v>312</v>
      </c>
      <c r="E14" s="24" t="s">
        <v>171</v>
      </c>
      <c r="F14" s="24" t="s">
        <v>44</v>
      </c>
      <c r="G14" s="24">
        <v>10</v>
      </c>
      <c r="H14" s="25" t="s">
        <v>276</v>
      </c>
      <c r="I14" s="24" t="s">
        <v>313</v>
      </c>
      <c r="J14" s="26"/>
    </row>
    <row r="15" spans="1:10" x14ac:dyDescent="0.25">
      <c r="C15" s="24" t="s">
        <v>48</v>
      </c>
      <c r="D15" s="24" t="s">
        <v>312</v>
      </c>
      <c r="E15" s="24" t="s">
        <v>171</v>
      </c>
      <c r="F15" s="24" t="s">
        <v>44</v>
      </c>
      <c r="G15" s="24">
        <v>10</v>
      </c>
      <c r="H15" s="25" t="s">
        <v>276</v>
      </c>
      <c r="I15" s="24" t="s">
        <v>313</v>
      </c>
      <c r="J15" s="26">
        <v>26804389</v>
      </c>
    </row>
    <row r="16" spans="1:10" x14ac:dyDescent="0.25">
      <c r="C16" s="24" t="s">
        <v>49</v>
      </c>
      <c r="D16" s="24" t="s">
        <v>314</v>
      </c>
      <c r="E16" s="24" t="s">
        <v>175</v>
      </c>
      <c r="F16" s="24" t="s">
        <v>44</v>
      </c>
      <c r="G16" s="24">
        <v>14</v>
      </c>
      <c r="H16" s="25" t="s">
        <v>276</v>
      </c>
      <c r="I16" s="24" t="s">
        <v>315</v>
      </c>
      <c r="J16" s="26"/>
    </row>
    <row r="17" spans="3:10" x14ac:dyDescent="0.25">
      <c r="C17" s="24" t="s">
        <v>50</v>
      </c>
      <c r="D17" s="24" t="s">
        <v>314</v>
      </c>
      <c r="E17" s="24" t="s">
        <v>175</v>
      </c>
      <c r="F17" s="24" t="s">
        <v>44</v>
      </c>
      <c r="G17" s="24">
        <v>14</v>
      </c>
      <c r="H17" s="25" t="s">
        <v>276</v>
      </c>
      <c r="I17" s="24" t="s">
        <v>315</v>
      </c>
      <c r="J17" s="26"/>
    </row>
    <row r="18" spans="3:10" x14ac:dyDescent="0.25">
      <c r="C18" s="24" t="s">
        <v>51</v>
      </c>
      <c r="D18" s="24" t="s">
        <v>51</v>
      </c>
      <c r="E18" s="24" t="s">
        <v>180</v>
      </c>
      <c r="F18" s="24" t="s">
        <v>44</v>
      </c>
      <c r="G18" s="24">
        <v>4</v>
      </c>
      <c r="H18" s="25" t="s">
        <v>276</v>
      </c>
      <c r="I18" s="24" t="s">
        <v>311</v>
      </c>
      <c r="J18" s="26"/>
    </row>
    <row r="19" spans="3:10" x14ac:dyDescent="0.25">
      <c r="C19" s="24" t="s">
        <v>52</v>
      </c>
      <c r="D19" s="24" t="s">
        <v>316</v>
      </c>
      <c r="E19" s="24" t="s">
        <v>181</v>
      </c>
      <c r="F19" s="24" t="s">
        <v>44</v>
      </c>
      <c r="G19" s="24">
        <v>8</v>
      </c>
      <c r="H19" s="25" t="s">
        <v>276</v>
      </c>
      <c r="I19" s="24" t="s">
        <v>313</v>
      </c>
      <c r="J19" s="26"/>
    </row>
    <row r="20" spans="3:10" x14ac:dyDescent="0.25">
      <c r="C20" s="24" t="s">
        <v>317</v>
      </c>
      <c r="D20" s="24" t="s">
        <v>316</v>
      </c>
      <c r="E20" s="24" t="s">
        <v>181</v>
      </c>
      <c r="F20" s="24" t="s">
        <v>44</v>
      </c>
      <c r="G20" s="24">
        <v>8</v>
      </c>
      <c r="H20" s="25" t="s">
        <v>276</v>
      </c>
      <c r="I20" s="24" t="s">
        <v>313</v>
      </c>
      <c r="J20" s="26"/>
    </row>
    <row r="21" spans="3:10" x14ac:dyDescent="0.25">
      <c r="C21" s="24" t="s">
        <v>54</v>
      </c>
      <c r="D21" s="24" t="s">
        <v>54</v>
      </c>
      <c r="E21" s="24" t="s">
        <v>183</v>
      </c>
      <c r="F21" s="24" t="s">
        <v>53</v>
      </c>
      <c r="G21" s="24">
        <v>1</v>
      </c>
      <c r="H21" s="25" t="s">
        <v>276</v>
      </c>
      <c r="I21" s="24" t="s">
        <v>311</v>
      </c>
      <c r="J21" s="26"/>
    </row>
    <row r="22" spans="3:10" x14ac:dyDescent="0.25">
      <c r="C22" s="24" t="s">
        <v>55</v>
      </c>
      <c r="D22" s="24" t="s">
        <v>318</v>
      </c>
      <c r="E22" s="24" t="s">
        <v>185</v>
      </c>
      <c r="F22" s="24" t="s">
        <v>53</v>
      </c>
      <c r="G22" s="24">
        <v>2</v>
      </c>
      <c r="H22" s="25" t="s">
        <v>276</v>
      </c>
      <c r="I22" s="24" t="s">
        <v>311</v>
      </c>
      <c r="J22" s="26"/>
    </row>
    <row r="23" spans="3:10" x14ac:dyDescent="0.25">
      <c r="C23" s="24" t="s">
        <v>56</v>
      </c>
      <c r="D23" s="24" t="s">
        <v>318</v>
      </c>
      <c r="E23" s="24" t="s">
        <v>185</v>
      </c>
      <c r="F23" s="24" t="s">
        <v>53</v>
      </c>
      <c r="G23" s="24">
        <v>2</v>
      </c>
      <c r="H23" s="25" t="s">
        <v>276</v>
      </c>
      <c r="I23" s="24" t="s">
        <v>311</v>
      </c>
      <c r="J23" s="26"/>
    </row>
    <row r="24" spans="3:10" x14ac:dyDescent="0.25">
      <c r="C24" s="24" t="s">
        <v>57</v>
      </c>
      <c r="D24" s="24" t="s">
        <v>57</v>
      </c>
      <c r="E24" s="24" t="s">
        <v>188</v>
      </c>
      <c r="F24" s="24" t="s">
        <v>53</v>
      </c>
      <c r="G24" s="24">
        <v>8</v>
      </c>
      <c r="H24" s="25" t="s">
        <v>276</v>
      </c>
      <c r="I24" s="24" t="s">
        <v>313</v>
      </c>
      <c r="J24" s="26"/>
    </row>
    <row r="25" spans="3:10" x14ac:dyDescent="0.25">
      <c r="C25" s="24" t="s">
        <v>58</v>
      </c>
      <c r="D25" s="24" t="s">
        <v>58</v>
      </c>
      <c r="E25" s="24" t="s">
        <v>190</v>
      </c>
      <c r="F25" s="24" t="s">
        <v>44</v>
      </c>
      <c r="G25" s="24">
        <v>1</v>
      </c>
      <c r="H25" s="25" t="s">
        <v>276</v>
      </c>
      <c r="I25" s="24" t="s">
        <v>313</v>
      </c>
      <c r="J25" s="26"/>
    </row>
    <row r="26" spans="3:10" x14ac:dyDescent="0.25">
      <c r="C26" s="24" t="s">
        <v>59</v>
      </c>
      <c r="D26" s="24" t="s">
        <v>59</v>
      </c>
      <c r="E26" s="24" t="s">
        <v>192</v>
      </c>
      <c r="F26" s="24" t="s">
        <v>44</v>
      </c>
      <c r="G26" s="24">
        <v>5</v>
      </c>
      <c r="H26" s="25"/>
      <c r="J26" s="26"/>
    </row>
    <row r="27" spans="3:10" x14ac:dyDescent="0.25">
      <c r="C27" s="24" t="s">
        <v>60</v>
      </c>
      <c r="D27" s="24" t="s">
        <v>319</v>
      </c>
      <c r="E27" s="24" t="s">
        <v>194</v>
      </c>
      <c r="F27" s="24" t="s">
        <v>44</v>
      </c>
      <c r="G27" s="24">
        <v>6</v>
      </c>
      <c r="H27" s="25"/>
      <c r="I27" s="24" t="s">
        <v>313</v>
      </c>
      <c r="J27" s="26"/>
    </row>
    <row r="28" spans="3:10" x14ac:dyDescent="0.25">
      <c r="C28" s="24" t="s">
        <v>320</v>
      </c>
      <c r="D28" s="24" t="s">
        <v>319</v>
      </c>
      <c r="E28" s="24" t="s">
        <v>194</v>
      </c>
      <c r="F28" s="24" t="s">
        <v>44</v>
      </c>
      <c r="G28" s="24">
        <v>6</v>
      </c>
      <c r="H28" s="25"/>
      <c r="I28" s="24" t="s">
        <v>313</v>
      </c>
      <c r="J28" s="26"/>
    </row>
    <row r="29" spans="3:10" x14ac:dyDescent="0.25">
      <c r="C29" s="24" t="s">
        <v>321</v>
      </c>
      <c r="D29" s="24" t="s">
        <v>319</v>
      </c>
      <c r="E29" s="24" t="s">
        <v>194</v>
      </c>
      <c r="F29" s="24" t="s">
        <v>44</v>
      </c>
      <c r="G29" s="24">
        <v>6</v>
      </c>
      <c r="H29" s="25"/>
      <c r="I29" s="24" t="s">
        <v>313</v>
      </c>
      <c r="J29" s="26"/>
    </row>
    <row r="30" spans="3:10" x14ac:dyDescent="0.25">
      <c r="C30" s="24" t="s">
        <v>61</v>
      </c>
      <c r="D30" s="24" t="s">
        <v>61</v>
      </c>
      <c r="E30" s="24" t="s">
        <v>197</v>
      </c>
      <c r="F30" s="24" t="s">
        <v>53</v>
      </c>
      <c r="G30" s="24">
        <v>8</v>
      </c>
      <c r="H30" s="25"/>
      <c r="I30" s="24" t="s">
        <v>313</v>
      </c>
      <c r="J30" s="26"/>
    </row>
    <row r="31" spans="3:10" x14ac:dyDescent="0.25">
      <c r="C31" s="24" t="s">
        <v>62</v>
      </c>
      <c r="D31" s="24" t="s">
        <v>61</v>
      </c>
      <c r="E31" s="24" t="s">
        <v>197</v>
      </c>
      <c r="F31" s="24" t="s">
        <v>53</v>
      </c>
      <c r="G31" s="24">
        <v>8</v>
      </c>
      <c r="H31" s="25"/>
      <c r="I31" s="24" t="s">
        <v>313</v>
      </c>
      <c r="J31" s="26"/>
    </row>
    <row r="32" spans="3:10" x14ac:dyDescent="0.25">
      <c r="C32" s="24" t="s">
        <v>63</v>
      </c>
      <c r="D32" s="24" t="s">
        <v>61</v>
      </c>
      <c r="E32" s="24" t="s">
        <v>197</v>
      </c>
      <c r="F32" s="24" t="s">
        <v>53</v>
      </c>
      <c r="G32" s="24">
        <v>8</v>
      </c>
      <c r="H32" s="25"/>
      <c r="I32" s="24" t="s">
        <v>313</v>
      </c>
      <c r="J32" s="26"/>
    </row>
    <row r="33" spans="3:10" x14ac:dyDescent="0.25">
      <c r="C33" s="24" t="s">
        <v>322</v>
      </c>
      <c r="D33" s="24" t="s">
        <v>61</v>
      </c>
      <c r="E33" s="24" t="s">
        <v>197</v>
      </c>
      <c r="F33" s="24" t="s">
        <v>53</v>
      </c>
      <c r="G33" s="24">
        <v>8</v>
      </c>
      <c r="H33" s="25"/>
      <c r="I33" s="24" t="s">
        <v>313</v>
      </c>
      <c r="J33" s="26"/>
    </row>
    <row r="34" spans="3:10" x14ac:dyDescent="0.25">
      <c r="C34" s="24" t="s">
        <v>64</v>
      </c>
      <c r="D34" s="24" t="s">
        <v>323</v>
      </c>
      <c r="E34" s="24" t="s">
        <v>201</v>
      </c>
      <c r="F34" s="24" t="s">
        <v>53</v>
      </c>
      <c r="G34" s="24">
        <v>8</v>
      </c>
      <c r="H34" s="25"/>
      <c r="I34" s="24" t="s">
        <v>313</v>
      </c>
      <c r="J34" s="26"/>
    </row>
    <row r="35" spans="3:10" x14ac:dyDescent="0.25">
      <c r="C35" s="24" t="s">
        <v>324</v>
      </c>
      <c r="D35" s="24" t="s">
        <v>323</v>
      </c>
      <c r="E35" s="24" t="s">
        <v>201</v>
      </c>
      <c r="F35" s="24" t="s">
        <v>53</v>
      </c>
      <c r="G35" s="24">
        <v>8</v>
      </c>
      <c r="H35" s="25"/>
      <c r="I35" s="24" t="s">
        <v>313</v>
      </c>
      <c r="J35" s="26"/>
    </row>
    <row r="36" spans="3:10" x14ac:dyDescent="0.25">
      <c r="C36" s="24" t="s">
        <v>65</v>
      </c>
      <c r="D36" s="24" t="s">
        <v>325</v>
      </c>
      <c r="E36" s="24" t="s">
        <v>203</v>
      </c>
      <c r="F36" s="24" t="s">
        <v>53</v>
      </c>
      <c r="G36" s="24">
        <v>7</v>
      </c>
      <c r="H36" s="25"/>
      <c r="I36" s="24" t="s">
        <v>313</v>
      </c>
      <c r="J36" s="26"/>
    </row>
    <row r="37" spans="3:10" x14ac:dyDescent="0.25">
      <c r="C37" s="24" t="s">
        <v>326</v>
      </c>
      <c r="D37" s="24" t="s">
        <v>325</v>
      </c>
      <c r="E37" s="24" t="s">
        <v>203</v>
      </c>
      <c r="F37" s="24" t="s">
        <v>53</v>
      </c>
      <c r="G37" s="24">
        <v>7</v>
      </c>
      <c r="H37" s="25"/>
      <c r="I37" s="24" t="s">
        <v>313</v>
      </c>
      <c r="J37" s="26"/>
    </row>
    <row r="38" spans="3:10" x14ac:dyDescent="0.25">
      <c r="C38" s="24" t="s">
        <v>66</v>
      </c>
      <c r="D38" s="24" t="s">
        <v>66</v>
      </c>
      <c r="E38" s="24" t="s">
        <v>206</v>
      </c>
      <c r="F38" s="24" t="s">
        <v>44</v>
      </c>
      <c r="G38" s="24">
        <v>6</v>
      </c>
      <c r="H38" s="25" t="s">
        <v>276</v>
      </c>
      <c r="I38" s="24" t="s">
        <v>313</v>
      </c>
      <c r="J38" s="26"/>
    </row>
    <row r="39" spans="3:10" x14ac:dyDescent="0.25">
      <c r="C39" s="24" t="s">
        <v>67</v>
      </c>
      <c r="D39" s="24" t="s">
        <v>67</v>
      </c>
      <c r="E39" s="24" t="s">
        <v>208</v>
      </c>
      <c r="F39" s="24" t="s">
        <v>44</v>
      </c>
      <c r="G39" s="24">
        <v>6</v>
      </c>
      <c r="H39" s="25" t="s">
        <v>276</v>
      </c>
      <c r="I39" s="24" t="s">
        <v>313</v>
      </c>
      <c r="J39" s="26"/>
    </row>
    <row r="40" spans="3:10" x14ac:dyDescent="0.25">
      <c r="C40" s="24" t="s">
        <v>68</v>
      </c>
      <c r="D40" s="24" t="s">
        <v>57</v>
      </c>
      <c r="E40" s="24" t="s">
        <v>188</v>
      </c>
      <c r="F40" s="24" t="s">
        <v>53</v>
      </c>
      <c r="G40" s="24">
        <v>4</v>
      </c>
      <c r="H40" s="25"/>
      <c r="I40" s="24" t="s">
        <v>313</v>
      </c>
      <c r="J40" s="26"/>
    </row>
    <row r="41" spans="3:10" x14ac:dyDescent="0.25">
      <c r="C41" s="24" t="s">
        <v>69</v>
      </c>
      <c r="D41" s="24" t="s">
        <v>69</v>
      </c>
      <c r="E41" s="24" t="s">
        <v>212</v>
      </c>
      <c r="F41" s="24" t="s">
        <v>44</v>
      </c>
      <c r="G41" s="24">
        <v>1</v>
      </c>
      <c r="H41" s="25"/>
      <c r="I41" s="24" t="s">
        <v>327</v>
      </c>
      <c r="J41" s="26"/>
    </row>
    <row r="42" spans="3:10" x14ac:dyDescent="0.25">
      <c r="C42" s="24" t="s">
        <v>328</v>
      </c>
      <c r="D42" s="24" t="s">
        <v>329</v>
      </c>
      <c r="E42" s="24" t="s">
        <v>214</v>
      </c>
      <c r="F42" s="24" t="s">
        <v>53</v>
      </c>
      <c r="G42" s="24">
        <v>6</v>
      </c>
      <c r="H42" s="25"/>
      <c r="I42" s="24" t="s">
        <v>311</v>
      </c>
      <c r="J42" s="26"/>
    </row>
    <row r="43" spans="3:10" x14ac:dyDescent="0.25">
      <c r="C43" s="24" t="s">
        <v>70</v>
      </c>
      <c r="D43" s="24" t="s">
        <v>329</v>
      </c>
      <c r="E43" s="24" t="s">
        <v>214</v>
      </c>
      <c r="F43" s="24" t="s">
        <v>53</v>
      </c>
      <c r="G43" s="24">
        <v>2</v>
      </c>
      <c r="H43" s="25"/>
      <c r="I43" s="24" t="s">
        <v>311</v>
      </c>
      <c r="J43" s="26"/>
    </row>
    <row r="44" spans="3:10" x14ac:dyDescent="0.25">
      <c r="C44" s="24" t="s">
        <v>330</v>
      </c>
      <c r="D44" s="24" t="s">
        <v>329</v>
      </c>
      <c r="E44" s="24" t="s">
        <v>214</v>
      </c>
      <c r="F44" s="24" t="s">
        <v>53</v>
      </c>
      <c r="G44" s="24">
        <v>2</v>
      </c>
      <c r="H44" s="25"/>
      <c r="I44" s="24" t="s">
        <v>311</v>
      </c>
      <c r="J44" s="26"/>
    </row>
    <row r="45" spans="3:10" x14ac:dyDescent="0.25">
      <c r="C45" s="24" t="s">
        <v>71</v>
      </c>
      <c r="D45" s="24" t="s">
        <v>331</v>
      </c>
      <c r="E45" s="24" t="s">
        <v>215</v>
      </c>
      <c r="F45" s="24" t="s">
        <v>44</v>
      </c>
      <c r="G45" s="24">
        <v>5</v>
      </c>
      <c r="H45" s="25" t="s">
        <v>276</v>
      </c>
      <c r="I45" s="24" t="s">
        <v>315</v>
      </c>
      <c r="J45" s="26"/>
    </row>
    <row r="46" spans="3:10" x14ac:dyDescent="0.25">
      <c r="C46" s="24" t="s">
        <v>72</v>
      </c>
      <c r="D46" s="24" t="s">
        <v>331</v>
      </c>
      <c r="E46" s="24" t="s">
        <v>215</v>
      </c>
      <c r="F46" s="24" t="s">
        <v>44</v>
      </c>
      <c r="G46" s="24">
        <v>5</v>
      </c>
      <c r="H46" s="25" t="s">
        <v>276</v>
      </c>
      <c r="I46" s="24" t="s">
        <v>315</v>
      </c>
      <c r="J46" s="26"/>
    </row>
    <row r="47" spans="3:10" x14ac:dyDescent="0.25">
      <c r="C47" s="24" t="s">
        <v>73</v>
      </c>
      <c r="D47" s="24" t="s">
        <v>332</v>
      </c>
      <c r="E47" s="24" t="s">
        <v>219</v>
      </c>
      <c r="F47" s="24" t="s">
        <v>44</v>
      </c>
      <c r="G47" s="24">
        <v>4</v>
      </c>
      <c r="H47" s="25" t="s">
        <v>276</v>
      </c>
      <c r="I47" s="24" t="s">
        <v>315</v>
      </c>
      <c r="J47" s="26"/>
    </row>
    <row r="48" spans="3:10" x14ac:dyDescent="0.25">
      <c r="C48" s="24" t="s">
        <v>333</v>
      </c>
      <c r="D48" s="24" t="s">
        <v>332</v>
      </c>
      <c r="E48" s="24" t="s">
        <v>219</v>
      </c>
      <c r="F48" s="24" t="s">
        <v>44</v>
      </c>
      <c r="G48" s="24">
        <v>4</v>
      </c>
      <c r="H48" s="25" t="s">
        <v>276</v>
      </c>
      <c r="I48" s="24" t="s">
        <v>315</v>
      </c>
      <c r="J48" s="26"/>
    </row>
    <row r="49" spans="3:10" x14ac:dyDescent="0.25">
      <c r="C49" s="24" t="s">
        <v>74</v>
      </c>
      <c r="D49" s="24" t="s">
        <v>334</v>
      </c>
      <c r="E49" s="24" t="s">
        <v>220</v>
      </c>
      <c r="F49" s="24" t="s">
        <v>44</v>
      </c>
      <c r="G49" s="24">
        <v>3</v>
      </c>
      <c r="H49" s="25" t="s">
        <v>276</v>
      </c>
      <c r="I49" s="24" t="s">
        <v>315</v>
      </c>
      <c r="J49" s="26"/>
    </row>
    <row r="50" spans="3:10" x14ac:dyDescent="0.25">
      <c r="C50" s="24" t="s">
        <v>75</v>
      </c>
      <c r="D50" s="24" t="s">
        <v>334</v>
      </c>
      <c r="E50" s="24" t="s">
        <v>220</v>
      </c>
      <c r="F50" s="24" t="s">
        <v>44</v>
      </c>
      <c r="G50" s="24">
        <v>3</v>
      </c>
      <c r="H50" s="25" t="s">
        <v>276</v>
      </c>
      <c r="I50" s="24" t="s">
        <v>315</v>
      </c>
      <c r="J50" s="26"/>
    </row>
    <row r="51" spans="3:10" x14ac:dyDescent="0.25">
      <c r="C51" s="24" t="s">
        <v>76</v>
      </c>
      <c r="D51" s="24" t="s">
        <v>329</v>
      </c>
      <c r="E51" s="24" t="s">
        <v>214</v>
      </c>
      <c r="F51" s="24" t="s">
        <v>44</v>
      </c>
      <c r="G51" s="24">
        <v>1</v>
      </c>
      <c r="H51" s="25" t="s">
        <v>276</v>
      </c>
      <c r="I51" s="24" t="s">
        <v>315</v>
      </c>
      <c r="J51" s="26"/>
    </row>
    <row r="52" spans="3:10" x14ac:dyDescent="0.25">
      <c r="C52" s="24" t="s">
        <v>77</v>
      </c>
      <c r="D52" s="24" t="s">
        <v>335</v>
      </c>
      <c r="E52" s="24" t="s">
        <v>222</v>
      </c>
      <c r="F52" s="24" t="s">
        <v>44</v>
      </c>
      <c r="G52" s="24">
        <v>9</v>
      </c>
      <c r="H52" s="25"/>
      <c r="I52" s="24" t="s">
        <v>313</v>
      </c>
      <c r="J52" s="26"/>
    </row>
    <row r="53" spans="3:10" x14ac:dyDescent="0.25">
      <c r="C53" s="24" t="s">
        <v>78</v>
      </c>
      <c r="D53" s="24" t="s">
        <v>335</v>
      </c>
      <c r="E53" s="24" t="s">
        <v>222</v>
      </c>
      <c r="F53" s="24" t="s">
        <v>44</v>
      </c>
      <c r="G53" s="24">
        <v>9</v>
      </c>
      <c r="H53" s="25"/>
      <c r="I53" s="24" t="s">
        <v>313</v>
      </c>
      <c r="J53" s="26"/>
    </row>
    <row r="54" spans="3:10" x14ac:dyDescent="0.25">
      <c r="C54" s="24" t="s">
        <v>79</v>
      </c>
      <c r="D54" s="24" t="s">
        <v>336</v>
      </c>
      <c r="E54" s="24" t="s">
        <v>223</v>
      </c>
      <c r="F54" s="24" t="s">
        <v>44</v>
      </c>
      <c r="G54" s="24">
        <v>10</v>
      </c>
      <c r="H54" s="25"/>
      <c r="I54" s="24" t="s">
        <v>313</v>
      </c>
      <c r="J54" s="26"/>
    </row>
    <row r="55" spans="3:10" x14ac:dyDescent="0.25">
      <c r="C55" s="24" t="s">
        <v>337</v>
      </c>
      <c r="D55" s="24" t="s">
        <v>336</v>
      </c>
      <c r="E55" s="24" t="s">
        <v>223</v>
      </c>
      <c r="F55" s="24" t="s">
        <v>44</v>
      </c>
      <c r="G55" s="24">
        <v>10</v>
      </c>
      <c r="H55" s="25"/>
      <c r="I55" s="24" t="s">
        <v>313</v>
      </c>
      <c r="J55" s="26"/>
    </row>
    <row r="56" spans="3:10" x14ac:dyDescent="0.25">
      <c r="C56" s="24" t="s">
        <v>80</v>
      </c>
      <c r="D56" s="24" t="s">
        <v>338</v>
      </c>
      <c r="E56" s="24" t="s">
        <v>225</v>
      </c>
      <c r="F56" s="24" t="s">
        <v>44</v>
      </c>
      <c r="G56" s="24">
        <v>17</v>
      </c>
      <c r="H56" s="25"/>
      <c r="I56" s="24" t="s">
        <v>315</v>
      </c>
      <c r="J56" s="26"/>
    </row>
    <row r="57" spans="3:10" x14ac:dyDescent="0.25">
      <c r="C57" s="24" t="s">
        <v>339</v>
      </c>
      <c r="D57" s="24" t="s">
        <v>338</v>
      </c>
      <c r="E57" s="24" t="s">
        <v>225</v>
      </c>
      <c r="F57" s="24" t="s">
        <v>44</v>
      </c>
      <c r="G57" s="24">
        <v>17</v>
      </c>
      <c r="H57" s="25"/>
      <c r="I57" s="24" t="s">
        <v>315</v>
      </c>
      <c r="J57" s="26"/>
    </row>
    <row r="58" spans="3:10" x14ac:dyDescent="0.25">
      <c r="C58" s="24" t="s">
        <v>340</v>
      </c>
      <c r="D58" s="24" t="s">
        <v>338</v>
      </c>
      <c r="E58" s="24" t="s">
        <v>225</v>
      </c>
      <c r="F58" s="24" t="s">
        <v>44</v>
      </c>
      <c r="G58" s="24">
        <v>17</v>
      </c>
      <c r="H58" s="25"/>
      <c r="I58" s="24" t="s">
        <v>315</v>
      </c>
      <c r="J58" s="26"/>
    </row>
    <row r="59" spans="3:10" x14ac:dyDescent="0.25">
      <c r="C59" s="24" t="s">
        <v>81</v>
      </c>
      <c r="D59" s="24" t="s">
        <v>341</v>
      </c>
      <c r="E59" s="24" t="s">
        <v>226</v>
      </c>
      <c r="F59" s="24" t="s">
        <v>44</v>
      </c>
      <c r="G59" s="24">
        <v>5</v>
      </c>
      <c r="H59" s="25"/>
      <c r="I59" s="24" t="s">
        <v>315</v>
      </c>
      <c r="J59" s="26"/>
    </row>
    <row r="60" spans="3:10" x14ac:dyDescent="0.25">
      <c r="C60" s="24" t="s">
        <v>342</v>
      </c>
      <c r="D60" s="24" t="s">
        <v>341</v>
      </c>
      <c r="E60" s="24" t="s">
        <v>226</v>
      </c>
      <c r="F60" s="24" t="s">
        <v>44</v>
      </c>
      <c r="G60" s="24">
        <v>5</v>
      </c>
      <c r="H60" s="25"/>
      <c r="I60" s="24" t="s">
        <v>315</v>
      </c>
      <c r="J60" s="26"/>
    </row>
    <row r="61" spans="3:10" x14ac:dyDescent="0.25">
      <c r="C61" s="24" t="s">
        <v>343</v>
      </c>
      <c r="D61" s="24" t="s">
        <v>341</v>
      </c>
      <c r="E61" s="24" t="s">
        <v>226</v>
      </c>
      <c r="F61" s="24" t="s">
        <v>44</v>
      </c>
      <c r="G61" s="24">
        <v>5</v>
      </c>
      <c r="I61" s="24" t="s">
        <v>315</v>
      </c>
    </row>
    <row r="62" spans="3:10" x14ac:dyDescent="0.25">
      <c r="C62" s="24" t="s">
        <v>344</v>
      </c>
      <c r="D62" s="24" t="s">
        <v>341</v>
      </c>
      <c r="E62" s="24" t="s">
        <v>226</v>
      </c>
      <c r="F62" s="24" t="s">
        <v>44</v>
      </c>
      <c r="G62" s="24">
        <v>5</v>
      </c>
      <c r="I62" s="24" t="s">
        <v>315</v>
      </c>
      <c r="J62" s="26"/>
    </row>
    <row r="63" spans="3:10" x14ac:dyDescent="0.25">
      <c r="C63" s="24" t="s">
        <v>82</v>
      </c>
      <c r="D63" s="24" t="s">
        <v>345</v>
      </c>
      <c r="E63" s="24" t="s">
        <v>227</v>
      </c>
      <c r="F63" s="24" t="s">
        <v>44</v>
      </c>
      <c r="G63" s="24">
        <v>10</v>
      </c>
      <c r="I63" s="24" t="s">
        <v>315</v>
      </c>
      <c r="J63" s="26"/>
    </row>
    <row r="64" spans="3:10" x14ac:dyDescent="0.25">
      <c r="C64" s="24" t="s">
        <v>83</v>
      </c>
      <c r="D64" s="24" t="s">
        <v>345</v>
      </c>
      <c r="E64" s="24" t="s">
        <v>227</v>
      </c>
      <c r="F64" s="24" t="s">
        <v>44</v>
      </c>
      <c r="G64" s="24">
        <v>10</v>
      </c>
      <c r="I64" s="24" t="s">
        <v>315</v>
      </c>
      <c r="J64" s="26"/>
    </row>
    <row r="65" spans="3:10" x14ac:dyDescent="0.25">
      <c r="C65" s="24" t="s">
        <v>346</v>
      </c>
      <c r="D65" s="24" t="s">
        <v>345</v>
      </c>
      <c r="E65" s="24" t="s">
        <v>227</v>
      </c>
      <c r="F65" s="24" t="s">
        <v>44</v>
      </c>
      <c r="G65" s="24">
        <v>10</v>
      </c>
      <c r="I65" s="24" t="s">
        <v>315</v>
      </c>
      <c r="J65" s="26"/>
    </row>
    <row r="66" spans="3:10" x14ac:dyDescent="0.25">
      <c r="C66" s="24" t="s">
        <v>347</v>
      </c>
      <c r="D66" s="24" t="s">
        <v>345</v>
      </c>
      <c r="E66" s="24" t="s">
        <v>227</v>
      </c>
      <c r="F66" s="24" t="s">
        <v>44</v>
      </c>
      <c r="G66" s="24">
        <v>10</v>
      </c>
      <c r="I66" s="24" t="s">
        <v>315</v>
      </c>
      <c r="J66" s="26"/>
    </row>
    <row r="67" spans="3:10" x14ac:dyDescent="0.25">
      <c r="C67" s="24" t="s">
        <v>84</v>
      </c>
      <c r="D67" s="24" t="s">
        <v>348</v>
      </c>
      <c r="E67" s="24" t="s">
        <v>229</v>
      </c>
      <c r="F67" s="24" t="s">
        <v>44</v>
      </c>
      <c r="G67" s="24">
        <v>13</v>
      </c>
      <c r="I67" s="24" t="s">
        <v>315</v>
      </c>
      <c r="J67" s="26"/>
    </row>
    <row r="68" spans="3:10" x14ac:dyDescent="0.25">
      <c r="C68" s="24" t="s">
        <v>85</v>
      </c>
      <c r="D68" s="24" t="s">
        <v>348</v>
      </c>
      <c r="E68" s="24" t="s">
        <v>229</v>
      </c>
      <c r="F68" s="24" t="s">
        <v>44</v>
      </c>
      <c r="G68" s="24">
        <v>13</v>
      </c>
      <c r="I68" s="24" t="s">
        <v>315</v>
      </c>
      <c r="J68" s="26"/>
    </row>
    <row r="69" spans="3:10" x14ac:dyDescent="0.25">
      <c r="C69" s="24" t="s">
        <v>86</v>
      </c>
      <c r="D69" s="24" t="s">
        <v>348</v>
      </c>
      <c r="E69" s="24" t="s">
        <v>229</v>
      </c>
      <c r="F69" s="24" t="s">
        <v>44</v>
      </c>
      <c r="G69" s="24">
        <v>13</v>
      </c>
      <c r="I69" s="24" t="s">
        <v>315</v>
      </c>
      <c r="J69" s="26"/>
    </row>
    <row r="70" spans="3:10" x14ac:dyDescent="0.25">
      <c r="C70" s="24" t="s">
        <v>349</v>
      </c>
      <c r="D70" s="24" t="s">
        <v>348</v>
      </c>
      <c r="E70" s="24" t="s">
        <v>229</v>
      </c>
      <c r="F70" s="24" t="s">
        <v>44</v>
      </c>
      <c r="G70" s="24">
        <v>13</v>
      </c>
      <c r="I70" s="24" t="s">
        <v>315</v>
      </c>
      <c r="J70" s="26"/>
    </row>
    <row r="71" spans="3:10" x14ac:dyDescent="0.25">
      <c r="C71" s="24" t="s">
        <v>87</v>
      </c>
      <c r="D71" s="24" t="s">
        <v>350</v>
      </c>
      <c r="E71" s="24" t="s">
        <v>231</v>
      </c>
      <c r="F71" s="24" t="s">
        <v>53</v>
      </c>
      <c r="G71" s="24">
        <v>3</v>
      </c>
      <c r="I71" s="24" t="s">
        <v>315</v>
      </c>
      <c r="J71" s="26"/>
    </row>
    <row r="72" spans="3:10" x14ac:dyDescent="0.25">
      <c r="C72" s="24" t="s">
        <v>88</v>
      </c>
      <c r="D72" s="24" t="s">
        <v>88</v>
      </c>
      <c r="E72" s="24" t="s">
        <v>233</v>
      </c>
      <c r="F72" s="24" t="s">
        <v>53</v>
      </c>
      <c r="G72" s="24">
        <v>1</v>
      </c>
      <c r="I72" s="24" t="s">
        <v>315</v>
      </c>
    </row>
    <row r="73" spans="3:10" x14ac:dyDescent="0.25">
      <c r="C73" s="24" t="s">
        <v>89</v>
      </c>
      <c r="D73" s="24" t="s">
        <v>351</v>
      </c>
      <c r="E73" s="24" t="s">
        <v>234</v>
      </c>
      <c r="F73" s="24" t="s">
        <v>44</v>
      </c>
      <c r="G73" s="24">
        <v>13</v>
      </c>
      <c r="I73" s="24" t="s">
        <v>315</v>
      </c>
    </row>
    <row r="74" spans="3:10" x14ac:dyDescent="0.25">
      <c r="C74" s="24" t="s">
        <v>90</v>
      </c>
      <c r="D74" s="24" t="s">
        <v>351</v>
      </c>
      <c r="E74" s="24" t="s">
        <v>234</v>
      </c>
      <c r="F74" s="24" t="s">
        <v>44</v>
      </c>
      <c r="G74" s="24">
        <v>13</v>
      </c>
      <c r="I74" s="24" t="s">
        <v>315</v>
      </c>
      <c r="J74" s="26"/>
    </row>
    <row r="75" spans="3:10" x14ac:dyDescent="0.25">
      <c r="C75" s="24" t="s">
        <v>91</v>
      </c>
      <c r="D75" s="24" t="s">
        <v>91</v>
      </c>
      <c r="E75" s="24" t="s">
        <v>237</v>
      </c>
      <c r="F75" s="24" t="s">
        <v>44</v>
      </c>
      <c r="G75" s="24">
        <v>7</v>
      </c>
      <c r="I75" s="24" t="s">
        <v>315</v>
      </c>
      <c r="J75" s="26"/>
    </row>
    <row r="76" spans="3:10" x14ac:dyDescent="0.25">
      <c r="C76" s="24" t="s">
        <v>92</v>
      </c>
      <c r="D76" s="24" t="s">
        <v>92</v>
      </c>
      <c r="E76" s="24" t="s">
        <v>239</v>
      </c>
      <c r="F76" s="24" t="s">
        <v>44</v>
      </c>
      <c r="G76" s="24">
        <v>5</v>
      </c>
      <c r="H76" s="24" t="s">
        <v>276</v>
      </c>
      <c r="I76" s="24" t="s">
        <v>311</v>
      </c>
      <c r="J76" s="26"/>
    </row>
    <row r="77" spans="3:10" x14ac:dyDescent="0.25">
      <c r="C77" s="24" t="s">
        <v>93</v>
      </c>
      <c r="D77" s="24" t="s">
        <v>352</v>
      </c>
      <c r="E77" s="24" t="s">
        <v>241</v>
      </c>
      <c r="F77" s="24" t="s">
        <v>44</v>
      </c>
      <c r="G77" s="24">
        <v>8</v>
      </c>
      <c r="I77" s="24" t="s">
        <v>315</v>
      </c>
      <c r="J77" s="26"/>
    </row>
    <row r="78" spans="3:10" x14ac:dyDescent="0.25">
      <c r="C78" s="24" t="s">
        <v>94</v>
      </c>
      <c r="D78" s="24" t="s">
        <v>352</v>
      </c>
      <c r="E78" s="24" t="s">
        <v>241</v>
      </c>
      <c r="F78" s="24" t="s">
        <v>44</v>
      </c>
      <c r="G78" s="24">
        <v>8</v>
      </c>
      <c r="I78" s="24" t="s">
        <v>315</v>
      </c>
      <c r="J78" s="26"/>
    </row>
    <row r="79" spans="3:10" x14ac:dyDescent="0.25">
      <c r="C79" s="24" t="s">
        <v>95</v>
      </c>
      <c r="D79" s="24" t="s">
        <v>353</v>
      </c>
      <c r="E79" s="24" t="s">
        <v>242</v>
      </c>
      <c r="F79" s="24" t="s">
        <v>53</v>
      </c>
      <c r="G79" s="24">
        <v>1</v>
      </c>
      <c r="I79" s="24" t="s">
        <v>315</v>
      </c>
      <c r="J79" s="26"/>
    </row>
    <row r="80" spans="3:10" x14ac:dyDescent="0.25">
      <c r="C80" s="24" t="s">
        <v>96</v>
      </c>
      <c r="D80" s="24" t="s">
        <v>354</v>
      </c>
      <c r="E80" s="24" t="s">
        <v>244</v>
      </c>
      <c r="F80" s="24" t="s">
        <v>44</v>
      </c>
      <c r="G80" s="24">
        <v>6</v>
      </c>
      <c r="I80" s="24" t="s">
        <v>313</v>
      </c>
      <c r="J80" s="26"/>
    </row>
    <row r="81" spans="3:10" x14ac:dyDescent="0.25">
      <c r="C81" s="24" t="s">
        <v>355</v>
      </c>
      <c r="D81" s="24" t="s">
        <v>354</v>
      </c>
      <c r="E81" s="24" t="s">
        <v>244</v>
      </c>
      <c r="F81" s="24" t="s">
        <v>44</v>
      </c>
      <c r="G81" s="24">
        <v>6</v>
      </c>
      <c r="I81" s="24" t="s">
        <v>313</v>
      </c>
      <c r="J81" s="26"/>
    </row>
    <row r="82" spans="3:10" x14ac:dyDescent="0.25">
      <c r="C82" s="24" t="s">
        <v>97</v>
      </c>
      <c r="D82" s="24" t="s">
        <v>356</v>
      </c>
      <c r="E82" s="24" t="s">
        <v>245</v>
      </c>
      <c r="F82" s="24" t="s">
        <v>44</v>
      </c>
      <c r="G82" s="24">
        <v>7</v>
      </c>
      <c r="H82" s="24" t="s">
        <v>276</v>
      </c>
      <c r="I82" s="24" t="s">
        <v>315</v>
      </c>
      <c r="J82" s="26"/>
    </row>
    <row r="83" spans="3:10" x14ac:dyDescent="0.25">
      <c r="C83" s="24" t="s">
        <v>357</v>
      </c>
      <c r="D83" s="24" t="s">
        <v>356</v>
      </c>
      <c r="E83" s="24" t="s">
        <v>245</v>
      </c>
      <c r="F83" s="24" t="s">
        <v>44</v>
      </c>
      <c r="G83" s="24">
        <v>7</v>
      </c>
      <c r="H83" s="24" t="s">
        <v>276</v>
      </c>
      <c r="I83" s="24" t="s">
        <v>315</v>
      </c>
      <c r="J83" s="26"/>
    </row>
    <row r="84" spans="3:10" x14ac:dyDescent="0.25">
      <c r="C84" s="24" t="s">
        <v>98</v>
      </c>
      <c r="D84" s="24" t="s">
        <v>358</v>
      </c>
      <c r="E84" s="24" t="s">
        <v>247</v>
      </c>
      <c r="F84" s="24" t="s">
        <v>44</v>
      </c>
      <c r="G84" s="24">
        <v>9</v>
      </c>
      <c r="I84" s="24" t="s">
        <v>313</v>
      </c>
      <c r="J84" s="26"/>
    </row>
    <row r="85" spans="3:10" x14ac:dyDescent="0.25">
      <c r="C85" s="24" t="s">
        <v>99</v>
      </c>
      <c r="D85" s="24" t="s">
        <v>358</v>
      </c>
      <c r="E85" s="24" t="s">
        <v>247</v>
      </c>
      <c r="F85" s="24" t="s">
        <v>44</v>
      </c>
      <c r="G85" s="24">
        <v>9</v>
      </c>
      <c r="I85" s="24" t="s">
        <v>313</v>
      </c>
      <c r="J85" s="26"/>
    </row>
    <row r="86" spans="3:10" x14ac:dyDescent="0.25">
      <c r="C86" s="24" t="s">
        <v>100</v>
      </c>
      <c r="D86" s="24" t="s">
        <v>359</v>
      </c>
      <c r="E86" s="24" t="s">
        <v>249</v>
      </c>
      <c r="F86" s="24" t="s">
        <v>44</v>
      </c>
      <c r="G86" s="24">
        <v>8</v>
      </c>
      <c r="I86" s="24" t="s">
        <v>315</v>
      </c>
      <c r="J86" s="26"/>
    </row>
    <row r="87" spans="3:10" x14ac:dyDescent="0.25">
      <c r="C87" s="24" t="s">
        <v>101</v>
      </c>
      <c r="D87" s="24" t="s">
        <v>359</v>
      </c>
      <c r="E87" s="24" t="s">
        <v>249</v>
      </c>
      <c r="F87" s="24" t="s">
        <v>44</v>
      </c>
      <c r="G87" s="24">
        <v>8</v>
      </c>
      <c r="I87" s="24" t="s">
        <v>315</v>
      </c>
      <c r="J87" s="26"/>
    </row>
    <row r="88" spans="3:10" x14ac:dyDescent="0.25">
      <c r="C88" s="24" t="s">
        <v>102</v>
      </c>
      <c r="D88" s="24" t="s">
        <v>360</v>
      </c>
      <c r="E88" s="24" t="s">
        <v>250</v>
      </c>
      <c r="F88" s="24" t="s">
        <v>44</v>
      </c>
      <c r="G88" s="24">
        <v>6</v>
      </c>
      <c r="I88" s="24" t="s">
        <v>315</v>
      </c>
      <c r="J88" s="26"/>
    </row>
    <row r="89" spans="3:10" x14ac:dyDescent="0.25">
      <c r="C89" s="24" t="s">
        <v>103</v>
      </c>
      <c r="D89" s="24" t="s">
        <v>360</v>
      </c>
      <c r="E89" s="24" t="s">
        <v>250</v>
      </c>
      <c r="F89" s="24" t="s">
        <v>44</v>
      </c>
      <c r="G89" s="24">
        <v>6</v>
      </c>
      <c r="I89" s="24" t="s">
        <v>315</v>
      </c>
      <c r="J89" s="26"/>
    </row>
    <row r="90" spans="3:10" x14ac:dyDescent="0.25">
      <c r="C90" s="24" t="s">
        <v>104</v>
      </c>
      <c r="D90" s="24" t="s">
        <v>360</v>
      </c>
      <c r="E90" s="24" t="s">
        <v>250</v>
      </c>
      <c r="F90" s="24" t="s">
        <v>44</v>
      </c>
      <c r="G90" s="24">
        <v>6</v>
      </c>
      <c r="I90" s="24" t="s">
        <v>315</v>
      </c>
      <c r="J90" s="26"/>
    </row>
    <row r="91" spans="3:10" x14ac:dyDescent="0.25">
      <c r="C91" s="24" t="s">
        <v>105</v>
      </c>
      <c r="D91" s="24" t="s">
        <v>360</v>
      </c>
      <c r="E91" s="24" t="s">
        <v>250</v>
      </c>
      <c r="F91" s="24" t="s">
        <v>44</v>
      </c>
      <c r="G91" s="24">
        <v>6</v>
      </c>
      <c r="I91" s="24" t="s">
        <v>315</v>
      </c>
      <c r="J91" s="26"/>
    </row>
    <row r="92" spans="3:10" x14ac:dyDescent="0.25">
      <c r="C92" s="24" t="s">
        <v>106</v>
      </c>
      <c r="D92" s="24" t="s">
        <v>106</v>
      </c>
      <c r="E92" s="24" t="s">
        <v>252</v>
      </c>
      <c r="F92" s="24" t="s">
        <v>44</v>
      </c>
      <c r="G92" s="24">
        <v>8</v>
      </c>
      <c r="I92" s="24" t="s">
        <v>315</v>
      </c>
      <c r="J92" s="26"/>
    </row>
    <row r="93" spans="3:10" x14ac:dyDescent="0.25">
      <c r="C93" s="24" t="s">
        <v>107</v>
      </c>
      <c r="D93" s="24" t="s">
        <v>107</v>
      </c>
      <c r="E93" s="24" t="s">
        <v>253</v>
      </c>
      <c r="F93" s="24" t="s">
        <v>44</v>
      </c>
      <c r="G93" s="24">
        <v>5</v>
      </c>
      <c r="I93" s="24" t="s">
        <v>315</v>
      </c>
      <c r="J93" s="26"/>
    </row>
    <row r="94" spans="3:10" x14ac:dyDescent="0.25">
      <c r="C94" s="24" t="s">
        <v>108</v>
      </c>
      <c r="D94" s="24" t="s">
        <v>108</v>
      </c>
      <c r="E94" s="24" t="s">
        <v>254</v>
      </c>
      <c r="F94" s="24" t="s">
        <v>44</v>
      </c>
      <c r="G94" s="24">
        <v>10</v>
      </c>
      <c r="I94" s="24" t="s">
        <v>315</v>
      </c>
      <c r="J94" s="26"/>
    </row>
    <row r="95" spans="3:10" x14ac:dyDescent="0.25">
      <c r="C95" s="24" t="s">
        <v>109</v>
      </c>
      <c r="D95" s="24" t="s">
        <v>109</v>
      </c>
      <c r="E95" s="24" t="s">
        <v>256</v>
      </c>
      <c r="F95" s="24" t="s">
        <v>44</v>
      </c>
      <c r="G95" s="24">
        <v>7</v>
      </c>
      <c r="I95" s="24" t="s">
        <v>313</v>
      </c>
      <c r="J95" s="26"/>
    </row>
    <row r="96" spans="3:10" x14ac:dyDescent="0.25">
      <c r="C96" s="24" t="s">
        <v>361</v>
      </c>
      <c r="D96" s="24" t="s">
        <v>361</v>
      </c>
      <c r="E96" s="24" t="s">
        <v>362</v>
      </c>
      <c r="F96" s="24" t="s">
        <v>44</v>
      </c>
      <c r="G96" s="24">
        <v>4</v>
      </c>
      <c r="I96" s="24" t="s">
        <v>315</v>
      </c>
      <c r="J96" s="26"/>
    </row>
    <row r="97" spans="3:10" x14ac:dyDescent="0.25">
      <c r="C97" s="24" t="s">
        <v>363</v>
      </c>
      <c r="D97" s="24" t="s">
        <v>353</v>
      </c>
      <c r="E97" s="24" t="s">
        <v>242</v>
      </c>
      <c r="F97" s="24" t="s">
        <v>44</v>
      </c>
      <c r="G97" s="24">
        <v>3</v>
      </c>
      <c r="I97" s="24" t="s">
        <v>315</v>
      </c>
      <c r="J97" s="26"/>
    </row>
    <row r="98" spans="3:10" x14ac:dyDescent="0.25">
      <c r="C98" s="24" t="s">
        <v>110</v>
      </c>
      <c r="D98" s="24" t="s">
        <v>364</v>
      </c>
      <c r="E98" s="24" t="s">
        <v>257</v>
      </c>
      <c r="F98" s="24" t="s">
        <v>44</v>
      </c>
      <c r="G98" s="24">
        <v>7</v>
      </c>
      <c r="H98" s="25"/>
      <c r="I98" s="24" t="s">
        <v>313</v>
      </c>
      <c r="J98" s="26"/>
    </row>
    <row r="99" spans="3:10" x14ac:dyDescent="0.25">
      <c r="C99" s="24" t="s">
        <v>111</v>
      </c>
      <c r="D99" s="24" t="s">
        <v>364</v>
      </c>
      <c r="E99" s="24" t="s">
        <v>257</v>
      </c>
      <c r="F99" s="24" t="s">
        <v>44</v>
      </c>
      <c r="G99" s="24">
        <v>7</v>
      </c>
      <c r="H99" s="25"/>
      <c r="I99" s="24" t="s">
        <v>313</v>
      </c>
      <c r="J99" s="26"/>
    </row>
  </sheetData>
  <sheetProtection algorithmName="SHA-512" hashValue="WOAwJt4WR+qLW7HJOUZ8dOXEUPiM09KSUnj9H0wg6/F5fc+hJYuvSI1104g9MMBuGoIK3mo7om7q6YBtnLWLCA==" saltValue="+KrzRueABeUItEGcS/h+jA==" spinCount="100000" sheet="1" objects="1" scenarios="1"/>
  <protectedRanges>
    <protectedRange sqref="A12:XFD1048576" name="Editable"/>
  </protectedRanges>
  <mergeCells count="4">
    <mergeCell ref="C5:E5"/>
    <mergeCell ref="C7:E7"/>
    <mergeCell ref="C8:E8"/>
    <mergeCell ref="A1:C3"/>
  </mergeCells>
  <dataValidations count="4">
    <dataValidation type="list" allowBlank="1" showInputMessage="1" showErrorMessage="1" sqref="G12:G99" xr:uid="{3473B641-2DD2-4E77-9868-EA3F57F11A32}">
      <formula1>"1,2,3,4,5,6,7,8,9,10,11,12,13,14,15,16,17,18,19,20"</formula1>
    </dataValidation>
    <dataValidation type="list" allowBlank="1" showInputMessage="1" showErrorMessage="1" sqref="H12:H99" xr:uid="{30C2CF6C-5254-4DB5-9D29-103AF1531909}">
      <formula1>"Yes"</formula1>
    </dataValidation>
    <dataValidation type="list" allowBlank="1" showInputMessage="1" showErrorMessage="1" sqref="D12:D99" xr:uid="{14D397DC-7826-4FBA-AB4F-79D731CFD3FA}">
      <formula1>Standard_Package_Name</formula1>
    </dataValidation>
    <dataValidation type="list" allowBlank="1" showInputMessage="1" showErrorMessage="1" sqref="F12:F99" xr:uid="{F04DD213-D413-4A67-B655-C0142A50E507}">
      <formula1>"Supply, Subcontractor, Provisional Sum"</formula1>
    </dataValidation>
  </dataValidations>
  <pageMargins left="0.7" right="0.7" top="0.75" bottom="0.75" header="0.3" footer="0.3"/>
  <pageSetup paperSize="9" scale="64" fitToHeight="0"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8EFA7-6D13-4A62-8418-EF29BBBB318C}">
  <sheetPr codeName="Sheet4">
    <pageSetUpPr fitToPage="1"/>
  </sheetPr>
  <dimension ref="A1:U703"/>
  <sheetViews>
    <sheetView showGridLines="0" view="pageBreakPreview" topLeftCell="B1" zoomScale="85" zoomScaleNormal="85" zoomScaleSheetLayoutView="85" workbookViewId="0">
      <pane ySplit="13" topLeftCell="A322" activePane="bottomLeft" state="frozen"/>
      <selection activeCell="G30" sqref="G30:G31"/>
      <selection pane="bottomLeft" activeCell="C385" sqref="C385"/>
    </sheetView>
  </sheetViews>
  <sheetFormatPr defaultRowHeight="15" x14ac:dyDescent="0.25"/>
  <cols>
    <col min="1" max="1" width="5.7109375" customWidth="1"/>
    <col min="2" max="2" width="14" customWidth="1"/>
    <col min="3" max="3" width="24.5703125" customWidth="1"/>
    <col min="4" max="4" width="12.7109375" customWidth="1"/>
    <col min="5" max="18" width="12.7109375" style="3" customWidth="1"/>
    <col min="19" max="19" width="5.7109375" customWidth="1"/>
  </cols>
  <sheetData>
    <row r="1" spans="1:21" x14ac:dyDescent="0.25">
      <c r="A1" s="237" t="s">
        <v>365</v>
      </c>
      <c r="B1" s="237"/>
      <c r="C1" s="237"/>
      <c r="D1" s="237"/>
      <c r="E1" s="21"/>
      <c r="F1" s="21"/>
    </row>
    <row r="2" spans="1:21" x14ac:dyDescent="0.25">
      <c r="A2" s="237"/>
      <c r="B2" s="237"/>
      <c r="C2" s="237"/>
      <c r="D2" s="237"/>
      <c r="E2" s="21"/>
      <c r="F2" s="21"/>
    </row>
    <row r="3" spans="1:21" x14ac:dyDescent="0.25">
      <c r="A3" s="237"/>
      <c r="B3" s="237"/>
      <c r="C3" s="237"/>
      <c r="D3" s="237"/>
    </row>
    <row r="5" spans="1:21" x14ac:dyDescent="0.25">
      <c r="B5" s="1" t="s">
        <v>4</v>
      </c>
      <c r="C5" s="246">
        <f>'Project Information'!C8</f>
        <v>0</v>
      </c>
      <c r="D5" s="247"/>
      <c r="E5" s="248"/>
    </row>
    <row r="6" spans="1:21" x14ac:dyDescent="0.25">
      <c r="B6" s="1" t="s">
        <v>5</v>
      </c>
      <c r="C6" s="12">
        <f>'Project Information'!C9</f>
        <v>0</v>
      </c>
      <c r="D6" s="13"/>
      <c r="E6" s="20"/>
    </row>
    <row r="7" spans="1:21" x14ac:dyDescent="0.25">
      <c r="B7" s="1" t="s">
        <v>6</v>
      </c>
      <c r="C7" s="246">
        <f>'Project Information'!C10</f>
        <v>0</v>
      </c>
      <c r="D7" s="247"/>
      <c r="E7" s="248"/>
      <c r="S7" s="3"/>
      <c r="T7" s="3"/>
      <c r="U7" s="3"/>
    </row>
    <row r="8" spans="1:21" x14ac:dyDescent="0.25">
      <c r="B8" s="1" t="s">
        <v>7</v>
      </c>
      <c r="C8" s="246">
        <f>'Project Information'!C11</f>
        <v>0</v>
      </c>
      <c r="D8" s="247"/>
      <c r="E8" s="248"/>
      <c r="S8" s="3"/>
      <c r="T8" s="3"/>
      <c r="U8" s="3"/>
    </row>
    <row r="9" spans="1:21" x14ac:dyDescent="0.25">
      <c r="E9"/>
      <c r="S9" s="3"/>
      <c r="T9" s="3"/>
      <c r="U9" s="3"/>
    </row>
    <row r="10" spans="1:21" ht="15" customHeight="1" x14ac:dyDescent="0.25">
      <c r="C10" s="63" t="s">
        <v>121</v>
      </c>
      <c r="D10" s="251" t="s">
        <v>122</v>
      </c>
      <c r="E10" s="251"/>
      <c r="F10" s="251"/>
      <c r="G10" s="252" t="s">
        <v>123</v>
      </c>
      <c r="H10" s="252"/>
      <c r="I10" s="252"/>
      <c r="J10" s="252"/>
      <c r="K10" s="253" t="s">
        <v>124</v>
      </c>
      <c r="L10" s="253"/>
      <c r="M10" s="253"/>
      <c r="N10" s="253"/>
      <c r="O10" s="253"/>
      <c r="P10" s="253"/>
      <c r="Q10" s="253"/>
      <c r="R10" s="68" t="s">
        <v>125</v>
      </c>
    </row>
    <row r="11" spans="1:21" ht="15" customHeight="1" x14ac:dyDescent="0.25">
      <c r="B11" s="62" t="s">
        <v>366</v>
      </c>
      <c r="C11" s="64" t="s">
        <v>126</v>
      </c>
      <c r="D11" s="65" t="s">
        <v>127</v>
      </c>
      <c r="E11" s="65" t="s">
        <v>128</v>
      </c>
      <c r="F11" s="65" t="s">
        <v>129</v>
      </c>
      <c r="G11" s="66" t="s">
        <v>130</v>
      </c>
      <c r="H11" s="66" t="s">
        <v>131</v>
      </c>
      <c r="I11" s="66" t="s">
        <v>132</v>
      </c>
      <c r="J11" s="66" t="s">
        <v>133</v>
      </c>
      <c r="K11" s="67" t="s">
        <v>134</v>
      </c>
      <c r="L11" s="67" t="s">
        <v>135</v>
      </c>
      <c r="M11" s="67" t="s">
        <v>136</v>
      </c>
      <c r="N11" s="67" t="s">
        <v>137</v>
      </c>
      <c r="O11" s="67" t="s">
        <v>138</v>
      </c>
      <c r="P11" s="67" t="s">
        <v>139</v>
      </c>
      <c r="Q11" s="67" t="s">
        <v>140</v>
      </c>
      <c r="R11" s="68" t="s">
        <v>21</v>
      </c>
    </row>
    <row r="12" spans="1:21" ht="15" customHeight="1" x14ac:dyDescent="0.25">
      <c r="B12" s="54">
        <f>COUNTA(Standard_Package_Name)</f>
        <v>683</v>
      </c>
      <c r="C12" s="64" t="s">
        <v>24</v>
      </c>
      <c r="D12" s="254" t="s">
        <v>39</v>
      </c>
      <c r="E12" s="254"/>
      <c r="F12" s="254"/>
      <c r="G12" s="255" t="s">
        <v>38</v>
      </c>
      <c r="H12" s="255"/>
      <c r="I12" s="255"/>
      <c r="J12" s="254" t="s">
        <v>36</v>
      </c>
      <c r="K12" s="254"/>
      <c r="L12" s="256" t="s">
        <v>35</v>
      </c>
      <c r="M12" s="256"/>
      <c r="N12" s="254" t="s">
        <v>34</v>
      </c>
      <c r="O12" s="254"/>
      <c r="P12" s="254"/>
      <c r="Q12" s="69" t="s">
        <v>33</v>
      </c>
      <c r="R12" s="70" t="s">
        <v>31</v>
      </c>
    </row>
    <row r="13" spans="1:21" ht="90" customHeight="1" thickBot="1" x14ac:dyDescent="0.3">
      <c r="B13" s="33" t="s">
        <v>141</v>
      </c>
      <c r="C13" s="34" t="s">
        <v>43</v>
      </c>
      <c r="D13" s="35" t="s">
        <v>39</v>
      </c>
      <c r="E13" s="35" t="s">
        <v>147</v>
      </c>
      <c r="F13" s="35" t="s">
        <v>148</v>
      </c>
      <c r="G13" s="35" t="s">
        <v>149</v>
      </c>
      <c r="H13" s="35" t="s">
        <v>150</v>
      </c>
      <c r="I13" s="35" t="s">
        <v>151</v>
      </c>
      <c r="J13" s="35" t="s">
        <v>152</v>
      </c>
      <c r="K13" s="35" t="s">
        <v>153</v>
      </c>
      <c r="L13" s="35" t="s">
        <v>154</v>
      </c>
      <c r="M13" s="35" t="s">
        <v>155</v>
      </c>
      <c r="N13" s="35" t="s">
        <v>156</v>
      </c>
      <c r="O13" s="35" t="s">
        <v>157</v>
      </c>
      <c r="P13" s="35" t="s">
        <v>158</v>
      </c>
      <c r="Q13" s="35" t="s">
        <v>159</v>
      </c>
      <c r="R13" s="36" t="s">
        <v>161</v>
      </c>
      <c r="T13" s="86" t="s">
        <v>367</v>
      </c>
    </row>
    <row r="14" spans="1:21" ht="15.75" thickTop="1" x14ac:dyDescent="0.25">
      <c r="B14" t="s">
        <v>368</v>
      </c>
      <c r="C14" t="s">
        <v>369</v>
      </c>
      <c r="D14" s="3">
        <v>2</v>
      </c>
      <c r="E14" s="3">
        <v>1</v>
      </c>
      <c r="F14" s="3">
        <v>0</v>
      </c>
      <c r="G14" s="3">
        <v>5</v>
      </c>
      <c r="H14" s="3">
        <v>5</v>
      </c>
      <c r="I14" s="3">
        <v>1</v>
      </c>
      <c r="J14" s="3">
        <v>3</v>
      </c>
      <c r="K14" s="3">
        <v>2</v>
      </c>
      <c r="L14" s="3">
        <v>7</v>
      </c>
      <c r="M14" s="3">
        <v>3</v>
      </c>
      <c r="N14" s="3">
        <v>1</v>
      </c>
      <c r="O14" s="3">
        <v>2</v>
      </c>
      <c r="P14" s="3">
        <v>2</v>
      </c>
      <c r="Q14" s="3">
        <v>5</v>
      </c>
      <c r="R14" s="3">
        <v>0</v>
      </c>
      <c r="T14">
        <f>SUM(Table1[[#This Row],[DTP Received]:[LPO/ LOA/ SOA Issue Date]])</f>
        <v>39</v>
      </c>
    </row>
    <row r="15" spans="1:21" x14ac:dyDescent="0.25">
      <c r="B15" t="s">
        <v>370</v>
      </c>
      <c r="C15" t="s">
        <v>371</v>
      </c>
      <c r="D15" s="3">
        <v>2</v>
      </c>
      <c r="E15" s="3">
        <v>1</v>
      </c>
      <c r="F15" s="3">
        <v>0</v>
      </c>
      <c r="G15" s="3">
        <v>5</v>
      </c>
      <c r="H15" s="3">
        <v>5</v>
      </c>
      <c r="I15" s="3">
        <v>1</v>
      </c>
      <c r="J15" s="3">
        <v>3</v>
      </c>
      <c r="K15" s="3">
        <v>2</v>
      </c>
      <c r="L15" s="3">
        <v>7</v>
      </c>
      <c r="M15" s="3">
        <v>3</v>
      </c>
      <c r="N15" s="3">
        <v>1</v>
      </c>
      <c r="O15" s="3">
        <v>2</v>
      </c>
      <c r="P15" s="3">
        <v>2</v>
      </c>
      <c r="Q15" s="3">
        <v>5</v>
      </c>
      <c r="R15" s="3">
        <v>0</v>
      </c>
      <c r="T15">
        <f>SUM(Table1[[#This Row],[DTP Received]:[LPO/ LOA/ SOA Issue Date]])</f>
        <v>39</v>
      </c>
    </row>
    <row r="16" spans="1:21" x14ac:dyDescent="0.25">
      <c r="B16" t="s">
        <v>372</v>
      </c>
      <c r="C16" t="s">
        <v>371</v>
      </c>
      <c r="D16" s="3">
        <v>2</v>
      </c>
      <c r="E16" s="3">
        <v>1</v>
      </c>
      <c r="F16" s="3">
        <v>0</v>
      </c>
      <c r="G16" s="3">
        <v>5</v>
      </c>
      <c r="H16" s="3">
        <v>5</v>
      </c>
      <c r="I16" s="3">
        <v>1</v>
      </c>
      <c r="J16" s="3">
        <v>3</v>
      </c>
      <c r="K16" s="3">
        <v>2</v>
      </c>
      <c r="L16" s="3">
        <v>7</v>
      </c>
      <c r="M16" s="3">
        <v>3</v>
      </c>
      <c r="N16" s="3">
        <v>1</v>
      </c>
      <c r="O16" s="3">
        <v>2</v>
      </c>
      <c r="P16" s="3">
        <v>2</v>
      </c>
      <c r="Q16" s="3">
        <v>5</v>
      </c>
      <c r="R16" s="3">
        <v>0</v>
      </c>
      <c r="T16">
        <f>SUM(Table1[[#This Row],[DTP Received]:[LPO/ LOA/ SOA Issue Date]])</f>
        <v>39</v>
      </c>
    </row>
    <row r="17" spans="2:20" x14ac:dyDescent="0.25">
      <c r="B17" t="s">
        <v>373</v>
      </c>
      <c r="C17" t="s">
        <v>371</v>
      </c>
      <c r="D17" s="3">
        <v>2</v>
      </c>
      <c r="E17" s="3">
        <v>1</v>
      </c>
      <c r="F17" s="3">
        <v>0</v>
      </c>
      <c r="G17" s="3">
        <v>5</v>
      </c>
      <c r="H17" s="3">
        <v>5</v>
      </c>
      <c r="I17" s="3">
        <v>1</v>
      </c>
      <c r="J17" s="3">
        <v>3</v>
      </c>
      <c r="K17" s="3">
        <v>2</v>
      </c>
      <c r="L17" s="3">
        <v>7</v>
      </c>
      <c r="M17" s="3">
        <v>3</v>
      </c>
      <c r="N17" s="3">
        <v>1</v>
      </c>
      <c r="O17" s="3">
        <v>2</v>
      </c>
      <c r="P17" s="3">
        <v>2</v>
      </c>
      <c r="Q17" s="3">
        <v>5</v>
      </c>
      <c r="R17" s="3">
        <v>0</v>
      </c>
      <c r="T17">
        <f>SUM(Table1[[#This Row],[DTP Received]:[LPO/ LOA/ SOA Issue Date]])</f>
        <v>39</v>
      </c>
    </row>
    <row r="18" spans="2:20" x14ac:dyDescent="0.25">
      <c r="B18" t="s">
        <v>374</v>
      </c>
      <c r="C18" t="s">
        <v>371</v>
      </c>
      <c r="D18" s="3">
        <v>2</v>
      </c>
      <c r="E18" s="3">
        <v>1</v>
      </c>
      <c r="F18" s="3">
        <v>0</v>
      </c>
      <c r="G18" s="3">
        <v>5</v>
      </c>
      <c r="H18" s="3">
        <v>5</v>
      </c>
      <c r="I18" s="3">
        <v>1</v>
      </c>
      <c r="J18" s="3">
        <v>3</v>
      </c>
      <c r="K18" s="3">
        <v>2</v>
      </c>
      <c r="L18" s="3">
        <v>7</v>
      </c>
      <c r="M18" s="3">
        <v>3</v>
      </c>
      <c r="N18" s="3">
        <v>1</v>
      </c>
      <c r="O18" s="3">
        <v>2</v>
      </c>
      <c r="P18" s="3">
        <v>2</v>
      </c>
      <c r="Q18" s="3">
        <v>5</v>
      </c>
      <c r="R18" s="3">
        <v>0</v>
      </c>
      <c r="T18">
        <f>SUM(Table1[[#This Row],[DTP Received]:[LPO/ LOA/ SOA Issue Date]])</f>
        <v>39</v>
      </c>
    </row>
    <row r="19" spans="2:20" x14ac:dyDescent="0.25">
      <c r="B19" t="s">
        <v>375</v>
      </c>
      <c r="C19" t="s">
        <v>376</v>
      </c>
      <c r="D19" s="3">
        <v>2</v>
      </c>
      <c r="E19" s="3">
        <v>1</v>
      </c>
      <c r="F19" s="3">
        <v>0</v>
      </c>
      <c r="G19" s="3">
        <v>5</v>
      </c>
      <c r="H19" s="3">
        <v>5</v>
      </c>
      <c r="I19" s="3">
        <v>1</v>
      </c>
      <c r="J19" s="3">
        <v>3</v>
      </c>
      <c r="K19" s="3">
        <v>2</v>
      </c>
      <c r="L19" s="3">
        <v>7</v>
      </c>
      <c r="M19" s="3">
        <v>3</v>
      </c>
      <c r="N19" s="3">
        <v>1</v>
      </c>
      <c r="O19" s="3">
        <v>2</v>
      </c>
      <c r="P19" s="3">
        <v>2</v>
      </c>
      <c r="Q19" s="3">
        <v>5</v>
      </c>
      <c r="R19" s="3">
        <v>0</v>
      </c>
      <c r="T19">
        <f>SUM(Table1[[#This Row],[DTP Received]:[LPO/ LOA/ SOA Issue Date]])</f>
        <v>39</v>
      </c>
    </row>
    <row r="20" spans="2:20" x14ac:dyDescent="0.25">
      <c r="B20" t="s">
        <v>377</v>
      </c>
      <c r="C20" t="s">
        <v>378</v>
      </c>
      <c r="D20" s="3">
        <v>2</v>
      </c>
      <c r="E20" s="3">
        <v>1</v>
      </c>
      <c r="F20" s="3">
        <v>0</v>
      </c>
      <c r="G20" s="3">
        <v>5</v>
      </c>
      <c r="H20" s="3">
        <v>5</v>
      </c>
      <c r="I20" s="3">
        <v>1</v>
      </c>
      <c r="J20" s="3">
        <v>3</v>
      </c>
      <c r="K20" s="3">
        <v>2</v>
      </c>
      <c r="L20" s="3">
        <v>7</v>
      </c>
      <c r="M20" s="3">
        <v>3</v>
      </c>
      <c r="N20" s="3">
        <v>1</v>
      </c>
      <c r="O20" s="3">
        <v>2</v>
      </c>
      <c r="P20" s="3">
        <v>2</v>
      </c>
      <c r="Q20" s="3">
        <v>5</v>
      </c>
      <c r="R20" s="3">
        <v>0</v>
      </c>
      <c r="T20">
        <f>SUM(Table1[[#This Row],[DTP Received]:[LPO/ LOA/ SOA Issue Date]])</f>
        <v>39</v>
      </c>
    </row>
    <row r="21" spans="2:20" x14ac:dyDescent="0.25">
      <c r="B21" t="s">
        <v>379</v>
      </c>
      <c r="C21" t="s">
        <v>380</v>
      </c>
      <c r="D21" s="3">
        <v>2</v>
      </c>
      <c r="E21" s="3">
        <v>1</v>
      </c>
      <c r="F21" s="3">
        <v>0</v>
      </c>
      <c r="G21" s="3">
        <v>5</v>
      </c>
      <c r="H21" s="3">
        <v>5</v>
      </c>
      <c r="I21" s="3">
        <v>1</v>
      </c>
      <c r="J21" s="3">
        <v>3</v>
      </c>
      <c r="K21" s="3">
        <v>2</v>
      </c>
      <c r="L21" s="3">
        <v>7</v>
      </c>
      <c r="M21" s="3">
        <v>3</v>
      </c>
      <c r="N21" s="3">
        <v>1</v>
      </c>
      <c r="O21" s="3">
        <v>2</v>
      </c>
      <c r="P21" s="3">
        <v>2</v>
      </c>
      <c r="Q21" s="3">
        <v>5</v>
      </c>
      <c r="R21" s="3">
        <v>0</v>
      </c>
      <c r="T21">
        <f>SUM(Table1[[#This Row],[DTP Received]:[LPO/ LOA/ SOA Issue Date]])</f>
        <v>39</v>
      </c>
    </row>
    <row r="22" spans="2:20" x14ac:dyDescent="0.25">
      <c r="B22" t="s">
        <v>381</v>
      </c>
      <c r="C22" t="s">
        <v>371</v>
      </c>
      <c r="D22" s="3">
        <v>2</v>
      </c>
      <c r="E22" s="3">
        <v>1</v>
      </c>
      <c r="F22" s="3">
        <v>0</v>
      </c>
      <c r="G22" s="3">
        <v>5</v>
      </c>
      <c r="H22" s="3">
        <v>5</v>
      </c>
      <c r="I22" s="3">
        <v>1</v>
      </c>
      <c r="J22" s="3">
        <v>3</v>
      </c>
      <c r="K22" s="3">
        <v>2</v>
      </c>
      <c r="L22" s="3">
        <v>7</v>
      </c>
      <c r="M22" s="3">
        <v>3</v>
      </c>
      <c r="N22" s="3">
        <v>1</v>
      </c>
      <c r="O22" s="3">
        <v>2</v>
      </c>
      <c r="P22" s="3">
        <v>2</v>
      </c>
      <c r="Q22" s="3">
        <v>5</v>
      </c>
      <c r="R22" s="3">
        <v>0</v>
      </c>
      <c r="T22">
        <f>SUM(Table1[[#This Row],[DTP Received]:[LPO/ LOA/ SOA Issue Date]])</f>
        <v>39</v>
      </c>
    </row>
    <row r="23" spans="2:20" x14ac:dyDescent="0.25">
      <c r="B23" t="s">
        <v>382</v>
      </c>
      <c r="C23" t="s">
        <v>371</v>
      </c>
      <c r="D23" s="3">
        <v>2</v>
      </c>
      <c r="E23" s="3">
        <v>1</v>
      </c>
      <c r="F23" s="3">
        <v>0</v>
      </c>
      <c r="G23" s="3">
        <v>5</v>
      </c>
      <c r="H23" s="3">
        <v>5</v>
      </c>
      <c r="I23" s="3">
        <v>1</v>
      </c>
      <c r="J23" s="3">
        <v>3</v>
      </c>
      <c r="K23" s="3">
        <v>2</v>
      </c>
      <c r="L23" s="3">
        <v>7</v>
      </c>
      <c r="M23" s="3">
        <v>3</v>
      </c>
      <c r="N23" s="3">
        <v>1</v>
      </c>
      <c r="O23" s="3">
        <v>2</v>
      </c>
      <c r="P23" s="3">
        <v>2</v>
      </c>
      <c r="Q23" s="3">
        <v>5</v>
      </c>
      <c r="R23" s="3">
        <v>0</v>
      </c>
      <c r="T23">
        <f>SUM(Table1[[#This Row],[DTP Received]:[LPO/ LOA/ SOA Issue Date]])</f>
        <v>39</v>
      </c>
    </row>
    <row r="24" spans="2:20" x14ac:dyDescent="0.25">
      <c r="B24" t="s">
        <v>383</v>
      </c>
      <c r="C24" t="s">
        <v>371</v>
      </c>
      <c r="D24" s="3">
        <v>2</v>
      </c>
      <c r="E24" s="3">
        <v>1</v>
      </c>
      <c r="F24" s="3">
        <v>0</v>
      </c>
      <c r="G24" s="3">
        <v>5</v>
      </c>
      <c r="H24" s="3">
        <v>5</v>
      </c>
      <c r="I24" s="3">
        <v>1</v>
      </c>
      <c r="J24" s="3">
        <v>3</v>
      </c>
      <c r="K24" s="3">
        <v>2</v>
      </c>
      <c r="L24" s="3">
        <v>7</v>
      </c>
      <c r="M24" s="3">
        <v>3</v>
      </c>
      <c r="N24" s="3">
        <v>1</v>
      </c>
      <c r="O24" s="3">
        <v>2</v>
      </c>
      <c r="P24" s="3">
        <v>2</v>
      </c>
      <c r="Q24" s="3">
        <v>5</v>
      </c>
      <c r="R24" s="3">
        <v>0</v>
      </c>
      <c r="T24">
        <f>SUM(Table1[[#This Row],[DTP Received]:[LPO/ LOA/ SOA Issue Date]])</f>
        <v>39</v>
      </c>
    </row>
    <row r="25" spans="2:20" x14ac:dyDescent="0.25">
      <c r="B25" t="s">
        <v>384</v>
      </c>
      <c r="C25" t="s">
        <v>371</v>
      </c>
      <c r="D25" s="3">
        <v>2</v>
      </c>
      <c r="E25" s="3">
        <v>1</v>
      </c>
      <c r="F25" s="3">
        <v>0</v>
      </c>
      <c r="G25" s="3">
        <v>5</v>
      </c>
      <c r="H25" s="3">
        <v>5</v>
      </c>
      <c r="I25" s="3">
        <v>1</v>
      </c>
      <c r="J25" s="3">
        <v>3</v>
      </c>
      <c r="K25" s="3">
        <v>2</v>
      </c>
      <c r="L25" s="3">
        <v>7</v>
      </c>
      <c r="M25" s="3">
        <v>3</v>
      </c>
      <c r="N25" s="3">
        <v>1</v>
      </c>
      <c r="O25" s="3">
        <v>2</v>
      </c>
      <c r="P25" s="3">
        <v>2</v>
      </c>
      <c r="Q25" s="3">
        <v>5</v>
      </c>
      <c r="R25" s="3">
        <v>0</v>
      </c>
      <c r="T25">
        <f>SUM(Table1[[#This Row],[DTP Received]:[LPO/ LOA/ SOA Issue Date]])</f>
        <v>39</v>
      </c>
    </row>
    <row r="26" spans="2:20" x14ac:dyDescent="0.25">
      <c r="B26" t="s">
        <v>385</v>
      </c>
      <c r="C26" t="s">
        <v>371</v>
      </c>
      <c r="D26" s="3">
        <v>2</v>
      </c>
      <c r="E26" s="3">
        <v>1</v>
      </c>
      <c r="F26" s="3">
        <v>0</v>
      </c>
      <c r="G26" s="3">
        <v>5</v>
      </c>
      <c r="H26" s="3">
        <v>5</v>
      </c>
      <c r="I26" s="3">
        <v>1</v>
      </c>
      <c r="J26" s="3">
        <v>3</v>
      </c>
      <c r="K26" s="3">
        <v>2</v>
      </c>
      <c r="L26" s="3">
        <v>7</v>
      </c>
      <c r="M26" s="3">
        <v>3</v>
      </c>
      <c r="N26" s="3">
        <v>1</v>
      </c>
      <c r="O26" s="3">
        <v>2</v>
      </c>
      <c r="P26" s="3">
        <v>2</v>
      </c>
      <c r="Q26" s="3">
        <v>5</v>
      </c>
      <c r="R26" s="3">
        <v>0</v>
      </c>
      <c r="T26">
        <f>SUM(Table1[[#This Row],[DTP Received]:[LPO/ LOA/ SOA Issue Date]])</f>
        <v>39</v>
      </c>
    </row>
    <row r="27" spans="2:20" x14ac:dyDescent="0.25">
      <c r="B27" t="s">
        <v>386</v>
      </c>
      <c r="C27" t="s">
        <v>387</v>
      </c>
      <c r="D27" s="3">
        <v>2</v>
      </c>
      <c r="E27" s="3">
        <v>1</v>
      </c>
      <c r="F27" s="3">
        <v>0</v>
      </c>
      <c r="G27" s="3">
        <v>5</v>
      </c>
      <c r="H27" s="3">
        <v>5</v>
      </c>
      <c r="I27" s="3">
        <v>1</v>
      </c>
      <c r="J27" s="3">
        <v>3</v>
      </c>
      <c r="K27" s="3">
        <v>2</v>
      </c>
      <c r="L27" s="3">
        <v>7</v>
      </c>
      <c r="M27" s="3">
        <v>3</v>
      </c>
      <c r="N27" s="3">
        <v>1</v>
      </c>
      <c r="O27" s="3">
        <v>2</v>
      </c>
      <c r="P27" s="3">
        <v>2</v>
      </c>
      <c r="Q27" s="3">
        <v>5</v>
      </c>
      <c r="R27" s="3">
        <v>0</v>
      </c>
      <c r="T27">
        <f>SUM(Table1[[#This Row],[DTP Received]:[LPO/ LOA/ SOA Issue Date]])</f>
        <v>39</v>
      </c>
    </row>
    <row r="28" spans="2:20" x14ac:dyDescent="0.25">
      <c r="B28" t="s">
        <v>388</v>
      </c>
      <c r="C28" t="s">
        <v>389</v>
      </c>
      <c r="D28" s="3">
        <v>2</v>
      </c>
      <c r="E28" s="3">
        <v>1</v>
      </c>
      <c r="F28" s="3">
        <v>0</v>
      </c>
      <c r="G28" s="3">
        <v>5</v>
      </c>
      <c r="H28" s="3">
        <v>5</v>
      </c>
      <c r="I28" s="3">
        <v>1</v>
      </c>
      <c r="J28" s="3">
        <v>3</v>
      </c>
      <c r="K28" s="3">
        <v>2</v>
      </c>
      <c r="L28" s="3">
        <v>7</v>
      </c>
      <c r="M28" s="3">
        <v>3</v>
      </c>
      <c r="N28" s="3">
        <v>1</v>
      </c>
      <c r="O28" s="3">
        <v>2</v>
      </c>
      <c r="P28" s="3">
        <v>2</v>
      </c>
      <c r="Q28" s="3">
        <v>5</v>
      </c>
      <c r="R28" s="3">
        <v>0</v>
      </c>
      <c r="T28">
        <f>SUM(Table1[[#This Row],[DTP Received]:[LPO/ LOA/ SOA Issue Date]])</f>
        <v>39</v>
      </c>
    </row>
    <row r="29" spans="2:20" x14ac:dyDescent="0.25">
      <c r="B29" t="s">
        <v>390</v>
      </c>
      <c r="C29" t="s">
        <v>391</v>
      </c>
      <c r="D29" s="3">
        <v>2</v>
      </c>
      <c r="E29" s="3">
        <v>1</v>
      </c>
      <c r="F29" s="3">
        <v>0</v>
      </c>
      <c r="G29" s="3">
        <v>5</v>
      </c>
      <c r="H29" s="3">
        <v>5</v>
      </c>
      <c r="I29" s="3">
        <v>1</v>
      </c>
      <c r="J29" s="3">
        <v>3</v>
      </c>
      <c r="K29" s="3">
        <v>2</v>
      </c>
      <c r="L29" s="3">
        <v>7</v>
      </c>
      <c r="M29" s="3">
        <v>3</v>
      </c>
      <c r="N29" s="3">
        <v>1</v>
      </c>
      <c r="O29" s="3">
        <v>2</v>
      </c>
      <c r="P29" s="3">
        <v>2</v>
      </c>
      <c r="Q29" s="3">
        <v>5</v>
      </c>
      <c r="R29" s="3">
        <v>0</v>
      </c>
      <c r="T29">
        <f>SUM(Table1[[#This Row],[DTP Received]:[LPO/ LOA/ SOA Issue Date]])</f>
        <v>39</v>
      </c>
    </row>
    <row r="30" spans="2:20" x14ac:dyDescent="0.25">
      <c r="B30" t="s">
        <v>392</v>
      </c>
      <c r="C30" t="s">
        <v>371</v>
      </c>
      <c r="D30" s="3">
        <v>2</v>
      </c>
      <c r="E30" s="3">
        <v>1</v>
      </c>
      <c r="F30" s="3">
        <v>0</v>
      </c>
      <c r="G30" s="3">
        <v>5</v>
      </c>
      <c r="H30" s="3">
        <v>5</v>
      </c>
      <c r="I30" s="3">
        <v>1</v>
      </c>
      <c r="J30" s="3">
        <v>3</v>
      </c>
      <c r="K30" s="3">
        <v>2</v>
      </c>
      <c r="L30" s="3">
        <v>7</v>
      </c>
      <c r="M30" s="3">
        <v>3</v>
      </c>
      <c r="N30" s="3">
        <v>1</v>
      </c>
      <c r="O30" s="3">
        <v>2</v>
      </c>
      <c r="P30" s="3">
        <v>2</v>
      </c>
      <c r="Q30" s="3">
        <v>5</v>
      </c>
      <c r="R30" s="3">
        <v>0</v>
      </c>
      <c r="T30">
        <f>SUM(Table1[[#This Row],[DTP Received]:[LPO/ LOA/ SOA Issue Date]])</f>
        <v>39</v>
      </c>
    </row>
    <row r="31" spans="2:20" x14ac:dyDescent="0.25">
      <c r="B31" t="s">
        <v>393</v>
      </c>
      <c r="C31" t="s">
        <v>371</v>
      </c>
      <c r="D31" s="3">
        <v>2</v>
      </c>
      <c r="E31" s="3">
        <v>1</v>
      </c>
      <c r="F31" s="3">
        <v>0</v>
      </c>
      <c r="G31" s="3">
        <v>5</v>
      </c>
      <c r="H31" s="3">
        <v>5</v>
      </c>
      <c r="I31" s="3">
        <v>1</v>
      </c>
      <c r="J31" s="3">
        <v>3</v>
      </c>
      <c r="K31" s="3">
        <v>2</v>
      </c>
      <c r="L31" s="3">
        <v>7</v>
      </c>
      <c r="M31" s="3">
        <v>3</v>
      </c>
      <c r="N31" s="3">
        <v>1</v>
      </c>
      <c r="O31" s="3">
        <v>2</v>
      </c>
      <c r="P31" s="3">
        <v>2</v>
      </c>
      <c r="Q31" s="3">
        <v>5</v>
      </c>
      <c r="R31" s="3">
        <v>0</v>
      </c>
      <c r="T31">
        <f>SUM(Table1[[#This Row],[DTP Received]:[LPO/ LOA/ SOA Issue Date]])</f>
        <v>39</v>
      </c>
    </row>
    <row r="32" spans="2:20" x14ac:dyDescent="0.25">
      <c r="B32" t="s">
        <v>394</v>
      </c>
      <c r="C32" t="s">
        <v>371</v>
      </c>
      <c r="D32" s="3">
        <v>2</v>
      </c>
      <c r="E32" s="3">
        <v>1</v>
      </c>
      <c r="F32" s="3">
        <v>0</v>
      </c>
      <c r="G32" s="3">
        <v>5</v>
      </c>
      <c r="H32" s="3">
        <v>5</v>
      </c>
      <c r="I32" s="3">
        <v>1</v>
      </c>
      <c r="J32" s="3">
        <v>3</v>
      </c>
      <c r="K32" s="3">
        <v>2</v>
      </c>
      <c r="L32" s="3">
        <v>7</v>
      </c>
      <c r="M32" s="3">
        <v>3</v>
      </c>
      <c r="N32" s="3">
        <v>1</v>
      </c>
      <c r="O32" s="3">
        <v>2</v>
      </c>
      <c r="P32" s="3">
        <v>2</v>
      </c>
      <c r="Q32" s="3">
        <v>5</v>
      </c>
      <c r="R32" s="3">
        <v>0</v>
      </c>
      <c r="T32">
        <f>SUM(Table1[[#This Row],[DTP Received]:[LPO/ LOA/ SOA Issue Date]])</f>
        <v>39</v>
      </c>
    </row>
    <row r="33" spans="2:20" x14ac:dyDescent="0.25">
      <c r="B33" t="s">
        <v>395</v>
      </c>
      <c r="C33" t="s">
        <v>371</v>
      </c>
      <c r="D33" s="3">
        <v>2</v>
      </c>
      <c r="E33" s="3">
        <v>1</v>
      </c>
      <c r="F33" s="3">
        <v>0</v>
      </c>
      <c r="G33" s="3">
        <v>5</v>
      </c>
      <c r="H33" s="3">
        <v>5</v>
      </c>
      <c r="I33" s="3">
        <v>1</v>
      </c>
      <c r="J33" s="3">
        <v>3</v>
      </c>
      <c r="K33" s="3">
        <v>2</v>
      </c>
      <c r="L33" s="3">
        <v>7</v>
      </c>
      <c r="M33" s="3">
        <v>3</v>
      </c>
      <c r="N33" s="3">
        <v>1</v>
      </c>
      <c r="O33" s="3">
        <v>2</v>
      </c>
      <c r="P33" s="3">
        <v>2</v>
      </c>
      <c r="Q33" s="3">
        <v>5</v>
      </c>
      <c r="R33" s="3">
        <v>0</v>
      </c>
      <c r="T33">
        <f>SUM(Table1[[#This Row],[DTP Received]:[LPO/ LOA/ SOA Issue Date]])</f>
        <v>39</v>
      </c>
    </row>
    <row r="34" spans="2:20" x14ac:dyDescent="0.25">
      <c r="B34" t="s">
        <v>396</v>
      </c>
      <c r="C34" t="s">
        <v>371</v>
      </c>
      <c r="D34" s="3">
        <v>2</v>
      </c>
      <c r="E34" s="3">
        <v>1</v>
      </c>
      <c r="F34" s="3">
        <v>0</v>
      </c>
      <c r="G34" s="3">
        <v>5</v>
      </c>
      <c r="H34" s="3">
        <v>5</v>
      </c>
      <c r="I34" s="3">
        <v>1</v>
      </c>
      <c r="J34" s="3">
        <v>3</v>
      </c>
      <c r="K34" s="3">
        <v>2</v>
      </c>
      <c r="L34" s="3">
        <v>7</v>
      </c>
      <c r="M34" s="3">
        <v>3</v>
      </c>
      <c r="N34" s="3">
        <v>1</v>
      </c>
      <c r="O34" s="3">
        <v>2</v>
      </c>
      <c r="P34" s="3">
        <v>2</v>
      </c>
      <c r="Q34" s="3">
        <v>5</v>
      </c>
      <c r="R34" s="3">
        <v>0</v>
      </c>
      <c r="T34">
        <f>SUM(Table1[[#This Row],[DTP Received]:[LPO/ LOA/ SOA Issue Date]])</f>
        <v>39</v>
      </c>
    </row>
    <row r="35" spans="2:20" x14ac:dyDescent="0.25">
      <c r="B35" t="s">
        <v>397</v>
      </c>
      <c r="C35" t="s">
        <v>398</v>
      </c>
      <c r="D35" s="3">
        <v>2</v>
      </c>
      <c r="E35" s="3">
        <v>1</v>
      </c>
      <c r="F35" s="3">
        <v>0</v>
      </c>
      <c r="G35" s="3">
        <v>5</v>
      </c>
      <c r="H35" s="3">
        <v>5</v>
      </c>
      <c r="I35" s="3">
        <v>1</v>
      </c>
      <c r="J35" s="3">
        <v>3</v>
      </c>
      <c r="K35" s="3">
        <v>2</v>
      </c>
      <c r="L35" s="3">
        <v>7</v>
      </c>
      <c r="M35" s="3">
        <v>3</v>
      </c>
      <c r="N35" s="3">
        <v>1</v>
      </c>
      <c r="O35" s="3">
        <v>2</v>
      </c>
      <c r="P35" s="3">
        <v>2</v>
      </c>
      <c r="Q35" s="3">
        <v>5</v>
      </c>
      <c r="R35" s="3">
        <v>0</v>
      </c>
      <c r="T35">
        <f>SUM(Table1[[#This Row],[DTP Received]:[LPO/ LOA/ SOA Issue Date]])</f>
        <v>39</v>
      </c>
    </row>
    <row r="36" spans="2:20" x14ac:dyDescent="0.25">
      <c r="B36" t="s">
        <v>399</v>
      </c>
      <c r="C36" t="s">
        <v>400</v>
      </c>
      <c r="D36" s="3">
        <v>2</v>
      </c>
      <c r="E36" s="3">
        <v>1</v>
      </c>
      <c r="F36" s="3">
        <v>0</v>
      </c>
      <c r="G36" s="3">
        <v>5</v>
      </c>
      <c r="H36" s="3">
        <v>5</v>
      </c>
      <c r="I36" s="3">
        <v>1</v>
      </c>
      <c r="J36" s="3">
        <v>3</v>
      </c>
      <c r="K36" s="3">
        <v>2</v>
      </c>
      <c r="L36" s="3">
        <v>7</v>
      </c>
      <c r="M36" s="3">
        <v>3</v>
      </c>
      <c r="N36" s="3">
        <v>1</v>
      </c>
      <c r="O36" s="3">
        <v>2</v>
      </c>
      <c r="P36" s="3">
        <v>2</v>
      </c>
      <c r="Q36" s="3">
        <v>5</v>
      </c>
      <c r="R36" s="3">
        <v>0</v>
      </c>
      <c r="T36">
        <f>SUM(Table1[[#This Row],[DTP Received]:[LPO/ LOA/ SOA Issue Date]])</f>
        <v>39</v>
      </c>
    </row>
    <row r="37" spans="2:20" x14ac:dyDescent="0.25">
      <c r="B37" t="s">
        <v>401</v>
      </c>
      <c r="C37" t="s">
        <v>402</v>
      </c>
      <c r="D37" s="3">
        <v>2</v>
      </c>
      <c r="E37" s="3">
        <v>1</v>
      </c>
      <c r="F37" s="3">
        <v>0</v>
      </c>
      <c r="G37" s="3">
        <v>5</v>
      </c>
      <c r="H37" s="3">
        <v>5</v>
      </c>
      <c r="I37" s="3">
        <v>1</v>
      </c>
      <c r="J37" s="3">
        <v>3</v>
      </c>
      <c r="K37" s="3">
        <v>2</v>
      </c>
      <c r="L37" s="3">
        <v>7</v>
      </c>
      <c r="M37" s="3">
        <v>3</v>
      </c>
      <c r="N37" s="3">
        <v>1</v>
      </c>
      <c r="O37" s="3">
        <v>2</v>
      </c>
      <c r="P37" s="3">
        <v>2</v>
      </c>
      <c r="Q37" s="3">
        <v>5</v>
      </c>
      <c r="R37" s="3">
        <v>0</v>
      </c>
      <c r="T37">
        <f>SUM(Table1[[#This Row],[DTP Received]:[LPO/ LOA/ SOA Issue Date]])</f>
        <v>39</v>
      </c>
    </row>
    <row r="38" spans="2:20" x14ac:dyDescent="0.25">
      <c r="B38" t="s">
        <v>403</v>
      </c>
      <c r="C38" t="s">
        <v>404</v>
      </c>
      <c r="D38" s="3">
        <v>2</v>
      </c>
      <c r="E38" s="3">
        <v>1</v>
      </c>
      <c r="F38" s="3">
        <v>0</v>
      </c>
      <c r="G38" s="3">
        <v>5</v>
      </c>
      <c r="H38" s="3">
        <v>5</v>
      </c>
      <c r="I38" s="3">
        <v>1</v>
      </c>
      <c r="J38" s="3">
        <v>3</v>
      </c>
      <c r="K38" s="3">
        <v>2</v>
      </c>
      <c r="L38" s="3">
        <v>7</v>
      </c>
      <c r="M38" s="3">
        <v>3</v>
      </c>
      <c r="N38" s="3">
        <v>1</v>
      </c>
      <c r="O38" s="3">
        <v>2</v>
      </c>
      <c r="P38" s="3">
        <v>2</v>
      </c>
      <c r="Q38" s="3">
        <v>5</v>
      </c>
      <c r="R38" s="3">
        <v>0</v>
      </c>
      <c r="T38">
        <f>SUM(Table1[[#This Row],[DTP Received]:[LPO/ LOA/ SOA Issue Date]])</f>
        <v>39</v>
      </c>
    </row>
    <row r="39" spans="2:20" x14ac:dyDescent="0.25">
      <c r="B39" t="s">
        <v>405</v>
      </c>
      <c r="C39" t="s">
        <v>406</v>
      </c>
      <c r="D39" s="3">
        <v>2</v>
      </c>
      <c r="E39" s="3">
        <v>1</v>
      </c>
      <c r="F39" s="3">
        <v>0</v>
      </c>
      <c r="G39" s="3">
        <v>5</v>
      </c>
      <c r="H39" s="3">
        <v>5</v>
      </c>
      <c r="I39" s="3">
        <v>1</v>
      </c>
      <c r="J39" s="3">
        <v>3</v>
      </c>
      <c r="K39" s="3">
        <v>2</v>
      </c>
      <c r="L39" s="3">
        <v>7</v>
      </c>
      <c r="M39" s="3">
        <v>3</v>
      </c>
      <c r="N39" s="3">
        <v>1</v>
      </c>
      <c r="O39" s="3">
        <v>2</v>
      </c>
      <c r="P39" s="3">
        <v>2</v>
      </c>
      <c r="Q39" s="3">
        <v>5</v>
      </c>
      <c r="R39" s="3">
        <v>0</v>
      </c>
      <c r="T39">
        <f>SUM(Table1[[#This Row],[DTP Received]:[LPO/ LOA/ SOA Issue Date]])</f>
        <v>39</v>
      </c>
    </row>
    <row r="40" spans="2:20" x14ac:dyDescent="0.25">
      <c r="B40" t="s">
        <v>407</v>
      </c>
      <c r="C40" t="s">
        <v>408</v>
      </c>
      <c r="D40" s="3">
        <v>2</v>
      </c>
      <c r="E40" s="3">
        <v>1</v>
      </c>
      <c r="F40" s="3">
        <v>0</v>
      </c>
      <c r="G40" s="3">
        <v>5</v>
      </c>
      <c r="H40" s="3">
        <v>5</v>
      </c>
      <c r="I40" s="3">
        <v>1</v>
      </c>
      <c r="J40" s="3">
        <v>3</v>
      </c>
      <c r="K40" s="3">
        <v>2</v>
      </c>
      <c r="L40" s="3">
        <v>7</v>
      </c>
      <c r="M40" s="3">
        <v>3</v>
      </c>
      <c r="N40" s="3">
        <v>1</v>
      </c>
      <c r="O40" s="3">
        <v>2</v>
      </c>
      <c r="P40" s="3">
        <v>2</v>
      </c>
      <c r="Q40" s="3">
        <v>5</v>
      </c>
      <c r="R40" s="3">
        <v>0</v>
      </c>
      <c r="T40">
        <f>SUM(Table1[[#This Row],[DTP Received]:[LPO/ LOA/ SOA Issue Date]])</f>
        <v>39</v>
      </c>
    </row>
    <row r="41" spans="2:20" x14ac:dyDescent="0.25">
      <c r="B41" t="s">
        <v>409</v>
      </c>
      <c r="C41" t="s">
        <v>371</v>
      </c>
      <c r="D41" s="3">
        <v>2</v>
      </c>
      <c r="E41" s="3">
        <v>1</v>
      </c>
      <c r="F41" s="3">
        <v>0</v>
      </c>
      <c r="G41" s="3">
        <v>5</v>
      </c>
      <c r="H41" s="3">
        <v>5</v>
      </c>
      <c r="I41" s="3">
        <v>1</v>
      </c>
      <c r="J41" s="3">
        <v>3</v>
      </c>
      <c r="K41" s="3">
        <v>2</v>
      </c>
      <c r="L41" s="3">
        <v>7</v>
      </c>
      <c r="M41" s="3">
        <v>3</v>
      </c>
      <c r="N41" s="3">
        <v>1</v>
      </c>
      <c r="O41" s="3">
        <v>2</v>
      </c>
      <c r="P41" s="3">
        <v>2</v>
      </c>
      <c r="Q41" s="3">
        <v>5</v>
      </c>
      <c r="R41" s="3">
        <v>0</v>
      </c>
      <c r="T41">
        <f>SUM(Table1[[#This Row],[DTP Received]:[LPO/ LOA/ SOA Issue Date]])</f>
        <v>39</v>
      </c>
    </row>
    <row r="42" spans="2:20" x14ac:dyDescent="0.25">
      <c r="B42" t="s">
        <v>410</v>
      </c>
      <c r="C42" t="s">
        <v>371</v>
      </c>
      <c r="D42" s="3">
        <v>2</v>
      </c>
      <c r="E42" s="3">
        <v>1</v>
      </c>
      <c r="F42" s="3">
        <v>0</v>
      </c>
      <c r="G42" s="3">
        <v>5</v>
      </c>
      <c r="H42" s="3">
        <v>5</v>
      </c>
      <c r="I42" s="3">
        <v>1</v>
      </c>
      <c r="J42" s="3">
        <v>3</v>
      </c>
      <c r="K42" s="3">
        <v>2</v>
      </c>
      <c r="L42" s="3">
        <v>7</v>
      </c>
      <c r="M42" s="3">
        <v>3</v>
      </c>
      <c r="N42" s="3">
        <v>1</v>
      </c>
      <c r="O42" s="3">
        <v>2</v>
      </c>
      <c r="P42" s="3">
        <v>2</v>
      </c>
      <c r="Q42" s="3">
        <v>5</v>
      </c>
      <c r="R42" s="3">
        <v>0</v>
      </c>
      <c r="T42">
        <f>SUM(Table1[[#This Row],[DTP Received]:[LPO/ LOA/ SOA Issue Date]])</f>
        <v>39</v>
      </c>
    </row>
    <row r="43" spans="2:20" x14ac:dyDescent="0.25">
      <c r="B43" t="s">
        <v>411</v>
      </c>
      <c r="C43" t="s">
        <v>371</v>
      </c>
      <c r="D43" s="3">
        <v>2</v>
      </c>
      <c r="E43" s="3">
        <v>1</v>
      </c>
      <c r="F43" s="3">
        <v>0</v>
      </c>
      <c r="G43" s="3">
        <v>5</v>
      </c>
      <c r="H43" s="3">
        <v>5</v>
      </c>
      <c r="I43" s="3">
        <v>1</v>
      </c>
      <c r="J43" s="3">
        <v>3</v>
      </c>
      <c r="K43" s="3">
        <v>2</v>
      </c>
      <c r="L43" s="3">
        <v>7</v>
      </c>
      <c r="M43" s="3">
        <v>3</v>
      </c>
      <c r="N43" s="3">
        <v>1</v>
      </c>
      <c r="O43" s="3">
        <v>2</v>
      </c>
      <c r="P43" s="3">
        <v>2</v>
      </c>
      <c r="Q43" s="3">
        <v>5</v>
      </c>
      <c r="R43" s="3">
        <v>0</v>
      </c>
      <c r="T43">
        <f>SUM(Table1[[#This Row],[DTP Received]:[LPO/ LOA/ SOA Issue Date]])</f>
        <v>39</v>
      </c>
    </row>
    <row r="44" spans="2:20" x14ac:dyDescent="0.25">
      <c r="B44" t="s">
        <v>412</v>
      </c>
      <c r="C44" t="s">
        <v>371</v>
      </c>
      <c r="D44" s="3">
        <v>2</v>
      </c>
      <c r="E44" s="3">
        <v>1</v>
      </c>
      <c r="F44" s="3">
        <v>0</v>
      </c>
      <c r="G44" s="3">
        <v>5</v>
      </c>
      <c r="H44" s="3">
        <v>5</v>
      </c>
      <c r="I44" s="3">
        <v>1</v>
      </c>
      <c r="J44" s="3">
        <v>3</v>
      </c>
      <c r="K44" s="3">
        <v>2</v>
      </c>
      <c r="L44" s="3">
        <v>7</v>
      </c>
      <c r="M44" s="3">
        <v>3</v>
      </c>
      <c r="N44" s="3">
        <v>1</v>
      </c>
      <c r="O44" s="3">
        <v>2</v>
      </c>
      <c r="P44" s="3">
        <v>2</v>
      </c>
      <c r="Q44" s="3">
        <v>5</v>
      </c>
      <c r="R44" s="3">
        <v>0</v>
      </c>
      <c r="T44">
        <f>SUM(Table1[[#This Row],[DTP Received]:[LPO/ LOA/ SOA Issue Date]])</f>
        <v>39</v>
      </c>
    </row>
    <row r="45" spans="2:20" x14ac:dyDescent="0.25">
      <c r="B45" t="s">
        <v>413</v>
      </c>
      <c r="C45" t="s">
        <v>371</v>
      </c>
      <c r="D45" s="3">
        <v>2</v>
      </c>
      <c r="E45" s="3">
        <v>1</v>
      </c>
      <c r="F45" s="3">
        <v>0</v>
      </c>
      <c r="G45" s="3">
        <v>5</v>
      </c>
      <c r="H45" s="3">
        <v>5</v>
      </c>
      <c r="I45" s="3">
        <v>1</v>
      </c>
      <c r="J45" s="3">
        <v>3</v>
      </c>
      <c r="K45" s="3">
        <v>2</v>
      </c>
      <c r="L45" s="3">
        <v>7</v>
      </c>
      <c r="M45" s="3">
        <v>3</v>
      </c>
      <c r="N45" s="3">
        <v>1</v>
      </c>
      <c r="O45" s="3">
        <v>2</v>
      </c>
      <c r="P45" s="3">
        <v>2</v>
      </c>
      <c r="Q45" s="3">
        <v>5</v>
      </c>
      <c r="R45" s="3">
        <v>0</v>
      </c>
      <c r="T45">
        <f>SUM(Table1[[#This Row],[DTP Received]:[LPO/ LOA/ SOA Issue Date]])</f>
        <v>39</v>
      </c>
    </row>
    <row r="46" spans="2:20" x14ac:dyDescent="0.25">
      <c r="B46" t="s">
        <v>414</v>
      </c>
      <c r="C46" t="s">
        <v>371</v>
      </c>
      <c r="D46" s="3">
        <v>2</v>
      </c>
      <c r="E46" s="3">
        <v>1</v>
      </c>
      <c r="F46" s="3">
        <v>0</v>
      </c>
      <c r="G46" s="3">
        <v>5</v>
      </c>
      <c r="H46" s="3">
        <v>5</v>
      </c>
      <c r="I46" s="3">
        <v>1</v>
      </c>
      <c r="J46" s="3">
        <v>3</v>
      </c>
      <c r="K46" s="3">
        <v>2</v>
      </c>
      <c r="L46" s="3">
        <v>7</v>
      </c>
      <c r="M46" s="3">
        <v>3</v>
      </c>
      <c r="N46" s="3">
        <v>1</v>
      </c>
      <c r="O46" s="3">
        <v>2</v>
      </c>
      <c r="P46" s="3">
        <v>2</v>
      </c>
      <c r="Q46" s="3">
        <v>5</v>
      </c>
      <c r="R46" s="3">
        <v>0</v>
      </c>
      <c r="T46">
        <f>SUM(Table1[[#This Row],[DTP Received]:[LPO/ LOA/ SOA Issue Date]])</f>
        <v>39</v>
      </c>
    </row>
    <row r="47" spans="2:20" x14ac:dyDescent="0.25">
      <c r="B47" t="s">
        <v>415</v>
      </c>
      <c r="C47" t="s">
        <v>416</v>
      </c>
      <c r="D47" s="3">
        <v>2</v>
      </c>
      <c r="E47" s="3">
        <v>1</v>
      </c>
      <c r="F47" s="3">
        <v>0</v>
      </c>
      <c r="G47" s="3">
        <v>5</v>
      </c>
      <c r="H47" s="3">
        <v>5</v>
      </c>
      <c r="I47" s="3">
        <v>1</v>
      </c>
      <c r="J47" s="3">
        <v>3</v>
      </c>
      <c r="K47" s="3">
        <v>2</v>
      </c>
      <c r="L47" s="3">
        <v>7</v>
      </c>
      <c r="M47" s="3">
        <v>3</v>
      </c>
      <c r="N47" s="3">
        <v>1</v>
      </c>
      <c r="O47" s="3">
        <v>2</v>
      </c>
      <c r="P47" s="3">
        <v>2</v>
      </c>
      <c r="Q47" s="3">
        <v>5</v>
      </c>
      <c r="R47" s="3">
        <v>0</v>
      </c>
      <c r="T47">
        <f>SUM(Table1[[#This Row],[DTP Received]:[LPO/ LOA/ SOA Issue Date]])</f>
        <v>39</v>
      </c>
    </row>
    <row r="48" spans="2:20" x14ac:dyDescent="0.25">
      <c r="B48" t="s">
        <v>417</v>
      </c>
      <c r="C48" t="s">
        <v>418</v>
      </c>
      <c r="D48" s="3">
        <v>2</v>
      </c>
      <c r="E48" s="3">
        <v>1</v>
      </c>
      <c r="F48" s="3">
        <v>0</v>
      </c>
      <c r="G48" s="3">
        <v>5</v>
      </c>
      <c r="H48" s="3">
        <v>5</v>
      </c>
      <c r="I48" s="3">
        <v>1</v>
      </c>
      <c r="J48" s="3">
        <v>3</v>
      </c>
      <c r="K48" s="3">
        <v>2</v>
      </c>
      <c r="L48" s="3">
        <v>7</v>
      </c>
      <c r="M48" s="3">
        <v>3</v>
      </c>
      <c r="N48" s="3">
        <v>1</v>
      </c>
      <c r="O48" s="3">
        <v>2</v>
      </c>
      <c r="P48" s="3">
        <v>2</v>
      </c>
      <c r="Q48" s="3">
        <v>5</v>
      </c>
      <c r="R48" s="3">
        <v>0</v>
      </c>
      <c r="T48">
        <f>SUM(Table1[[#This Row],[DTP Received]:[LPO/ LOA/ SOA Issue Date]])</f>
        <v>39</v>
      </c>
    </row>
    <row r="49" spans="2:20" x14ac:dyDescent="0.25">
      <c r="B49" t="s">
        <v>419</v>
      </c>
      <c r="C49" t="s">
        <v>420</v>
      </c>
      <c r="D49" s="3">
        <v>2</v>
      </c>
      <c r="E49" s="3">
        <v>1</v>
      </c>
      <c r="F49" s="3">
        <v>0</v>
      </c>
      <c r="G49" s="3">
        <v>5</v>
      </c>
      <c r="H49" s="3">
        <v>5</v>
      </c>
      <c r="I49" s="3">
        <v>1</v>
      </c>
      <c r="J49" s="3">
        <v>3</v>
      </c>
      <c r="K49" s="3">
        <v>2</v>
      </c>
      <c r="L49" s="3">
        <v>7</v>
      </c>
      <c r="M49" s="3">
        <v>3</v>
      </c>
      <c r="N49" s="3">
        <v>1</v>
      </c>
      <c r="O49" s="3">
        <v>2</v>
      </c>
      <c r="P49" s="3">
        <v>2</v>
      </c>
      <c r="Q49" s="3">
        <v>5</v>
      </c>
      <c r="R49" s="3">
        <v>0</v>
      </c>
      <c r="T49">
        <f>SUM(Table1[[#This Row],[DTP Received]:[LPO/ LOA/ SOA Issue Date]])</f>
        <v>39</v>
      </c>
    </row>
    <row r="50" spans="2:20" x14ac:dyDescent="0.25">
      <c r="B50" t="s">
        <v>421</v>
      </c>
      <c r="C50" t="s">
        <v>371</v>
      </c>
      <c r="D50" s="3">
        <v>2</v>
      </c>
      <c r="E50" s="3">
        <v>1</v>
      </c>
      <c r="F50" s="3">
        <v>0</v>
      </c>
      <c r="G50" s="3">
        <v>5</v>
      </c>
      <c r="H50" s="3">
        <v>5</v>
      </c>
      <c r="I50" s="3">
        <v>1</v>
      </c>
      <c r="J50" s="3">
        <v>3</v>
      </c>
      <c r="K50" s="3">
        <v>2</v>
      </c>
      <c r="L50" s="3">
        <v>7</v>
      </c>
      <c r="M50" s="3">
        <v>3</v>
      </c>
      <c r="N50" s="3">
        <v>1</v>
      </c>
      <c r="O50" s="3">
        <v>2</v>
      </c>
      <c r="P50" s="3">
        <v>2</v>
      </c>
      <c r="Q50" s="3">
        <v>5</v>
      </c>
      <c r="R50" s="3">
        <v>0</v>
      </c>
      <c r="T50">
        <f>SUM(Table1[[#This Row],[DTP Received]:[LPO/ LOA/ SOA Issue Date]])</f>
        <v>39</v>
      </c>
    </row>
    <row r="51" spans="2:20" x14ac:dyDescent="0.25">
      <c r="B51" t="s">
        <v>422</v>
      </c>
      <c r="C51" t="s">
        <v>371</v>
      </c>
      <c r="D51" s="3">
        <v>2</v>
      </c>
      <c r="E51" s="3">
        <v>1</v>
      </c>
      <c r="F51" s="3">
        <v>0</v>
      </c>
      <c r="G51" s="3">
        <v>5</v>
      </c>
      <c r="H51" s="3">
        <v>5</v>
      </c>
      <c r="I51" s="3">
        <v>1</v>
      </c>
      <c r="J51" s="3">
        <v>3</v>
      </c>
      <c r="K51" s="3">
        <v>2</v>
      </c>
      <c r="L51" s="3">
        <v>7</v>
      </c>
      <c r="M51" s="3">
        <v>3</v>
      </c>
      <c r="N51" s="3">
        <v>1</v>
      </c>
      <c r="O51" s="3">
        <v>2</v>
      </c>
      <c r="P51" s="3">
        <v>2</v>
      </c>
      <c r="Q51" s="3">
        <v>5</v>
      </c>
      <c r="R51" s="3">
        <v>0</v>
      </c>
      <c r="T51">
        <f>SUM(Table1[[#This Row],[DTP Received]:[LPO/ LOA/ SOA Issue Date]])</f>
        <v>39</v>
      </c>
    </row>
    <row r="52" spans="2:20" x14ac:dyDescent="0.25">
      <c r="B52" t="s">
        <v>423</v>
      </c>
      <c r="C52" t="s">
        <v>371</v>
      </c>
      <c r="D52" s="3">
        <v>2</v>
      </c>
      <c r="E52" s="3">
        <v>1</v>
      </c>
      <c r="F52" s="3">
        <v>0</v>
      </c>
      <c r="G52" s="3">
        <v>5</v>
      </c>
      <c r="H52" s="3">
        <v>5</v>
      </c>
      <c r="I52" s="3">
        <v>1</v>
      </c>
      <c r="J52" s="3">
        <v>3</v>
      </c>
      <c r="K52" s="3">
        <v>2</v>
      </c>
      <c r="L52" s="3">
        <v>7</v>
      </c>
      <c r="M52" s="3">
        <v>3</v>
      </c>
      <c r="N52" s="3">
        <v>1</v>
      </c>
      <c r="O52" s="3">
        <v>2</v>
      </c>
      <c r="P52" s="3">
        <v>2</v>
      </c>
      <c r="Q52" s="3">
        <v>5</v>
      </c>
      <c r="R52" s="3">
        <v>0</v>
      </c>
      <c r="T52">
        <f>SUM(Table1[[#This Row],[DTP Received]:[LPO/ LOA/ SOA Issue Date]])</f>
        <v>39</v>
      </c>
    </row>
    <row r="53" spans="2:20" x14ac:dyDescent="0.25">
      <c r="B53" t="s">
        <v>424</v>
      </c>
      <c r="C53" t="s">
        <v>371</v>
      </c>
      <c r="D53" s="3">
        <v>2</v>
      </c>
      <c r="E53" s="3">
        <v>1</v>
      </c>
      <c r="F53" s="3">
        <v>0</v>
      </c>
      <c r="G53" s="3">
        <v>5</v>
      </c>
      <c r="H53" s="3">
        <v>5</v>
      </c>
      <c r="I53" s="3">
        <v>1</v>
      </c>
      <c r="J53" s="3">
        <v>3</v>
      </c>
      <c r="K53" s="3">
        <v>2</v>
      </c>
      <c r="L53" s="3">
        <v>7</v>
      </c>
      <c r="M53" s="3">
        <v>3</v>
      </c>
      <c r="N53" s="3">
        <v>1</v>
      </c>
      <c r="O53" s="3">
        <v>2</v>
      </c>
      <c r="P53" s="3">
        <v>2</v>
      </c>
      <c r="Q53" s="3">
        <v>5</v>
      </c>
      <c r="R53" s="3">
        <v>0</v>
      </c>
      <c r="T53">
        <f>SUM(Table1[[#This Row],[DTP Received]:[LPO/ LOA/ SOA Issue Date]])</f>
        <v>39</v>
      </c>
    </row>
    <row r="54" spans="2:20" x14ac:dyDescent="0.25">
      <c r="B54" t="s">
        <v>425</v>
      </c>
      <c r="C54" t="s">
        <v>371</v>
      </c>
      <c r="D54" s="3">
        <v>2</v>
      </c>
      <c r="E54" s="3">
        <v>1</v>
      </c>
      <c r="F54" s="3">
        <v>0</v>
      </c>
      <c r="G54" s="3">
        <v>5</v>
      </c>
      <c r="H54" s="3">
        <v>5</v>
      </c>
      <c r="I54" s="3">
        <v>1</v>
      </c>
      <c r="J54" s="3">
        <v>3</v>
      </c>
      <c r="K54" s="3">
        <v>2</v>
      </c>
      <c r="L54" s="3">
        <v>7</v>
      </c>
      <c r="M54" s="3">
        <v>3</v>
      </c>
      <c r="N54" s="3">
        <v>1</v>
      </c>
      <c r="O54" s="3">
        <v>2</v>
      </c>
      <c r="P54" s="3">
        <v>2</v>
      </c>
      <c r="Q54" s="3">
        <v>5</v>
      </c>
      <c r="R54" s="3">
        <v>0</v>
      </c>
      <c r="T54">
        <f>SUM(Table1[[#This Row],[DTP Received]:[LPO/ LOA/ SOA Issue Date]])</f>
        <v>39</v>
      </c>
    </row>
    <row r="55" spans="2:20" x14ac:dyDescent="0.25">
      <c r="B55" t="s">
        <v>426</v>
      </c>
      <c r="C55" t="s">
        <v>371</v>
      </c>
      <c r="D55" s="3">
        <v>2</v>
      </c>
      <c r="E55" s="3">
        <v>1</v>
      </c>
      <c r="F55" s="3">
        <v>0</v>
      </c>
      <c r="G55" s="3">
        <v>5</v>
      </c>
      <c r="H55" s="3">
        <v>5</v>
      </c>
      <c r="I55" s="3">
        <v>1</v>
      </c>
      <c r="J55" s="3">
        <v>3</v>
      </c>
      <c r="K55" s="3">
        <v>2</v>
      </c>
      <c r="L55" s="3">
        <v>7</v>
      </c>
      <c r="M55" s="3">
        <v>3</v>
      </c>
      <c r="N55" s="3">
        <v>1</v>
      </c>
      <c r="O55" s="3">
        <v>2</v>
      </c>
      <c r="P55" s="3">
        <v>2</v>
      </c>
      <c r="Q55" s="3">
        <v>5</v>
      </c>
      <c r="R55" s="3">
        <v>0</v>
      </c>
      <c r="T55">
        <f>SUM(Table1[[#This Row],[DTP Received]:[LPO/ LOA/ SOA Issue Date]])</f>
        <v>39</v>
      </c>
    </row>
    <row r="56" spans="2:20" x14ac:dyDescent="0.25">
      <c r="B56" t="s">
        <v>427</v>
      </c>
      <c r="C56" t="s">
        <v>428</v>
      </c>
      <c r="D56" s="3">
        <v>2</v>
      </c>
      <c r="E56" s="3">
        <v>1</v>
      </c>
      <c r="F56" s="3">
        <v>0</v>
      </c>
      <c r="G56" s="3">
        <v>5</v>
      </c>
      <c r="H56" s="3">
        <v>5</v>
      </c>
      <c r="I56" s="3">
        <v>1</v>
      </c>
      <c r="J56" s="3">
        <v>3</v>
      </c>
      <c r="K56" s="3">
        <v>2</v>
      </c>
      <c r="L56" s="3">
        <v>7</v>
      </c>
      <c r="M56" s="3">
        <v>3</v>
      </c>
      <c r="N56" s="3">
        <v>1</v>
      </c>
      <c r="O56" s="3">
        <v>2</v>
      </c>
      <c r="P56" s="3">
        <v>2</v>
      </c>
      <c r="Q56" s="3">
        <v>5</v>
      </c>
      <c r="R56" s="3">
        <v>0</v>
      </c>
      <c r="T56">
        <f>SUM(Table1[[#This Row],[DTP Received]:[LPO/ LOA/ SOA Issue Date]])</f>
        <v>39</v>
      </c>
    </row>
    <row r="57" spans="2:20" x14ac:dyDescent="0.25">
      <c r="B57" t="s">
        <v>429</v>
      </c>
      <c r="C57" t="s">
        <v>430</v>
      </c>
      <c r="D57" s="3">
        <v>2</v>
      </c>
      <c r="E57" s="3">
        <v>1</v>
      </c>
      <c r="F57" s="3">
        <v>0</v>
      </c>
      <c r="G57" s="3">
        <v>5</v>
      </c>
      <c r="H57" s="3">
        <v>5</v>
      </c>
      <c r="I57" s="3">
        <v>1</v>
      </c>
      <c r="J57" s="3">
        <v>3</v>
      </c>
      <c r="K57" s="3">
        <v>2</v>
      </c>
      <c r="L57" s="3">
        <v>7</v>
      </c>
      <c r="M57" s="3">
        <v>3</v>
      </c>
      <c r="N57" s="3">
        <v>1</v>
      </c>
      <c r="O57" s="3">
        <v>2</v>
      </c>
      <c r="P57" s="3">
        <v>2</v>
      </c>
      <c r="Q57" s="3">
        <v>5</v>
      </c>
      <c r="R57" s="3">
        <v>0</v>
      </c>
      <c r="T57">
        <f>SUM(Table1[[#This Row],[DTP Received]:[LPO/ LOA/ SOA Issue Date]])</f>
        <v>39</v>
      </c>
    </row>
    <row r="58" spans="2:20" x14ac:dyDescent="0.25">
      <c r="B58" t="s">
        <v>431</v>
      </c>
      <c r="C58" t="s">
        <v>432</v>
      </c>
      <c r="D58" s="3">
        <v>2</v>
      </c>
      <c r="E58" s="3">
        <v>1</v>
      </c>
      <c r="F58" s="3">
        <v>0</v>
      </c>
      <c r="G58" s="3">
        <v>5</v>
      </c>
      <c r="H58" s="3">
        <v>5</v>
      </c>
      <c r="I58" s="3">
        <v>1</v>
      </c>
      <c r="J58" s="3">
        <v>3</v>
      </c>
      <c r="K58" s="3">
        <v>2</v>
      </c>
      <c r="L58" s="3">
        <v>7</v>
      </c>
      <c r="M58" s="3">
        <v>3</v>
      </c>
      <c r="N58" s="3">
        <v>1</v>
      </c>
      <c r="O58" s="3">
        <v>2</v>
      </c>
      <c r="P58" s="3">
        <v>2</v>
      </c>
      <c r="Q58" s="3">
        <v>5</v>
      </c>
      <c r="R58" s="3">
        <v>0</v>
      </c>
      <c r="T58">
        <f>SUM(Table1[[#This Row],[DTP Received]:[LPO/ LOA/ SOA Issue Date]])</f>
        <v>39</v>
      </c>
    </row>
    <row r="59" spans="2:20" x14ac:dyDescent="0.25">
      <c r="B59" t="s">
        <v>433</v>
      </c>
      <c r="C59" t="s">
        <v>434</v>
      </c>
      <c r="D59" s="3">
        <v>2</v>
      </c>
      <c r="E59" s="3">
        <v>1</v>
      </c>
      <c r="F59" s="3">
        <v>0</v>
      </c>
      <c r="G59" s="3">
        <v>5</v>
      </c>
      <c r="H59" s="3">
        <v>5</v>
      </c>
      <c r="I59" s="3">
        <v>1</v>
      </c>
      <c r="J59" s="3">
        <v>3</v>
      </c>
      <c r="K59" s="3">
        <v>2</v>
      </c>
      <c r="L59" s="3">
        <v>7</v>
      </c>
      <c r="M59" s="3">
        <v>3</v>
      </c>
      <c r="N59" s="3">
        <v>1</v>
      </c>
      <c r="O59" s="3">
        <v>2</v>
      </c>
      <c r="P59" s="3">
        <v>2</v>
      </c>
      <c r="Q59" s="3">
        <v>5</v>
      </c>
      <c r="R59" s="3">
        <v>0</v>
      </c>
      <c r="T59">
        <f>SUM(Table1[[#This Row],[DTP Received]:[LPO/ LOA/ SOA Issue Date]])</f>
        <v>39</v>
      </c>
    </row>
    <row r="60" spans="2:20" x14ac:dyDescent="0.25">
      <c r="B60" t="s">
        <v>435</v>
      </c>
      <c r="C60" t="s">
        <v>436</v>
      </c>
      <c r="D60" s="3">
        <v>2</v>
      </c>
      <c r="E60" s="3">
        <v>1</v>
      </c>
      <c r="F60" s="3">
        <v>0</v>
      </c>
      <c r="G60" s="3">
        <v>5</v>
      </c>
      <c r="H60" s="3">
        <v>5</v>
      </c>
      <c r="I60" s="3">
        <v>1</v>
      </c>
      <c r="J60" s="3">
        <v>3</v>
      </c>
      <c r="K60" s="3">
        <v>2</v>
      </c>
      <c r="L60" s="3">
        <v>7</v>
      </c>
      <c r="M60" s="3">
        <v>3</v>
      </c>
      <c r="N60" s="3">
        <v>1</v>
      </c>
      <c r="O60" s="3">
        <v>2</v>
      </c>
      <c r="P60" s="3">
        <v>2</v>
      </c>
      <c r="Q60" s="3">
        <v>5</v>
      </c>
      <c r="R60" s="3">
        <v>0</v>
      </c>
      <c r="T60">
        <f>SUM(Table1[[#This Row],[DTP Received]:[LPO/ LOA/ SOA Issue Date]])</f>
        <v>39</v>
      </c>
    </row>
    <row r="61" spans="2:20" x14ac:dyDescent="0.25">
      <c r="B61" t="s">
        <v>437</v>
      </c>
      <c r="C61" t="s">
        <v>371</v>
      </c>
      <c r="D61" s="3">
        <v>2</v>
      </c>
      <c r="E61" s="3">
        <v>1</v>
      </c>
      <c r="F61" s="3">
        <v>0</v>
      </c>
      <c r="G61" s="3">
        <v>5</v>
      </c>
      <c r="H61" s="3">
        <v>5</v>
      </c>
      <c r="I61" s="3">
        <v>1</v>
      </c>
      <c r="J61" s="3">
        <v>3</v>
      </c>
      <c r="K61" s="3">
        <v>2</v>
      </c>
      <c r="L61" s="3">
        <v>7</v>
      </c>
      <c r="M61" s="3">
        <v>3</v>
      </c>
      <c r="N61" s="3">
        <v>1</v>
      </c>
      <c r="O61" s="3">
        <v>2</v>
      </c>
      <c r="P61" s="3">
        <v>2</v>
      </c>
      <c r="Q61" s="3">
        <v>5</v>
      </c>
      <c r="R61" s="3">
        <v>0</v>
      </c>
      <c r="T61">
        <f>SUM(Table1[[#This Row],[DTP Received]:[LPO/ LOA/ SOA Issue Date]])</f>
        <v>39</v>
      </c>
    </row>
    <row r="62" spans="2:20" x14ac:dyDescent="0.25">
      <c r="B62" t="s">
        <v>438</v>
      </c>
      <c r="C62" t="s">
        <v>371</v>
      </c>
      <c r="D62" s="3">
        <v>2</v>
      </c>
      <c r="E62" s="3">
        <v>1</v>
      </c>
      <c r="F62" s="3">
        <v>0</v>
      </c>
      <c r="G62" s="3">
        <v>5</v>
      </c>
      <c r="H62" s="3">
        <v>5</v>
      </c>
      <c r="I62" s="3">
        <v>1</v>
      </c>
      <c r="J62" s="3">
        <v>3</v>
      </c>
      <c r="K62" s="3">
        <v>2</v>
      </c>
      <c r="L62" s="3">
        <v>7</v>
      </c>
      <c r="M62" s="3">
        <v>3</v>
      </c>
      <c r="N62" s="3">
        <v>1</v>
      </c>
      <c r="O62" s="3">
        <v>2</v>
      </c>
      <c r="P62" s="3">
        <v>2</v>
      </c>
      <c r="Q62" s="3">
        <v>5</v>
      </c>
      <c r="R62" s="3">
        <v>0</v>
      </c>
      <c r="T62">
        <f>SUM(Table1[[#This Row],[DTP Received]:[LPO/ LOA/ SOA Issue Date]])</f>
        <v>39</v>
      </c>
    </row>
    <row r="63" spans="2:20" x14ac:dyDescent="0.25">
      <c r="B63" t="s">
        <v>439</v>
      </c>
      <c r="C63" t="s">
        <v>371</v>
      </c>
      <c r="D63" s="3">
        <v>2</v>
      </c>
      <c r="E63" s="3">
        <v>1</v>
      </c>
      <c r="F63" s="3">
        <v>0</v>
      </c>
      <c r="G63" s="3">
        <v>5</v>
      </c>
      <c r="H63" s="3">
        <v>5</v>
      </c>
      <c r="I63" s="3">
        <v>1</v>
      </c>
      <c r="J63" s="3">
        <v>3</v>
      </c>
      <c r="K63" s="3">
        <v>2</v>
      </c>
      <c r="L63" s="3">
        <v>7</v>
      </c>
      <c r="M63" s="3">
        <v>3</v>
      </c>
      <c r="N63" s="3">
        <v>1</v>
      </c>
      <c r="O63" s="3">
        <v>2</v>
      </c>
      <c r="P63" s="3">
        <v>2</v>
      </c>
      <c r="Q63" s="3">
        <v>5</v>
      </c>
      <c r="R63" s="3">
        <v>0</v>
      </c>
      <c r="T63">
        <f>SUM(Table1[[#This Row],[DTP Received]:[LPO/ LOA/ SOA Issue Date]])</f>
        <v>39</v>
      </c>
    </row>
    <row r="64" spans="2:20" x14ac:dyDescent="0.25">
      <c r="B64" t="s">
        <v>440</v>
      </c>
      <c r="C64" t="s">
        <v>371</v>
      </c>
      <c r="D64" s="3">
        <v>2</v>
      </c>
      <c r="E64" s="3">
        <v>1</v>
      </c>
      <c r="F64" s="3">
        <v>0</v>
      </c>
      <c r="G64" s="3">
        <v>5</v>
      </c>
      <c r="H64" s="3">
        <v>5</v>
      </c>
      <c r="I64" s="3">
        <v>1</v>
      </c>
      <c r="J64" s="3">
        <v>3</v>
      </c>
      <c r="K64" s="3">
        <v>2</v>
      </c>
      <c r="L64" s="3">
        <v>7</v>
      </c>
      <c r="M64" s="3">
        <v>3</v>
      </c>
      <c r="N64" s="3">
        <v>1</v>
      </c>
      <c r="O64" s="3">
        <v>2</v>
      </c>
      <c r="P64" s="3">
        <v>2</v>
      </c>
      <c r="Q64" s="3">
        <v>5</v>
      </c>
      <c r="R64" s="3">
        <v>0</v>
      </c>
      <c r="T64">
        <f>SUM(Table1[[#This Row],[DTP Received]:[LPO/ LOA/ SOA Issue Date]])</f>
        <v>39</v>
      </c>
    </row>
    <row r="65" spans="2:20" x14ac:dyDescent="0.25">
      <c r="B65" t="s">
        <v>441</v>
      </c>
      <c r="C65" t="s">
        <v>371</v>
      </c>
      <c r="D65" s="3">
        <v>2</v>
      </c>
      <c r="E65" s="3">
        <v>1</v>
      </c>
      <c r="F65" s="3">
        <v>0</v>
      </c>
      <c r="G65" s="3">
        <v>5</v>
      </c>
      <c r="H65" s="3">
        <v>5</v>
      </c>
      <c r="I65" s="3">
        <v>1</v>
      </c>
      <c r="J65" s="3">
        <v>3</v>
      </c>
      <c r="K65" s="3">
        <v>2</v>
      </c>
      <c r="L65" s="3">
        <v>7</v>
      </c>
      <c r="M65" s="3">
        <v>3</v>
      </c>
      <c r="N65" s="3">
        <v>1</v>
      </c>
      <c r="O65" s="3">
        <v>2</v>
      </c>
      <c r="P65" s="3">
        <v>2</v>
      </c>
      <c r="Q65" s="3">
        <v>5</v>
      </c>
      <c r="R65" s="3">
        <v>0</v>
      </c>
      <c r="T65">
        <f>SUM(Table1[[#This Row],[DTP Received]:[LPO/ LOA/ SOA Issue Date]])</f>
        <v>39</v>
      </c>
    </row>
    <row r="66" spans="2:20" x14ac:dyDescent="0.25">
      <c r="B66" t="s">
        <v>442</v>
      </c>
      <c r="C66" t="s">
        <v>371</v>
      </c>
      <c r="D66" s="3">
        <v>2</v>
      </c>
      <c r="E66" s="3">
        <v>1</v>
      </c>
      <c r="F66" s="3">
        <v>0</v>
      </c>
      <c r="G66" s="3">
        <v>5</v>
      </c>
      <c r="H66" s="3">
        <v>5</v>
      </c>
      <c r="I66" s="3">
        <v>1</v>
      </c>
      <c r="J66" s="3">
        <v>3</v>
      </c>
      <c r="K66" s="3">
        <v>2</v>
      </c>
      <c r="L66" s="3">
        <v>7</v>
      </c>
      <c r="M66" s="3">
        <v>3</v>
      </c>
      <c r="N66" s="3">
        <v>1</v>
      </c>
      <c r="O66" s="3">
        <v>2</v>
      </c>
      <c r="P66" s="3">
        <v>2</v>
      </c>
      <c r="Q66" s="3">
        <v>5</v>
      </c>
      <c r="R66" s="3">
        <v>0</v>
      </c>
      <c r="T66">
        <f>SUM(Table1[[#This Row],[DTP Received]:[LPO/ LOA/ SOA Issue Date]])</f>
        <v>39</v>
      </c>
    </row>
    <row r="67" spans="2:20" x14ac:dyDescent="0.25">
      <c r="B67" t="s">
        <v>443</v>
      </c>
      <c r="C67" t="s">
        <v>444</v>
      </c>
      <c r="D67" s="3">
        <v>2</v>
      </c>
      <c r="E67" s="3">
        <v>1</v>
      </c>
      <c r="F67" s="3">
        <v>0</v>
      </c>
      <c r="G67" s="3">
        <v>5</v>
      </c>
      <c r="H67" s="3">
        <v>5</v>
      </c>
      <c r="I67" s="3">
        <v>1</v>
      </c>
      <c r="J67" s="3">
        <v>3</v>
      </c>
      <c r="K67" s="3">
        <v>2</v>
      </c>
      <c r="L67" s="3">
        <v>7</v>
      </c>
      <c r="M67" s="3">
        <v>3</v>
      </c>
      <c r="N67" s="3">
        <v>1</v>
      </c>
      <c r="O67" s="3">
        <v>2</v>
      </c>
      <c r="P67" s="3">
        <v>2</v>
      </c>
      <c r="Q67" s="3">
        <v>5</v>
      </c>
      <c r="R67" s="3">
        <v>0</v>
      </c>
      <c r="T67">
        <f>SUM(Table1[[#This Row],[DTP Received]:[LPO/ LOA/ SOA Issue Date]])</f>
        <v>39</v>
      </c>
    </row>
    <row r="68" spans="2:20" x14ac:dyDescent="0.25">
      <c r="B68" t="s">
        <v>445</v>
      </c>
      <c r="C68" t="s">
        <v>446</v>
      </c>
      <c r="D68" s="3">
        <v>2</v>
      </c>
      <c r="E68" s="3">
        <v>1</v>
      </c>
      <c r="F68" s="3">
        <v>0</v>
      </c>
      <c r="G68" s="3">
        <v>5</v>
      </c>
      <c r="H68" s="3">
        <v>5</v>
      </c>
      <c r="I68" s="3">
        <v>1</v>
      </c>
      <c r="J68" s="3">
        <v>3</v>
      </c>
      <c r="K68" s="3">
        <v>2</v>
      </c>
      <c r="L68" s="3">
        <v>7</v>
      </c>
      <c r="M68" s="3">
        <v>3</v>
      </c>
      <c r="N68" s="3">
        <v>1</v>
      </c>
      <c r="O68" s="3">
        <v>2</v>
      </c>
      <c r="P68" s="3">
        <v>2</v>
      </c>
      <c r="Q68" s="3">
        <v>5</v>
      </c>
      <c r="R68" s="3">
        <v>0</v>
      </c>
      <c r="T68">
        <f>SUM(Table1[[#This Row],[DTP Received]:[LPO/ LOA/ SOA Issue Date]])</f>
        <v>39</v>
      </c>
    </row>
    <row r="69" spans="2:20" x14ac:dyDescent="0.25">
      <c r="B69" t="s">
        <v>447</v>
      </c>
      <c r="C69" t="s">
        <v>371</v>
      </c>
      <c r="D69" s="3">
        <v>2</v>
      </c>
      <c r="E69" s="3">
        <v>1</v>
      </c>
      <c r="F69" s="3">
        <v>0</v>
      </c>
      <c r="G69" s="3">
        <v>5</v>
      </c>
      <c r="H69" s="3">
        <v>5</v>
      </c>
      <c r="I69" s="3">
        <v>1</v>
      </c>
      <c r="J69" s="3">
        <v>3</v>
      </c>
      <c r="K69" s="3">
        <v>2</v>
      </c>
      <c r="L69" s="3">
        <v>7</v>
      </c>
      <c r="M69" s="3">
        <v>3</v>
      </c>
      <c r="N69" s="3">
        <v>1</v>
      </c>
      <c r="O69" s="3">
        <v>2</v>
      </c>
      <c r="P69" s="3">
        <v>2</v>
      </c>
      <c r="Q69" s="3">
        <v>5</v>
      </c>
      <c r="R69" s="3">
        <v>0</v>
      </c>
      <c r="T69">
        <f>SUM(Table1[[#This Row],[DTP Received]:[LPO/ LOA/ SOA Issue Date]])</f>
        <v>39</v>
      </c>
    </row>
    <row r="70" spans="2:20" x14ac:dyDescent="0.25">
      <c r="B70" t="s">
        <v>448</v>
      </c>
      <c r="C70" t="s">
        <v>371</v>
      </c>
      <c r="D70" s="3">
        <v>2</v>
      </c>
      <c r="E70" s="3">
        <v>1</v>
      </c>
      <c r="F70" s="3">
        <v>0</v>
      </c>
      <c r="G70" s="3">
        <v>5</v>
      </c>
      <c r="H70" s="3">
        <v>5</v>
      </c>
      <c r="I70" s="3">
        <v>1</v>
      </c>
      <c r="J70" s="3">
        <v>3</v>
      </c>
      <c r="K70" s="3">
        <v>2</v>
      </c>
      <c r="L70" s="3">
        <v>7</v>
      </c>
      <c r="M70" s="3">
        <v>3</v>
      </c>
      <c r="N70" s="3">
        <v>1</v>
      </c>
      <c r="O70" s="3">
        <v>2</v>
      </c>
      <c r="P70" s="3">
        <v>2</v>
      </c>
      <c r="Q70" s="3">
        <v>5</v>
      </c>
      <c r="R70" s="3">
        <v>0</v>
      </c>
      <c r="T70">
        <f>SUM(Table1[[#This Row],[DTP Received]:[LPO/ LOA/ SOA Issue Date]])</f>
        <v>39</v>
      </c>
    </row>
    <row r="71" spans="2:20" x14ac:dyDescent="0.25">
      <c r="B71" t="s">
        <v>449</v>
      </c>
      <c r="C71" t="s">
        <v>371</v>
      </c>
      <c r="D71" s="3">
        <v>2</v>
      </c>
      <c r="E71" s="3">
        <v>1</v>
      </c>
      <c r="F71" s="3">
        <v>0</v>
      </c>
      <c r="G71" s="3">
        <v>5</v>
      </c>
      <c r="H71" s="3">
        <v>5</v>
      </c>
      <c r="I71" s="3">
        <v>1</v>
      </c>
      <c r="J71" s="3">
        <v>3</v>
      </c>
      <c r="K71" s="3">
        <v>2</v>
      </c>
      <c r="L71" s="3">
        <v>7</v>
      </c>
      <c r="M71" s="3">
        <v>3</v>
      </c>
      <c r="N71" s="3">
        <v>1</v>
      </c>
      <c r="O71" s="3">
        <v>2</v>
      </c>
      <c r="P71" s="3">
        <v>2</v>
      </c>
      <c r="Q71" s="3">
        <v>5</v>
      </c>
      <c r="R71" s="3">
        <v>0</v>
      </c>
      <c r="T71">
        <f>SUM(Table1[[#This Row],[DTP Received]:[LPO/ LOA/ SOA Issue Date]])</f>
        <v>39</v>
      </c>
    </row>
    <row r="72" spans="2:20" x14ac:dyDescent="0.25">
      <c r="B72" t="s">
        <v>450</v>
      </c>
      <c r="C72" t="s">
        <v>371</v>
      </c>
      <c r="D72" s="3">
        <v>2</v>
      </c>
      <c r="E72" s="3">
        <v>1</v>
      </c>
      <c r="F72" s="3">
        <v>0</v>
      </c>
      <c r="G72" s="3">
        <v>5</v>
      </c>
      <c r="H72" s="3">
        <v>5</v>
      </c>
      <c r="I72" s="3">
        <v>1</v>
      </c>
      <c r="J72" s="3">
        <v>3</v>
      </c>
      <c r="K72" s="3">
        <v>2</v>
      </c>
      <c r="L72" s="3">
        <v>7</v>
      </c>
      <c r="M72" s="3">
        <v>3</v>
      </c>
      <c r="N72" s="3">
        <v>1</v>
      </c>
      <c r="O72" s="3">
        <v>2</v>
      </c>
      <c r="P72" s="3">
        <v>2</v>
      </c>
      <c r="Q72" s="3">
        <v>5</v>
      </c>
      <c r="R72" s="3">
        <v>0</v>
      </c>
      <c r="T72">
        <f>SUM(Table1[[#This Row],[DTP Received]:[LPO/ LOA/ SOA Issue Date]])</f>
        <v>39</v>
      </c>
    </row>
    <row r="73" spans="2:20" x14ac:dyDescent="0.25">
      <c r="B73" t="s">
        <v>451</v>
      </c>
      <c r="C73" t="s">
        <v>371</v>
      </c>
      <c r="D73" s="3">
        <v>2</v>
      </c>
      <c r="E73" s="3">
        <v>1</v>
      </c>
      <c r="F73" s="3">
        <v>0</v>
      </c>
      <c r="G73" s="3">
        <v>5</v>
      </c>
      <c r="H73" s="3">
        <v>5</v>
      </c>
      <c r="I73" s="3">
        <v>1</v>
      </c>
      <c r="J73" s="3">
        <v>3</v>
      </c>
      <c r="K73" s="3">
        <v>2</v>
      </c>
      <c r="L73" s="3">
        <v>7</v>
      </c>
      <c r="M73" s="3">
        <v>3</v>
      </c>
      <c r="N73" s="3">
        <v>1</v>
      </c>
      <c r="O73" s="3">
        <v>2</v>
      </c>
      <c r="P73" s="3">
        <v>2</v>
      </c>
      <c r="Q73" s="3">
        <v>5</v>
      </c>
      <c r="R73" s="3">
        <v>0</v>
      </c>
      <c r="T73">
        <f>SUM(Table1[[#This Row],[DTP Received]:[LPO/ LOA/ SOA Issue Date]])</f>
        <v>39</v>
      </c>
    </row>
    <row r="74" spans="2:20" x14ac:dyDescent="0.25">
      <c r="B74" t="s">
        <v>452</v>
      </c>
      <c r="C74" t="s">
        <v>371</v>
      </c>
      <c r="D74" s="3">
        <v>2</v>
      </c>
      <c r="E74" s="3">
        <v>1</v>
      </c>
      <c r="F74" s="3">
        <v>0</v>
      </c>
      <c r="G74" s="3">
        <v>5</v>
      </c>
      <c r="H74" s="3">
        <v>5</v>
      </c>
      <c r="I74" s="3">
        <v>1</v>
      </c>
      <c r="J74" s="3">
        <v>3</v>
      </c>
      <c r="K74" s="3">
        <v>2</v>
      </c>
      <c r="L74" s="3">
        <v>7</v>
      </c>
      <c r="M74" s="3">
        <v>3</v>
      </c>
      <c r="N74" s="3">
        <v>1</v>
      </c>
      <c r="O74" s="3">
        <v>2</v>
      </c>
      <c r="P74" s="3">
        <v>2</v>
      </c>
      <c r="Q74" s="3">
        <v>5</v>
      </c>
      <c r="R74" s="3">
        <v>0</v>
      </c>
      <c r="T74">
        <f>SUM(Table1[[#This Row],[DTP Received]:[LPO/ LOA/ SOA Issue Date]])</f>
        <v>39</v>
      </c>
    </row>
    <row r="75" spans="2:20" x14ac:dyDescent="0.25">
      <c r="B75" t="s">
        <v>453</v>
      </c>
      <c r="C75" t="s">
        <v>454</v>
      </c>
      <c r="D75" s="3">
        <v>2</v>
      </c>
      <c r="E75" s="3">
        <v>1</v>
      </c>
      <c r="F75" s="3">
        <v>0</v>
      </c>
      <c r="G75" s="3">
        <v>5</v>
      </c>
      <c r="H75" s="3">
        <v>5</v>
      </c>
      <c r="I75" s="3">
        <v>1</v>
      </c>
      <c r="J75" s="3">
        <v>3</v>
      </c>
      <c r="K75" s="3">
        <v>2</v>
      </c>
      <c r="L75" s="3">
        <v>7</v>
      </c>
      <c r="M75" s="3">
        <v>3</v>
      </c>
      <c r="N75" s="3">
        <v>1</v>
      </c>
      <c r="O75" s="3">
        <v>2</v>
      </c>
      <c r="P75" s="3">
        <v>2</v>
      </c>
      <c r="Q75" s="3">
        <v>5</v>
      </c>
      <c r="R75" s="3">
        <v>0</v>
      </c>
      <c r="T75">
        <f>SUM(Table1[[#This Row],[DTP Received]:[LPO/ LOA/ SOA Issue Date]])</f>
        <v>39</v>
      </c>
    </row>
    <row r="76" spans="2:20" x14ac:dyDescent="0.25">
      <c r="B76" t="s">
        <v>455</v>
      </c>
      <c r="C76" t="s">
        <v>456</v>
      </c>
      <c r="D76" s="3">
        <v>2</v>
      </c>
      <c r="E76" s="3">
        <v>1</v>
      </c>
      <c r="F76" s="3">
        <v>0</v>
      </c>
      <c r="G76" s="3">
        <v>5</v>
      </c>
      <c r="H76" s="3">
        <v>5</v>
      </c>
      <c r="I76" s="3">
        <v>1</v>
      </c>
      <c r="J76" s="3">
        <v>3</v>
      </c>
      <c r="K76" s="3">
        <v>2</v>
      </c>
      <c r="L76" s="3">
        <v>7</v>
      </c>
      <c r="M76" s="3">
        <v>3</v>
      </c>
      <c r="N76" s="3">
        <v>1</v>
      </c>
      <c r="O76" s="3">
        <v>2</v>
      </c>
      <c r="P76" s="3">
        <v>2</v>
      </c>
      <c r="Q76" s="3">
        <v>5</v>
      </c>
      <c r="R76" s="3">
        <v>0</v>
      </c>
      <c r="T76">
        <f>SUM(Table1[[#This Row],[DTP Received]:[LPO/ LOA/ SOA Issue Date]])</f>
        <v>39</v>
      </c>
    </row>
    <row r="77" spans="2:20" x14ac:dyDescent="0.25">
      <c r="B77" t="s">
        <v>457</v>
      </c>
      <c r="C77" t="s">
        <v>458</v>
      </c>
      <c r="D77" s="3">
        <v>2</v>
      </c>
      <c r="E77" s="3">
        <v>1</v>
      </c>
      <c r="F77" s="3">
        <v>0</v>
      </c>
      <c r="G77" s="3">
        <v>5</v>
      </c>
      <c r="H77" s="3">
        <v>5</v>
      </c>
      <c r="I77" s="3">
        <v>1</v>
      </c>
      <c r="J77" s="3">
        <v>3</v>
      </c>
      <c r="K77" s="3">
        <v>2</v>
      </c>
      <c r="L77" s="3">
        <v>7</v>
      </c>
      <c r="M77" s="3">
        <v>3</v>
      </c>
      <c r="N77" s="3">
        <v>1</v>
      </c>
      <c r="O77" s="3">
        <v>2</v>
      </c>
      <c r="P77" s="3">
        <v>2</v>
      </c>
      <c r="Q77" s="3">
        <v>5</v>
      </c>
      <c r="R77" s="3">
        <v>0</v>
      </c>
      <c r="T77">
        <f>SUM(Table1[[#This Row],[DTP Received]:[LPO/ LOA/ SOA Issue Date]])</f>
        <v>39</v>
      </c>
    </row>
    <row r="78" spans="2:20" x14ac:dyDescent="0.25">
      <c r="B78" t="s">
        <v>459</v>
      </c>
      <c r="C78" t="s">
        <v>460</v>
      </c>
      <c r="D78" s="3">
        <v>2</v>
      </c>
      <c r="E78" s="3">
        <v>1</v>
      </c>
      <c r="F78" s="3">
        <v>0</v>
      </c>
      <c r="G78" s="3">
        <v>5</v>
      </c>
      <c r="H78" s="3">
        <v>5</v>
      </c>
      <c r="I78" s="3">
        <v>1</v>
      </c>
      <c r="J78" s="3">
        <v>3</v>
      </c>
      <c r="K78" s="3">
        <v>2</v>
      </c>
      <c r="L78" s="3">
        <v>7</v>
      </c>
      <c r="M78" s="3">
        <v>3</v>
      </c>
      <c r="N78" s="3">
        <v>1</v>
      </c>
      <c r="O78" s="3">
        <v>2</v>
      </c>
      <c r="P78" s="3">
        <v>2</v>
      </c>
      <c r="Q78" s="3">
        <v>5</v>
      </c>
      <c r="R78" s="3">
        <v>0</v>
      </c>
      <c r="T78">
        <f>SUM(Table1[[#This Row],[DTP Received]:[LPO/ LOA/ SOA Issue Date]])</f>
        <v>39</v>
      </c>
    </row>
    <row r="79" spans="2:20" x14ac:dyDescent="0.25">
      <c r="B79" t="s">
        <v>461</v>
      </c>
      <c r="C79" t="s">
        <v>462</v>
      </c>
      <c r="D79" s="3">
        <v>2</v>
      </c>
      <c r="E79" s="3">
        <v>1</v>
      </c>
      <c r="F79" s="3">
        <v>0</v>
      </c>
      <c r="G79" s="3">
        <v>5</v>
      </c>
      <c r="H79" s="3">
        <v>5</v>
      </c>
      <c r="I79" s="3">
        <v>1</v>
      </c>
      <c r="J79" s="3">
        <v>3</v>
      </c>
      <c r="K79" s="3">
        <v>2</v>
      </c>
      <c r="L79" s="3">
        <v>7</v>
      </c>
      <c r="M79" s="3">
        <v>3</v>
      </c>
      <c r="N79" s="3">
        <v>1</v>
      </c>
      <c r="O79" s="3">
        <v>2</v>
      </c>
      <c r="P79" s="3">
        <v>2</v>
      </c>
      <c r="Q79" s="3">
        <v>5</v>
      </c>
      <c r="R79" s="3">
        <v>0</v>
      </c>
      <c r="T79">
        <f>SUM(Table1[[#This Row],[DTP Received]:[LPO/ LOA/ SOA Issue Date]])</f>
        <v>39</v>
      </c>
    </row>
    <row r="80" spans="2:20" x14ac:dyDescent="0.25">
      <c r="B80" t="s">
        <v>463</v>
      </c>
      <c r="C80" t="s">
        <v>464</v>
      </c>
      <c r="D80" s="3">
        <v>2</v>
      </c>
      <c r="E80" s="3">
        <v>1</v>
      </c>
      <c r="F80" s="3">
        <v>0</v>
      </c>
      <c r="G80" s="3">
        <v>5</v>
      </c>
      <c r="H80" s="3">
        <v>5</v>
      </c>
      <c r="I80" s="3">
        <v>1</v>
      </c>
      <c r="J80" s="3">
        <v>3</v>
      </c>
      <c r="K80" s="3">
        <v>2</v>
      </c>
      <c r="L80" s="3">
        <v>7</v>
      </c>
      <c r="M80" s="3">
        <v>3</v>
      </c>
      <c r="N80" s="3">
        <v>1</v>
      </c>
      <c r="O80" s="3">
        <v>2</v>
      </c>
      <c r="P80" s="3">
        <v>2</v>
      </c>
      <c r="Q80" s="3">
        <v>5</v>
      </c>
      <c r="R80" s="3">
        <v>0</v>
      </c>
      <c r="T80">
        <f>SUM(Table1[[#This Row],[DTP Received]:[LPO/ LOA/ SOA Issue Date]])</f>
        <v>39</v>
      </c>
    </row>
    <row r="81" spans="2:20" x14ac:dyDescent="0.25">
      <c r="B81" t="s">
        <v>465</v>
      </c>
      <c r="C81" t="s">
        <v>371</v>
      </c>
      <c r="D81" s="3">
        <v>2</v>
      </c>
      <c r="E81" s="3">
        <v>1</v>
      </c>
      <c r="F81" s="3">
        <v>0</v>
      </c>
      <c r="G81" s="3">
        <v>5</v>
      </c>
      <c r="H81" s="3">
        <v>5</v>
      </c>
      <c r="I81" s="3">
        <v>1</v>
      </c>
      <c r="J81" s="3">
        <v>3</v>
      </c>
      <c r="K81" s="3">
        <v>2</v>
      </c>
      <c r="L81" s="3">
        <v>7</v>
      </c>
      <c r="M81" s="3">
        <v>3</v>
      </c>
      <c r="N81" s="3">
        <v>1</v>
      </c>
      <c r="O81" s="3">
        <v>2</v>
      </c>
      <c r="P81" s="3">
        <v>2</v>
      </c>
      <c r="Q81" s="3">
        <v>5</v>
      </c>
      <c r="R81" s="3">
        <v>0</v>
      </c>
      <c r="T81">
        <f>SUM(Table1[[#This Row],[DTP Received]:[LPO/ LOA/ SOA Issue Date]])</f>
        <v>39</v>
      </c>
    </row>
    <row r="82" spans="2:20" x14ac:dyDescent="0.25">
      <c r="B82" t="s">
        <v>466</v>
      </c>
      <c r="C82" t="s">
        <v>371</v>
      </c>
      <c r="D82" s="3">
        <v>2</v>
      </c>
      <c r="E82" s="3">
        <v>1</v>
      </c>
      <c r="F82" s="3">
        <v>0</v>
      </c>
      <c r="G82" s="3">
        <v>5</v>
      </c>
      <c r="H82" s="3">
        <v>5</v>
      </c>
      <c r="I82" s="3">
        <v>1</v>
      </c>
      <c r="J82" s="3">
        <v>3</v>
      </c>
      <c r="K82" s="3">
        <v>2</v>
      </c>
      <c r="L82" s="3">
        <v>7</v>
      </c>
      <c r="M82" s="3">
        <v>3</v>
      </c>
      <c r="N82" s="3">
        <v>1</v>
      </c>
      <c r="O82" s="3">
        <v>2</v>
      </c>
      <c r="P82" s="3">
        <v>2</v>
      </c>
      <c r="Q82" s="3">
        <v>5</v>
      </c>
      <c r="R82" s="3">
        <v>0</v>
      </c>
      <c r="T82">
        <f>SUM(Table1[[#This Row],[DTP Received]:[LPO/ LOA/ SOA Issue Date]])</f>
        <v>39</v>
      </c>
    </row>
    <row r="83" spans="2:20" x14ac:dyDescent="0.25">
      <c r="B83" t="s">
        <v>467</v>
      </c>
      <c r="C83" t="s">
        <v>371</v>
      </c>
      <c r="D83" s="3">
        <v>2</v>
      </c>
      <c r="E83" s="3">
        <v>1</v>
      </c>
      <c r="F83" s="3">
        <v>0</v>
      </c>
      <c r="G83" s="3">
        <v>5</v>
      </c>
      <c r="H83" s="3">
        <v>5</v>
      </c>
      <c r="I83" s="3">
        <v>1</v>
      </c>
      <c r="J83" s="3">
        <v>3</v>
      </c>
      <c r="K83" s="3">
        <v>2</v>
      </c>
      <c r="L83" s="3">
        <v>7</v>
      </c>
      <c r="M83" s="3">
        <v>3</v>
      </c>
      <c r="N83" s="3">
        <v>1</v>
      </c>
      <c r="O83" s="3">
        <v>2</v>
      </c>
      <c r="P83" s="3">
        <v>2</v>
      </c>
      <c r="Q83" s="3">
        <v>5</v>
      </c>
      <c r="R83" s="3">
        <v>0</v>
      </c>
      <c r="T83">
        <f>SUM(Table1[[#This Row],[DTP Received]:[LPO/ LOA/ SOA Issue Date]])</f>
        <v>39</v>
      </c>
    </row>
    <row r="84" spans="2:20" x14ac:dyDescent="0.25">
      <c r="B84" t="s">
        <v>468</v>
      </c>
      <c r="C84" t="s">
        <v>371</v>
      </c>
      <c r="D84" s="3">
        <v>2</v>
      </c>
      <c r="E84" s="3">
        <v>1</v>
      </c>
      <c r="F84" s="3">
        <v>0</v>
      </c>
      <c r="G84" s="3">
        <v>5</v>
      </c>
      <c r="H84" s="3">
        <v>5</v>
      </c>
      <c r="I84" s="3">
        <v>1</v>
      </c>
      <c r="J84" s="3">
        <v>3</v>
      </c>
      <c r="K84" s="3">
        <v>2</v>
      </c>
      <c r="L84" s="3">
        <v>7</v>
      </c>
      <c r="M84" s="3">
        <v>3</v>
      </c>
      <c r="N84" s="3">
        <v>1</v>
      </c>
      <c r="O84" s="3">
        <v>2</v>
      </c>
      <c r="P84" s="3">
        <v>2</v>
      </c>
      <c r="Q84" s="3">
        <v>5</v>
      </c>
      <c r="R84" s="3">
        <v>0</v>
      </c>
      <c r="T84">
        <f>SUM(Table1[[#This Row],[DTP Received]:[LPO/ LOA/ SOA Issue Date]])</f>
        <v>39</v>
      </c>
    </row>
    <row r="85" spans="2:20" x14ac:dyDescent="0.25">
      <c r="B85" t="s">
        <v>469</v>
      </c>
      <c r="C85" t="s">
        <v>371</v>
      </c>
      <c r="D85" s="3">
        <v>2</v>
      </c>
      <c r="E85" s="3">
        <v>1</v>
      </c>
      <c r="F85" s="3">
        <v>0</v>
      </c>
      <c r="G85" s="3">
        <v>5</v>
      </c>
      <c r="H85" s="3">
        <v>5</v>
      </c>
      <c r="I85" s="3">
        <v>1</v>
      </c>
      <c r="J85" s="3">
        <v>3</v>
      </c>
      <c r="K85" s="3">
        <v>2</v>
      </c>
      <c r="L85" s="3">
        <v>7</v>
      </c>
      <c r="M85" s="3">
        <v>3</v>
      </c>
      <c r="N85" s="3">
        <v>1</v>
      </c>
      <c r="O85" s="3">
        <v>2</v>
      </c>
      <c r="P85" s="3">
        <v>2</v>
      </c>
      <c r="Q85" s="3">
        <v>5</v>
      </c>
      <c r="R85" s="3">
        <v>0</v>
      </c>
      <c r="T85">
        <f>SUM(Table1[[#This Row],[DTP Received]:[LPO/ LOA/ SOA Issue Date]])</f>
        <v>39</v>
      </c>
    </row>
    <row r="86" spans="2:20" x14ac:dyDescent="0.25">
      <c r="B86" t="s">
        <v>470</v>
      </c>
      <c r="C86" t="s">
        <v>371</v>
      </c>
      <c r="D86" s="3">
        <v>2</v>
      </c>
      <c r="E86" s="3">
        <v>1</v>
      </c>
      <c r="F86" s="3">
        <v>0</v>
      </c>
      <c r="G86" s="3">
        <v>5</v>
      </c>
      <c r="H86" s="3">
        <v>5</v>
      </c>
      <c r="I86" s="3">
        <v>1</v>
      </c>
      <c r="J86" s="3">
        <v>3</v>
      </c>
      <c r="K86" s="3">
        <v>2</v>
      </c>
      <c r="L86" s="3">
        <v>7</v>
      </c>
      <c r="M86" s="3">
        <v>3</v>
      </c>
      <c r="N86" s="3">
        <v>1</v>
      </c>
      <c r="O86" s="3">
        <v>2</v>
      </c>
      <c r="P86" s="3">
        <v>2</v>
      </c>
      <c r="Q86" s="3">
        <v>5</v>
      </c>
      <c r="R86" s="3">
        <v>0</v>
      </c>
      <c r="T86">
        <f>SUM(Table1[[#This Row],[DTP Received]:[LPO/ LOA/ SOA Issue Date]])</f>
        <v>39</v>
      </c>
    </row>
    <row r="87" spans="2:20" x14ac:dyDescent="0.25">
      <c r="B87" t="s">
        <v>471</v>
      </c>
      <c r="C87" t="s">
        <v>472</v>
      </c>
      <c r="D87" s="3">
        <v>2</v>
      </c>
      <c r="E87" s="3">
        <v>1</v>
      </c>
      <c r="F87" s="3">
        <v>0</v>
      </c>
      <c r="G87" s="3">
        <v>5</v>
      </c>
      <c r="H87" s="3">
        <v>5</v>
      </c>
      <c r="I87" s="3">
        <v>1</v>
      </c>
      <c r="J87" s="3">
        <v>3</v>
      </c>
      <c r="K87" s="3">
        <v>2</v>
      </c>
      <c r="L87" s="3">
        <v>7</v>
      </c>
      <c r="M87" s="3">
        <v>3</v>
      </c>
      <c r="N87" s="3">
        <v>1</v>
      </c>
      <c r="O87" s="3">
        <v>2</v>
      </c>
      <c r="P87" s="3">
        <v>2</v>
      </c>
      <c r="Q87" s="3">
        <v>5</v>
      </c>
      <c r="R87" s="3">
        <v>0</v>
      </c>
      <c r="T87">
        <f>SUM(Table1[[#This Row],[DTP Received]:[LPO/ LOA/ SOA Issue Date]])</f>
        <v>39</v>
      </c>
    </row>
    <row r="88" spans="2:20" x14ac:dyDescent="0.25">
      <c r="B88" t="s">
        <v>473</v>
      </c>
      <c r="C88" t="s">
        <v>371</v>
      </c>
      <c r="D88" s="3">
        <v>2</v>
      </c>
      <c r="E88" s="3">
        <v>1</v>
      </c>
      <c r="F88" s="3">
        <v>0</v>
      </c>
      <c r="G88" s="3">
        <v>5</v>
      </c>
      <c r="H88" s="3">
        <v>5</v>
      </c>
      <c r="I88" s="3">
        <v>1</v>
      </c>
      <c r="J88" s="3">
        <v>3</v>
      </c>
      <c r="K88" s="3">
        <v>2</v>
      </c>
      <c r="L88" s="3">
        <v>7</v>
      </c>
      <c r="M88" s="3">
        <v>3</v>
      </c>
      <c r="N88" s="3">
        <v>1</v>
      </c>
      <c r="O88" s="3">
        <v>2</v>
      </c>
      <c r="P88" s="3">
        <v>2</v>
      </c>
      <c r="Q88" s="3">
        <v>5</v>
      </c>
      <c r="R88" s="3">
        <v>0</v>
      </c>
      <c r="T88">
        <f>SUM(Table1[[#This Row],[DTP Received]:[LPO/ LOA/ SOA Issue Date]])</f>
        <v>39</v>
      </c>
    </row>
    <row r="89" spans="2:20" x14ac:dyDescent="0.25">
      <c r="B89" t="s">
        <v>474</v>
      </c>
      <c r="C89" t="s">
        <v>371</v>
      </c>
      <c r="D89" s="3">
        <v>2</v>
      </c>
      <c r="E89" s="3">
        <v>1</v>
      </c>
      <c r="F89" s="3">
        <v>0</v>
      </c>
      <c r="G89" s="3">
        <v>5</v>
      </c>
      <c r="H89" s="3">
        <v>5</v>
      </c>
      <c r="I89" s="3">
        <v>1</v>
      </c>
      <c r="J89" s="3">
        <v>3</v>
      </c>
      <c r="K89" s="3">
        <v>2</v>
      </c>
      <c r="L89" s="3">
        <v>7</v>
      </c>
      <c r="M89" s="3">
        <v>3</v>
      </c>
      <c r="N89" s="3">
        <v>1</v>
      </c>
      <c r="O89" s="3">
        <v>2</v>
      </c>
      <c r="P89" s="3">
        <v>2</v>
      </c>
      <c r="Q89" s="3">
        <v>5</v>
      </c>
      <c r="R89" s="3">
        <v>0</v>
      </c>
      <c r="T89">
        <f>SUM(Table1[[#This Row],[DTP Received]:[LPO/ LOA/ SOA Issue Date]])</f>
        <v>39</v>
      </c>
    </row>
    <row r="90" spans="2:20" x14ac:dyDescent="0.25">
      <c r="B90" t="s">
        <v>475</v>
      </c>
      <c r="C90" t="s">
        <v>371</v>
      </c>
      <c r="D90" s="3">
        <v>2</v>
      </c>
      <c r="E90" s="3">
        <v>1</v>
      </c>
      <c r="F90" s="3">
        <v>0</v>
      </c>
      <c r="G90" s="3">
        <v>5</v>
      </c>
      <c r="H90" s="3">
        <v>5</v>
      </c>
      <c r="I90" s="3">
        <v>1</v>
      </c>
      <c r="J90" s="3">
        <v>3</v>
      </c>
      <c r="K90" s="3">
        <v>2</v>
      </c>
      <c r="L90" s="3">
        <v>7</v>
      </c>
      <c r="M90" s="3">
        <v>3</v>
      </c>
      <c r="N90" s="3">
        <v>1</v>
      </c>
      <c r="O90" s="3">
        <v>2</v>
      </c>
      <c r="P90" s="3">
        <v>2</v>
      </c>
      <c r="Q90" s="3">
        <v>5</v>
      </c>
      <c r="R90" s="3">
        <v>0</v>
      </c>
      <c r="T90">
        <f>SUM(Table1[[#This Row],[DTP Received]:[LPO/ LOA/ SOA Issue Date]])</f>
        <v>39</v>
      </c>
    </row>
    <row r="91" spans="2:20" x14ac:dyDescent="0.25">
      <c r="B91" t="s">
        <v>476</v>
      </c>
      <c r="C91" t="s">
        <v>371</v>
      </c>
      <c r="D91" s="3">
        <v>2</v>
      </c>
      <c r="E91" s="3">
        <v>1</v>
      </c>
      <c r="F91" s="3">
        <v>0</v>
      </c>
      <c r="G91" s="3">
        <v>5</v>
      </c>
      <c r="H91" s="3">
        <v>5</v>
      </c>
      <c r="I91" s="3">
        <v>1</v>
      </c>
      <c r="J91" s="3">
        <v>3</v>
      </c>
      <c r="K91" s="3">
        <v>2</v>
      </c>
      <c r="L91" s="3">
        <v>7</v>
      </c>
      <c r="M91" s="3">
        <v>3</v>
      </c>
      <c r="N91" s="3">
        <v>1</v>
      </c>
      <c r="O91" s="3">
        <v>2</v>
      </c>
      <c r="P91" s="3">
        <v>2</v>
      </c>
      <c r="Q91" s="3">
        <v>5</v>
      </c>
      <c r="R91" s="3">
        <v>0</v>
      </c>
      <c r="T91">
        <f>SUM(Table1[[#This Row],[DTP Received]:[LPO/ LOA/ SOA Issue Date]])</f>
        <v>39</v>
      </c>
    </row>
    <row r="92" spans="2:20" x14ac:dyDescent="0.25">
      <c r="B92" t="s">
        <v>477</v>
      </c>
      <c r="C92" t="s">
        <v>371</v>
      </c>
      <c r="D92" s="3">
        <v>2</v>
      </c>
      <c r="E92" s="3">
        <v>1</v>
      </c>
      <c r="F92" s="3">
        <v>0</v>
      </c>
      <c r="G92" s="3">
        <v>5</v>
      </c>
      <c r="H92" s="3">
        <v>5</v>
      </c>
      <c r="I92" s="3">
        <v>1</v>
      </c>
      <c r="J92" s="3">
        <v>3</v>
      </c>
      <c r="K92" s="3">
        <v>2</v>
      </c>
      <c r="L92" s="3">
        <v>7</v>
      </c>
      <c r="M92" s="3">
        <v>3</v>
      </c>
      <c r="N92" s="3">
        <v>1</v>
      </c>
      <c r="O92" s="3">
        <v>2</v>
      </c>
      <c r="P92" s="3">
        <v>2</v>
      </c>
      <c r="Q92" s="3">
        <v>5</v>
      </c>
      <c r="R92" s="3">
        <v>0</v>
      </c>
      <c r="T92">
        <f>SUM(Table1[[#This Row],[DTP Received]:[LPO/ LOA/ SOA Issue Date]])</f>
        <v>39</v>
      </c>
    </row>
    <row r="93" spans="2:20" x14ac:dyDescent="0.25">
      <c r="B93" t="s">
        <v>478</v>
      </c>
      <c r="C93" t="s">
        <v>371</v>
      </c>
      <c r="D93" s="3">
        <v>2</v>
      </c>
      <c r="E93" s="3">
        <v>1</v>
      </c>
      <c r="F93" s="3">
        <v>0</v>
      </c>
      <c r="G93" s="3">
        <v>5</v>
      </c>
      <c r="H93" s="3">
        <v>5</v>
      </c>
      <c r="I93" s="3">
        <v>1</v>
      </c>
      <c r="J93" s="3">
        <v>3</v>
      </c>
      <c r="K93" s="3">
        <v>2</v>
      </c>
      <c r="L93" s="3">
        <v>7</v>
      </c>
      <c r="M93" s="3">
        <v>3</v>
      </c>
      <c r="N93" s="3">
        <v>1</v>
      </c>
      <c r="O93" s="3">
        <v>2</v>
      </c>
      <c r="P93" s="3">
        <v>2</v>
      </c>
      <c r="Q93" s="3">
        <v>5</v>
      </c>
      <c r="R93" s="3">
        <v>0</v>
      </c>
      <c r="T93">
        <f>SUM(Table1[[#This Row],[DTP Received]:[LPO/ LOA/ SOA Issue Date]])</f>
        <v>39</v>
      </c>
    </row>
    <row r="94" spans="2:20" x14ac:dyDescent="0.25">
      <c r="B94" t="s">
        <v>479</v>
      </c>
      <c r="C94" t="s">
        <v>480</v>
      </c>
      <c r="D94" s="3">
        <v>2</v>
      </c>
      <c r="E94" s="3">
        <v>1</v>
      </c>
      <c r="F94" s="3">
        <v>0</v>
      </c>
      <c r="G94" s="3">
        <v>5</v>
      </c>
      <c r="H94" s="3">
        <v>5</v>
      </c>
      <c r="I94" s="3">
        <v>1</v>
      </c>
      <c r="J94" s="3">
        <v>3</v>
      </c>
      <c r="K94" s="3">
        <v>2</v>
      </c>
      <c r="L94" s="3">
        <v>7</v>
      </c>
      <c r="M94" s="3">
        <v>3</v>
      </c>
      <c r="N94" s="3">
        <v>1</v>
      </c>
      <c r="O94" s="3">
        <v>2</v>
      </c>
      <c r="P94" s="3">
        <v>2</v>
      </c>
      <c r="Q94" s="3">
        <v>5</v>
      </c>
      <c r="R94" s="3">
        <v>0</v>
      </c>
      <c r="T94">
        <f>SUM(Table1[[#This Row],[DTP Received]:[LPO/ LOA/ SOA Issue Date]])</f>
        <v>39</v>
      </c>
    </row>
    <row r="95" spans="2:20" x14ac:dyDescent="0.25">
      <c r="B95" t="s">
        <v>481</v>
      </c>
      <c r="C95" t="s">
        <v>482</v>
      </c>
      <c r="D95" s="3">
        <v>2</v>
      </c>
      <c r="E95" s="3">
        <v>1</v>
      </c>
      <c r="F95" s="3">
        <v>0</v>
      </c>
      <c r="G95" s="3">
        <v>5</v>
      </c>
      <c r="H95" s="3">
        <v>5</v>
      </c>
      <c r="I95" s="3">
        <v>1</v>
      </c>
      <c r="J95" s="3">
        <v>3</v>
      </c>
      <c r="K95" s="3">
        <v>2</v>
      </c>
      <c r="L95" s="3">
        <v>7</v>
      </c>
      <c r="M95" s="3">
        <v>3</v>
      </c>
      <c r="N95" s="3">
        <v>1</v>
      </c>
      <c r="O95" s="3">
        <v>2</v>
      </c>
      <c r="P95" s="3">
        <v>2</v>
      </c>
      <c r="Q95" s="3">
        <v>5</v>
      </c>
      <c r="R95" s="3">
        <v>0</v>
      </c>
      <c r="T95">
        <f>SUM(Table1[[#This Row],[DTP Received]:[LPO/ LOA/ SOA Issue Date]])</f>
        <v>39</v>
      </c>
    </row>
    <row r="96" spans="2:20" x14ac:dyDescent="0.25">
      <c r="B96" t="s">
        <v>483</v>
      </c>
      <c r="C96" t="s">
        <v>484</v>
      </c>
      <c r="D96" s="3">
        <v>2</v>
      </c>
      <c r="E96" s="3">
        <v>1</v>
      </c>
      <c r="F96" s="3">
        <v>0</v>
      </c>
      <c r="G96" s="3">
        <v>5</v>
      </c>
      <c r="H96" s="3">
        <v>5</v>
      </c>
      <c r="I96" s="3">
        <v>1</v>
      </c>
      <c r="J96" s="3">
        <v>3</v>
      </c>
      <c r="K96" s="3">
        <v>2</v>
      </c>
      <c r="L96" s="3">
        <v>7</v>
      </c>
      <c r="M96" s="3">
        <v>3</v>
      </c>
      <c r="N96" s="3">
        <v>1</v>
      </c>
      <c r="O96" s="3">
        <v>2</v>
      </c>
      <c r="P96" s="3">
        <v>2</v>
      </c>
      <c r="Q96" s="3">
        <v>5</v>
      </c>
      <c r="R96" s="3">
        <v>0</v>
      </c>
      <c r="T96">
        <f>SUM(Table1[[#This Row],[DTP Received]:[LPO/ LOA/ SOA Issue Date]])</f>
        <v>39</v>
      </c>
    </row>
    <row r="97" spans="2:20" x14ac:dyDescent="0.25">
      <c r="B97" t="s">
        <v>485</v>
      </c>
      <c r="C97" t="s">
        <v>371</v>
      </c>
      <c r="D97" s="3">
        <v>2</v>
      </c>
      <c r="E97" s="3">
        <v>1</v>
      </c>
      <c r="F97" s="3">
        <v>0</v>
      </c>
      <c r="G97" s="3">
        <v>5</v>
      </c>
      <c r="H97" s="3">
        <v>5</v>
      </c>
      <c r="I97" s="3">
        <v>1</v>
      </c>
      <c r="J97" s="3">
        <v>3</v>
      </c>
      <c r="K97" s="3">
        <v>2</v>
      </c>
      <c r="L97" s="3">
        <v>7</v>
      </c>
      <c r="M97" s="3">
        <v>3</v>
      </c>
      <c r="N97" s="3">
        <v>1</v>
      </c>
      <c r="O97" s="3">
        <v>2</v>
      </c>
      <c r="P97" s="3">
        <v>2</v>
      </c>
      <c r="Q97" s="3">
        <v>5</v>
      </c>
      <c r="R97" s="3">
        <v>0</v>
      </c>
      <c r="T97">
        <f>SUM(Table1[[#This Row],[DTP Received]:[LPO/ LOA/ SOA Issue Date]])</f>
        <v>39</v>
      </c>
    </row>
    <row r="98" spans="2:20" x14ac:dyDescent="0.25">
      <c r="B98" t="s">
        <v>486</v>
      </c>
      <c r="C98" t="s">
        <v>371</v>
      </c>
      <c r="D98" s="3">
        <v>2</v>
      </c>
      <c r="E98" s="3">
        <v>1</v>
      </c>
      <c r="F98" s="3">
        <v>0</v>
      </c>
      <c r="G98" s="3">
        <v>5</v>
      </c>
      <c r="H98" s="3">
        <v>5</v>
      </c>
      <c r="I98" s="3">
        <v>1</v>
      </c>
      <c r="J98" s="3">
        <v>3</v>
      </c>
      <c r="K98" s="3">
        <v>2</v>
      </c>
      <c r="L98" s="3">
        <v>7</v>
      </c>
      <c r="M98" s="3">
        <v>3</v>
      </c>
      <c r="N98" s="3">
        <v>1</v>
      </c>
      <c r="O98" s="3">
        <v>2</v>
      </c>
      <c r="P98" s="3">
        <v>2</v>
      </c>
      <c r="Q98" s="3">
        <v>5</v>
      </c>
      <c r="R98" s="3">
        <v>0</v>
      </c>
      <c r="T98">
        <f>SUM(Table1[[#This Row],[DTP Received]:[LPO/ LOA/ SOA Issue Date]])</f>
        <v>39</v>
      </c>
    </row>
    <row r="99" spans="2:20" x14ac:dyDescent="0.25">
      <c r="B99" t="s">
        <v>487</v>
      </c>
      <c r="C99" t="s">
        <v>371</v>
      </c>
      <c r="D99" s="3">
        <v>2</v>
      </c>
      <c r="E99" s="3">
        <v>1</v>
      </c>
      <c r="F99" s="3">
        <v>0</v>
      </c>
      <c r="G99" s="3">
        <v>5</v>
      </c>
      <c r="H99" s="3">
        <v>5</v>
      </c>
      <c r="I99" s="3">
        <v>1</v>
      </c>
      <c r="J99" s="3">
        <v>3</v>
      </c>
      <c r="K99" s="3">
        <v>2</v>
      </c>
      <c r="L99" s="3">
        <v>7</v>
      </c>
      <c r="M99" s="3">
        <v>3</v>
      </c>
      <c r="N99" s="3">
        <v>1</v>
      </c>
      <c r="O99" s="3">
        <v>2</v>
      </c>
      <c r="P99" s="3">
        <v>2</v>
      </c>
      <c r="Q99" s="3">
        <v>5</v>
      </c>
      <c r="R99" s="3">
        <v>0</v>
      </c>
      <c r="T99">
        <f>SUM(Table1[[#This Row],[DTP Received]:[LPO/ LOA/ SOA Issue Date]])</f>
        <v>39</v>
      </c>
    </row>
    <row r="100" spans="2:20" x14ac:dyDescent="0.25">
      <c r="B100" t="s">
        <v>488</v>
      </c>
      <c r="C100" t="s">
        <v>371</v>
      </c>
      <c r="D100" s="3">
        <v>2</v>
      </c>
      <c r="E100" s="3">
        <v>1</v>
      </c>
      <c r="F100" s="3">
        <v>0</v>
      </c>
      <c r="G100" s="3">
        <v>5</v>
      </c>
      <c r="H100" s="3">
        <v>5</v>
      </c>
      <c r="I100" s="3">
        <v>1</v>
      </c>
      <c r="J100" s="3">
        <v>3</v>
      </c>
      <c r="K100" s="3">
        <v>2</v>
      </c>
      <c r="L100" s="3">
        <v>7</v>
      </c>
      <c r="M100" s="3">
        <v>3</v>
      </c>
      <c r="N100" s="3">
        <v>1</v>
      </c>
      <c r="O100" s="3">
        <v>2</v>
      </c>
      <c r="P100" s="3">
        <v>2</v>
      </c>
      <c r="Q100" s="3">
        <v>5</v>
      </c>
      <c r="R100" s="3">
        <v>0</v>
      </c>
      <c r="T100">
        <f>SUM(Table1[[#This Row],[DTP Received]:[LPO/ LOA/ SOA Issue Date]])</f>
        <v>39</v>
      </c>
    </row>
    <row r="101" spans="2:20" x14ac:dyDescent="0.25">
      <c r="B101" t="s">
        <v>489</v>
      </c>
      <c r="C101" t="s">
        <v>371</v>
      </c>
      <c r="D101" s="3">
        <v>2</v>
      </c>
      <c r="E101" s="3">
        <v>1</v>
      </c>
      <c r="F101" s="3">
        <v>0</v>
      </c>
      <c r="G101" s="3">
        <v>5</v>
      </c>
      <c r="H101" s="3">
        <v>5</v>
      </c>
      <c r="I101" s="3">
        <v>1</v>
      </c>
      <c r="J101" s="3">
        <v>3</v>
      </c>
      <c r="K101" s="3">
        <v>2</v>
      </c>
      <c r="L101" s="3">
        <v>7</v>
      </c>
      <c r="M101" s="3">
        <v>3</v>
      </c>
      <c r="N101" s="3">
        <v>1</v>
      </c>
      <c r="O101" s="3">
        <v>2</v>
      </c>
      <c r="P101" s="3">
        <v>2</v>
      </c>
      <c r="Q101" s="3">
        <v>5</v>
      </c>
      <c r="R101" s="3">
        <v>0</v>
      </c>
      <c r="T101">
        <f>SUM(Table1[[#This Row],[DTP Received]:[LPO/ LOA/ SOA Issue Date]])</f>
        <v>39</v>
      </c>
    </row>
    <row r="102" spans="2:20" x14ac:dyDescent="0.25">
      <c r="B102" t="s">
        <v>490</v>
      </c>
      <c r="C102" t="s">
        <v>371</v>
      </c>
      <c r="D102" s="3">
        <v>2</v>
      </c>
      <c r="E102" s="3">
        <v>1</v>
      </c>
      <c r="F102" s="3">
        <v>0</v>
      </c>
      <c r="G102" s="3">
        <v>5</v>
      </c>
      <c r="H102" s="3">
        <v>5</v>
      </c>
      <c r="I102" s="3">
        <v>1</v>
      </c>
      <c r="J102" s="3">
        <v>3</v>
      </c>
      <c r="K102" s="3">
        <v>2</v>
      </c>
      <c r="L102" s="3">
        <v>7</v>
      </c>
      <c r="M102" s="3">
        <v>3</v>
      </c>
      <c r="N102" s="3">
        <v>1</v>
      </c>
      <c r="O102" s="3">
        <v>2</v>
      </c>
      <c r="P102" s="3">
        <v>2</v>
      </c>
      <c r="Q102" s="3">
        <v>5</v>
      </c>
      <c r="R102" s="3">
        <v>0</v>
      </c>
      <c r="T102">
        <f>SUM(Table1[[#This Row],[DTP Received]:[LPO/ LOA/ SOA Issue Date]])</f>
        <v>39</v>
      </c>
    </row>
    <row r="103" spans="2:20" x14ac:dyDescent="0.25">
      <c r="B103" t="s">
        <v>491</v>
      </c>
      <c r="C103" t="s">
        <v>492</v>
      </c>
      <c r="D103" s="3">
        <v>2</v>
      </c>
      <c r="E103" s="3">
        <v>1</v>
      </c>
      <c r="F103" s="3">
        <v>0</v>
      </c>
      <c r="G103" s="3">
        <v>10</v>
      </c>
      <c r="H103" s="3">
        <v>5</v>
      </c>
      <c r="I103" s="3">
        <v>1</v>
      </c>
      <c r="J103" s="3">
        <v>3</v>
      </c>
      <c r="K103" s="3">
        <v>2</v>
      </c>
      <c r="L103" s="3">
        <v>3</v>
      </c>
      <c r="M103" s="3">
        <v>3</v>
      </c>
      <c r="N103" s="3">
        <v>1</v>
      </c>
      <c r="O103" s="3">
        <v>2</v>
      </c>
      <c r="P103" s="3">
        <v>2</v>
      </c>
      <c r="Q103" s="3">
        <v>5</v>
      </c>
      <c r="R103" s="3">
        <v>0</v>
      </c>
      <c r="T103">
        <f>SUM(Table1[[#This Row],[DTP Received]:[LPO/ LOA/ SOA Issue Date]])</f>
        <v>40</v>
      </c>
    </row>
    <row r="104" spans="2:20" x14ac:dyDescent="0.25">
      <c r="B104" t="s">
        <v>493</v>
      </c>
      <c r="C104" t="s">
        <v>494</v>
      </c>
      <c r="D104" s="3">
        <v>2</v>
      </c>
      <c r="E104" s="3">
        <v>1</v>
      </c>
      <c r="F104" s="3">
        <v>0</v>
      </c>
      <c r="G104" s="3">
        <v>10</v>
      </c>
      <c r="H104" s="3">
        <v>5</v>
      </c>
      <c r="I104" s="3">
        <v>1</v>
      </c>
      <c r="J104" s="3">
        <v>3</v>
      </c>
      <c r="K104" s="3">
        <v>2</v>
      </c>
      <c r="L104" s="3">
        <v>3</v>
      </c>
      <c r="M104" s="3">
        <v>3</v>
      </c>
      <c r="N104" s="3">
        <v>1</v>
      </c>
      <c r="O104" s="3">
        <v>2</v>
      </c>
      <c r="P104" s="3">
        <v>2</v>
      </c>
      <c r="Q104" s="3">
        <v>5</v>
      </c>
      <c r="R104" s="3">
        <v>0</v>
      </c>
      <c r="T104">
        <f>SUM(Table1[[#This Row],[DTP Received]:[LPO/ LOA/ SOA Issue Date]])</f>
        <v>40</v>
      </c>
    </row>
    <row r="105" spans="2:20" x14ac:dyDescent="0.25">
      <c r="B105" t="s">
        <v>495</v>
      </c>
      <c r="C105" t="s">
        <v>496</v>
      </c>
      <c r="D105" s="3">
        <v>2</v>
      </c>
      <c r="E105" s="3">
        <v>1</v>
      </c>
      <c r="F105" s="3">
        <v>0</v>
      </c>
      <c r="G105" s="3">
        <v>10</v>
      </c>
      <c r="H105" s="3">
        <v>5</v>
      </c>
      <c r="I105" s="3">
        <v>1</v>
      </c>
      <c r="J105" s="3">
        <v>3</v>
      </c>
      <c r="K105" s="3">
        <v>2</v>
      </c>
      <c r="L105" s="3">
        <v>3</v>
      </c>
      <c r="M105" s="3">
        <v>3</v>
      </c>
      <c r="N105" s="3">
        <v>1</v>
      </c>
      <c r="O105" s="3">
        <v>2</v>
      </c>
      <c r="P105" s="3">
        <v>2</v>
      </c>
      <c r="Q105" s="3">
        <v>5</v>
      </c>
      <c r="R105" s="3">
        <v>0</v>
      </c>
      <c r="T105">
        <f>SUM(Table1[[#This Row],[DTP Received]:[LPO/ LOA/ SOA Issue Date]])</f>
        <v>40</v>
      </c>
    </row>
    <row r="106" spans="2:20" x14ac:dyDescent="0.25">
      <c r="B106" t="s">
        <v>497</v>
      </c>
      <c r="C106" t="s">
        <v>498</v>
      </c>
      <c r="D106" s="3">
        <v>2</v>
      </c>
      <c r="E106" s="3">
        <v>1</v>
      </c>
      <c r="F106" s="3">
        <v>0</v>
      </c>
      <c r="G106" s="3">
        <v>7</v>
      </c>
      <c r="H106" s="3">
        <v>5</v>
      </c>
      <c r="I106" s="3">
        <v>1</v>
      </c>
      <c r="J106" s="3">
        <v>3</v>
      </c>
      <c r="K106" s="3">
        <v>2</v>
      </c>
      <c r="L106" s="3">
        <v>3</v>
      </c>
      <c r="M106" s="3">
        <v>3</v>
      </c>
      <c r="N106" s="3">
        <v>1</v>
      </c>
      <c r="O106" s="3">
        <v>2</v>
      </c>
      <c r="P106" s="3">
        <v>2</v>
      </c>
      <c r="Q106" s="3">
        <v>5</v>
      </c>
      <c r="R106" s="3">
        <v>0</v>
      </c>
      <c r="T106">
        <f>SUM(Table1[[#This Row],[DTP Received]:[LPO/ LOA/ SOA Issue Date]])</f>
        <v>37</v>
      </c>
    </row>
    <row r="107" spans="2:20" x14ac:dyDescent="0.25">
      <c r="B107" t="s">
        <v>499</v>
      </c>
      <c r="C107" t="s">
        <v>371</v>
      </c>
      <c r="D107" s="3">
        <v>2</v>
      </c>
      <c r="E107" s="3">
        <v>1</v>
      </c>
      <c r="F107" s="3">
        <v>0</v>
      </c>
      <c r="G107" s="3">
        <v>5</v>
      </c>
      <c r="H107" s="3">
        <v>5</v>
      </c>
      <c r="I107" s="3">
        <v>1</v>
      </c>
      <c r="J107" s="3">
        <v>3</v>
      </c>
      <c r="K107" s="3">
        <v>2</v>
      </c>
      <c r="L107" s="3">
        <v>7</v>
      </c>
      <c r="M107" s="3">
        <v>3</v>
      </c>
      <c r="N107" s="3">
        <v>1</v>
      </c>
      <c r="O107" s="3">
        <v>2</v>
      </c>
      <c r="P107" s="3">
        <v>2</v>
      </c>
      <c r="Q107" s="3">
        <v>5</v>
      </c>
      <c r="R107" s="3">
        <v>0</v>
      </c>
      <c r="T107">
        <f>SUM(Table1[[#This Row],[DTP Received]:[LPO/ LOA/ SOA Issue Date]])</f>
        <v>39</v>
      </c>
    </row>
    <row r="108" spans="2:20" x14ac:dyDescent="0.25">
      <c r="B108" t="s">
        <v>500</v>
      </c>
      <c r="C108" t="s">
        <v>371</v>
      </c>
      <c r="D108" s="3">
        <v>2</v>
      </c>
      <c r="E108" s="3">
        <v>1</v>
      </c>
      <c r="F108" s="3">
        <v>0</v>
      </c>
      <c r="G108" s="3">
        <v>5</v>
      </c>
      <c r="H108" s="3">
        <v>5</v>
      </c>
      <c r="I108" s="3">
        <v>1</v>
      </c>
      <c r="J108" s="3">
        <v>3</v>
      </c>
      <c r="K108" s="3">
        <v>2</v>
      </c>
      <c r="L108" s="3">
        <v>7</v>
      </c>
      <c r="M108" s="3">
        <v>3</v>
      </c>
      <c r="N108" s="3">
        <v>1</v>
      </c>
      <c r="O108" s="3">
        <v>2</v>
      </c>
      <c r="P108" s="3">
        <v>2</v>
      </c>
      <c r="Q108" s="3">
        <v>5</v>
      </c>
      <c r="R108" s="3">
        <v>0</v>
      </c>
      <c r="T108">
        <f>SUM(Table1[[#This Row],[DTP Received]:[LPO/ LOA/ SOA Issue Date]])</f>
        <v>39</v>
      </c>
    </row>
    <row r="109" spans="2:20" x14ac:dyDescent="0.25">
      <c r="B109" t="s">
        <v>501</v>
      </c>
      <c r="C109" t="s">
        <v>371</v>
      </c>
      <c r="D109" s="3">
        <v>2</v>
      </c>
      <c r="E109" s="3">
        <v>1</v>
      </c>
      <c r="F109" s="3">
        <v>0</v>
      </c>
      <c r="G109" s="3">
        <v>5</v>
      </c>
      <c r="H109" s="3">
        <v>5</v>
      </c>
      <c r="I109" s="3">
        <v>1</v>
      </c>
      <c r="J109" s="3">
        <v>3</v>
      </c>
      <c r="K109" s="3">
        <v>2</v>
      </c>
      <c r="L109" s="3">
        <v>7</v>
      </c>
      <c r="M109" s="3">
        <v>3</v>
      </c>
      <c r="N109" s="3">
        <v>1</v>
      </c>
      <c r="O109" s="3">
        <v>2</v>
      </c>
      <c r="P109" s="3">
        <v>2</v>
      </c>
      <c r="Q109" s="3">
        <v>5</v>
      </c>
      <c r="R109" s="3">
        <v>0</v>
      </c>
      <c r="T109">
        <f>SUM(Table1[[#This Row],[DTP Received]:[LPO/ LOA/ SOA Issue Date]])</f>
        <v>39</v>
      </c>
    </row>
    <row r="110" spans="2:20" x14ac:dyDescent="0.25">
      <c r="B110" t="s">
        <v>502</v>
      </c>
      <c r="C110" t="s">
        <v>371</v>
      </c>
      <c r="D110" s="3">
        <v>2</v>
      </c>
      <c r="E110" s="3">
        <v>1</v>
      </c>
      <c r="F110" s="3">
        <v>0</v>
      </c>
      <c r="G110" s="3">
        <v>5</v>
      </c>
      <c r="H110" s="3">
        <v>5</v>
      </c>
      <c r="I110" s="3">
        <v>1</v>
      </c>
      <c r="J110" s="3">
        <v>3</v>
      </c>
      <c r="K110" s="3">
        <v>2</v>
      </c>
      <c r="L110" s="3">
        <v>7</v>
      </c>
      <c r="M110" s="3">
        <v>3</v>
      </c>
      <c r="N110" s="3">
        <v>1</v>
      </c>
      <c r="O110" s="3">
        <v>2</v>
      </c>
      <c r="P110" s="3">
        <v>2</v>
      </c>
      <c r="Q110" s="3">
        <v>5</v>
      </c>
      <c r="R110" s="3">
        <v>0</v>
      </c>
      <c r="T110">
        <f>SUM(Table1[[#This Row],[DTP Received]:[LPO/ LOA/ SOA Issue Date]])</f>
        <v>39</v>
      </c>
    </row>
    <row r="111" spans="2:20" x14ac:dyDescent="0.25">
      <c r="B111" t="s">
        <v>503</v>
      </c>
      <c r="C111" t="s">
        <v>371</v>
      </c>
      <c r="D111" s="3">
        <v>2</v>
      </c>
      <c r="E111" s="3">
        <v>1</v>
      </c>
      <c r="F111" s="3">
        <v>0</v>
      </c>
      <c r="G111" s="3">
        <v>5</v>
      </c>
      <c r="H111" s="3">
        <v>5</v>
      </c>
      <c r="I111" s="3">
        <v>1</v>
      </c>
      <c r="J111" s="3">
        <v>3</v>
      </c>
      <c r="K111" s="3">
        <v>2</v>
      </c>
      <c r="L111" s="3">
        <v>7</v>
      </c>
      <c r="M111" s="3">
        <v>3</v>
      </c>
      <c r="N111" s="3">
        <v>1</v>
      </c>
      <c r="O111" s="3">
        <v>2</v>
      </c>
      <c r="P111" s="3">
        <v>2</v>
      </c>
      <c r="Q111" s="3">
        <v>5</v>
      </c>
      <c r="R111" s="3">
        <v>0</v>
      </c>
      <c r="T111">
        <f>SUM(Table1[[#This Row],[DTP Received]:[LPO/ LOA/ SOA Issue Date]])</f>
        <v>39</v>
      </c>
    </row>
    <row r="112" spans="2:20" x14ac:dyDescent="0.25">
      <c r="B112" t="s">
        <v>504</v>
      </c>
      <c r="C112" t="s">
        <v>371</v>
      </c>
      <c r="D112" s="3">
        <v>2</v>
      </c>
      <c r="E112" s="3">
        <v>1</v>
      </c>
      <c r="F112" s="3">
        <v>0</v>
      </c>
      <c r="G112" s="3">
        <v>5</v>
      </c>
      <c r="H112" s="3">
        <v>5</v>
      </c>
      <c r="I112" s="3">
        <v>1</v>
      </c>
      <c r="J112" s="3">
        <v>3</v>
      </c>
      <c r="K112" s="3">
        <v>2</v>
      </c>
      <c r="L112" s="3">
        <v>7</v>
      </c>
      <c r="M112" s="3">
        <v>3</v>
      </c>
      <c r="N112" s="3">
        <v>1</v>
      </c>
      <c r="O112" s="3">
        <v>2</v>
      </c>
      <c r="P112" s="3">
        <v>2</v>
      </c>
      <c r="Q112" s="3">
        <v>5</v>
      </c>
      <c r="R112" s="3">
        <v>0</v>
      </c>
      <c r="T112">
        <f>SUM(Table1[[#This Row],[DTP Received]:[LPO/ LOA/ SOA Issue Date]])</f>
        <v>39</v>
      </c>
    </row>
    <row r="113" spans="2:20" x14ac:dyDescent="0.25">
      <c r="B113" t="s">
        <v>505</v>
      </c>
      <c r="C113" t="s">
        <v>506</v>
      </c>
      <c r="D113" s="3">
        <v>2</v>
      </c>
      <c r="E113" s="3">
        <v>1</v>
      </c>
      <c r="F113" s="3">
        <v>0</v>
      </c>
      <c r="G113" s="3">
        <v>5</v>
      </c>
      <c r="H113" s="3">
        <v>5</v>
      </c>
      <c r="I113" s="3">
        <v>1</v>
      </c>
      <c r="J113" s="3">
        <v>3</v>
      </c>
      <c r="K113" s="3">
        <v>2</v>
      </c>
      <c r="L113" s="3">
        <v>7</v>
      </c>
      <c r="M113" s="3">
        <v>3</v>
      </c>
      <c r="N113" s="3">
        <v>1</v>
      </c>
      <c r="O113" s="3">
        <v>2</v>
      </c>
      <c r="P113" s="3">
        <v>2</v>
      </c>
      <c r="Q113" s="3">
        <v>5</v>
      </c>
      <c r="R113" s="3">
        <v>0</v>
      </c>
      <c r="T113">
        <f>SUM(Table1[[#This Row],[DTP Received]:[LPO/ LOA/ SOA Issue Date]])</f>
        <v>39</v>
      </c>
    </row>
    <row r="114" spans="2:20" x14ac:dyDescent="0.25">
      <c r="B114" t="s">
        <v>507</v>
      </c>
      <c r="C114" t="s">
        <v>508</v>
      </c>
      <c r="D114" s="3">
        <v>2</v>
      </c>
      <c r="E114" s="3">
        <v>1</v>
      </c>
      <c r="F114" s="3">
        <v>0</v>
      </c>
      <c r="G114" s="3">
        <v>5</v>
      </c>
      <c r="H114" s="3">
        <v>5</v>
      </c>
      <c r="I114" s="3">
        <v>1</v>
      </c>
      <c r="J114" s="3">
        <v>3</v>
      </c>
      <c r="K114" s="3">
        <v>2</v>
      </c>
      <c r="L114" s="3">
        <v>7</v>
      </c>
      <c r="M114" s="3">
        <v>3</v>
      </c>
      <c r="N114" s="3">
        <v>1</v>
      </c>
      <c r="O114" s="3">
        <v>2</v>
      </c>
      <c r="P114" s="3">
        <v>2</v>
      </c>
      <c r="Q114" s="3">
        <v>5</v>
      </c>
      <c r="R114" s="3">
        <v>0</v>
      </c>
      <c r="T114">
        <f>SUM(Table1[[#This Row],[DTP Received]:[LPO/ LOA/ SOA Issue Date]])</f>
        <v>39</v>
      </c>
    </row>
    <row r="115" spans="2:20" x14ac:dyDescent="0.25">
      <c r="B115" t="s">
        <v>509</v>
      </c>
      <c r="C115" t="s">
        <v>510</v>
      </c>
      <c r="D115" s="3">
        <v>2</v>
      </c>
      <c r="E115" s="3">
        <v>1</v>
      </c>
      <c r="F115" s="3">
        <v>0</v>
      </c>
      <c r="G115" s="3">
        <v>5</v>
      </c>
      <c r="H115" s="3">
        <v>5</v>
      </c>
      <c r="I115" s="3">
        <v>1</v>
      </c>
      <c r="J115" s="3">
        <v>3</v>
      </c>
      <c r="K115" s="3">
        <v>2</v>
      </c>
      <c r="L115" s="3">
        <v>7</v>
      </c>
      <c r="M115" s="3">
        <v>3</v>
      </c>
      <c r="N115" s="3">
        <v>1</v>
      </c>
      <c r="O115" s="3">
        <v>2</v>
      </c>
      <c r="P115" s="3">
        <v>2</v>
      </c>
      <c r="Q115" s="3">
        <v>5</v>
      </c>
      <c r="R115" s="3">
        <v>0</v>
      </c>
      <c r="T115">
        <f>SUM(Table1[[#This Row],[DTP Received]:[LPO/ LOA/ SOA Issue Date]])</f>
        <v>39</v>
      </c>
    </row>
    <row r="116" spans="2:20" x14ac:dyDescent="0.25">
      <c r="B116" t="s">
        <v>511</v>
      </c>
      <c r="C116" t="s">
        <v>371</v>
      </c>
      <c r="D116" s="3">
        <v>2</v>
      </c>
      <c r="E116" s="3">
        <v>1</v>
      </c>
      <c r="F116" s="3">
        <v>0</v>
      </c>
      <c r="G116" s="3">
        <v>5</v>
      </c>
      <c r="H116" s="3">
        <v>5</v>
      </c>
      <c r="I116" s="3">
        <v>1</v>
      </c>
      <c r="J116" s="3">
        <v>3</v>
      </c>
      <c r="K116" s="3">
        <v>2</v>
      </c>
      <c r="L116" s="3">
        <v>7</v>
      </c>
      <c r="M116" s="3">
        <v>3</v>
      </c>
      <c r="N116" s="3">
        <v>1</v>
      </c>
      <c r="O116" s="3">
        <v>2</v>
      </c>
      <c r="P116" s="3">
        <v>2</v>
      </c>
      <c r="Q116" s="3">
        <v>5</v>
      </c>
      <c r="R116" s="3">
        <v>0</v>
      </c>
      <c r="T116">
        <f>SUM(Table1[[#This Row],[DTP Received]:[LPO/ LOA/ SOA Issue Date]])</f>
        <v>39</v>
      </c>
    </row>
    <row r="117" spans="2:20" x14ac:dyDescent="0.25">
      <c r="B117" t="s">
        <v>512</v>
      </c>
      <c r="C117" t="s">
        <v>371</v>
      </c>
      <c r="D117" s="3">
        <v>2</v>
      </c>
      <c r="E117" s="3">
        <v>1</v>
      </c>
      <c r="F117" s="3">
        <v>0</v>
      </c>
      <c r="G117" s="3">
        <v>5</v>
      </c>
      <c r="H117" s="3">
        <v>5</v>
      </c>
      <c r="I117" s="3">
        <v>1</v>
      </c>
      <c r="J117" s="3">
        <v>3</v>
      </c>
      <c r="K117" s="3">
        <v>2</v>
      </c>
      <c r="L117" s="3">
        <v>7</v>
      </c>
      <c r="M117" s="3">
        <v>3</v>
      </c>
      <c r="N117" s="3">
        <v>1</v>
      </c>
      <c r="O117" s="3">
        <v>2</v>
      </c>
      <c r="P117" s="3">
        <v>2</v>
      </c>
      <c r="Q117" s="3">
        <v>5</v>
      </c>
      <c r="R117" s="3">
        <v>0</v>
      </c>
      <c r="T117">
        <f>SUM(Table1[[#This Row],[DTP Received]:[LPO/ LOA/ SOA Issue Date]])</f>
        <v>39</v>
      </c>
    </row>
    <row r="118" spans="2:20" x14ac:dyDescent="0.25">
      <c r="B118" t="s">
        <v>513</v>
      </c>
      <c r="C118" t="s">
        <v>371</v>
      </c>
      <c r="D118" s="3">
        <v>2</v>
      </c>
      <c r="E118" s="3">
        <v>1</v>
      </c>
      <c r="F118" s="3">
        <v>0</v>
      </c>
      <c r="G118" s="3">
        <v>5</v>
      </c>
      <c r="H118" s="3">
        <v>5</v>
      </c>
      <c r="I118" s="3">
        <v>1</v>
      </c>
      <c r="J118" s="3">
        <v>3</v>
      </c>
      <c r="K118" s="3">
        <v>2</v>
      </c>
      <c r="L118" s="3">
        <v>7</v>
      </c>
      <c r="M118" s="3">
        <v>3</v>
      </c>
      <c r="N118" s="3">
        <v>1</v>
      </c>
      <c r="O118" s="3">
        <v>2</v>
      </c>
      <c r="P118" s="3">
        <v>2</v>
      </c>
      <c r="Q118" s="3">
        <v>5</v>
      </c>
      <c r="R118" s="3">
        <v>0</v>
      </c>
      <c r="T118">
        <f>SUM(Table1[[#This Row],[DTP Received]:[LPO/ LOA/ SOA Issue Date]])</f>
        <v>39</v>
      </c>
    </row>
    <row r="119" spans="2:20" x14ac:dyDescent="0.25">
      <c r="B119" t="s">
        <v>514</v>
      </c>
      <c r="C119" t="s">
        <v>371</v>
      </c>
      <c r="D119" s="3">
        <v>2</v>
      </c>
      <c r="E119" s="3">
        <v>1</v>
      </c>
      <c r="F119" s="3">
        <v>0</v>
      </c>
      <c r="G119" s="3">
        <v>5</v>
      </c>
      <c r="H119" s="3">
        <v>5</v>
      </c>
      <c r="I119" s="3">
        <v>1</v>
      </c>
      <c r="J119" s="3">
        <v>3</v>
      </c>
      <c r="K119" s="3">
        <v>2</v>
      </c>
      <c r="L119" s="3">
        <v>7</v>
      </c>
      <c r="M119" s="3">
        <v>3</v>
      </c>
      <c r="N119" s="3">
        <v>1</v>
      </c>
      <c r="O119" s="3">
        <v>2</v>
      </c>
      <c r="P119" s="3">
        <v>2</v>
      </c>
      <c r="Q119" s="3">
        <v>5</v>
      </c>
      <c r="R119" s="3">
        <v>0</v>
      </c>
      <c r="T119">
        <f>SUM(Table1[[#This Row],[DTP Received]:[LPO/ LOA/ SOA Issue Date]])</f>
        <v>39</v>
      </c>
    </row>
    <row r="120" spans="2:20" x14ac:dyDescent="0.25">
      <c r="B120" t="s">
        <v>515</v>
      </c>
      <c r="C120" t="s">
        <v>371</v>
      </c>
      <c r="D120" s="3">
        <v>2</v>
      </c>
      <c r="E120" s="3">
        <v>1</v>
      </c>
      <c r="F120" s="3">
        <v>0</v>
      </c>
      <c r="G120" s="3">
        <v>5</v>
      </c>
      <c r="H120" s="3">
        <v>5</v>
      </c>
      <c r="I120" s="3">
        <v>1</v>
      </c>
      <c r="J120" s="3">
        <v>3</v>
      </c>
      <c r="K120" s="3">
        <v>2</v>
      </c>
      <c r="L120" s="3">
        <v>7</v>
      </c>
      <c r="M120" s="3">
        <v>3</v>
      </c>
      <c r="N120" s="3">
        <v>1</v>
      </c>
      <c r="O120" s="3">
        <v>2</v>
      </c>
      <c r="P120" s="3">
        <v>2</v>
      </c>
      <c r="Q120" s="3">
        <v>5</v>
      </c>
      <c r="R120" s="3">
        <v>0</v>
      </c>
      <c r="T120">
        <f>SUM(Table1[[#This Row],[DTP Received]:[LPO/ LOA/ SOA Issue Date]])</f>
        <v>39</v>
      </c>
    </row>
    <row r="121" spans="2:20" x14ac:dyDescent="0.25">
      <c r="B121" t="s">
        <v>516</v>
      </c>
      <c r="C121" t="s">
        <v>371</v>
      </c>
      <c r="D121" s="3">
        <v>2</v>
      </c>
      <c r="E121" s="3">
        <v>1</v>
      </c>
      <c r="F121" s="3">
        <v>0</v>
      </c>
      <c r="G121" s="3">
        <v>5</v>
      </c>
      <c r="H121" s="3">
        <v>5</v>
      </c>
      <c r="I121" s="3">
        <v>1</v>
      </c>
      <c r="J121" s="3">
        <v>3</v>
      </c>
      <c r="K121" s="3">
        <v>2</v>
      </c>
      <c r="L121" s="3">
        <v>7</v>
      </c>
      <c r="M121" s="3">
        <v>3</v>
      </c>
      <c r="N121" s="3">
        <v>1</v>
      </c>
      <c r="O121" s="3">
        <v>2</v>
      </c>
      <c r="P121" s="3">
        <v>2</v>
      </c>
      <c r="Q121" s="3">
        <v>5</v>
      </c>
      <c r="R121" s="3">
        <v>0</v>
      </c>
      <c r="T121">
        <f>SUM(Table1[[#This Row],[DTP Received]:[LPO/ LOA/ SOA Issue Date]])</f>
        <v>39</v>
      </c>
    </row>
    <row r="122" spans="2:20" x14ac:dyDescent="0.25">
      <c r="B122" t="s">
        <v>517</v>
      </c>
      <c r="C122" t="s">
        <v>518</v>
      </c>
      <c r="D122" s="3">
        <v>2</v>
      </c>
      <c r="E122" s="3">
        <v>1</v>
      </c>
      <c r="F122" s="3">
        <v>0</v>
      </c>
      <c r="G122" s="3">
        <v>3</v>
      </c>
      <c r="H122" s="3">
        <v>2</v>
      </c>
      <c r="I122" s="3">
        <v>1</v>
      </c>
      <c r="J122" s="3">
        <v>3</v>
      </c>
      <c r="K122" s="3">
        <v>2</v>
      </c>
      <c r="L122" s="3">
        <v>2</v>
      </c>
      <c r="M122" s="3">
        <v>1</v>
      </c>
      <c r="N122" s="3">
        <v>1</v>
      </c>
      <c r="O122" s="3">
        <v>2</v>
      </c>
      <c r="P122" s="3">
        <v>2</v>
      </c>
      <c r="Q122" s="3">
        <v>5</v>
      </c>
      <c r="R122" s="3">
        <v>0</v>
      </c>
      <c r="T122">
        <f>SUM(Table1[[#This Row],[DTP Received]:[LPO/ LOA/ SOA Issue Date]])</f>
        <v>27</v>
      </c>
    </row>
    <row r="123" spans="2:20" x14ac:dyDescent="0.25">
      <c r="B123" t="s">
        <v>519</v>
      </c>
      <c r="C123" t="s">
        <v>520</v>
      </c>
      <c r="D123" s="3">
        <v>2</v>
      </c>
      <c r="E123" s="3">
        <v>1</v>
      </c>
      <c r="F123" s="3">
        <v>0</v>
      </c>
      <c r="G123" s="3">
        <v>5</v>
      </c>
      <c r="H123" s="3">
        <v>5</v>
      </c>
      <c r="I123" s="3">
        <v>1</v>
      </c>
      <c r="J123" s="3">
        <v>3</v>
      </c>
      <c r="K123" s="3">
        <v>2</v>
      </c>
      <c r="L123" s="3">
        <v>7</v>
      </c>
      <c r="M123" s="3">
        <v>3</v>
      </c>
      <c r="N123" s="3">
        <v>1</v>
      </c>
      <c r="O123" s="3">
        <v>2</v>
      </c>
      <c r="P123" s="3">
        <v>2</v>
      </c>
      <c r="Q123" s="3">
        <v>5</v>
      </c>
      <c r="R123" s="3">
        <v>0</v>
      </c>
      <c r="T123">
        <f>SUM(Table1[[#This Row],[DTP Received]:[LPO/ LOA/ SOA Issue Date]])</f>
        <v>39</v>
      </c>
    </row>
    <row r="124" spans="2:20" x14ac:dyDescent="0.25">
      <c r="B124" t="s">
        <v>521</v>
      </c>
      <c r="C124" t="s">
        <v>522</v>
      </c>
      <c r="D124" s="3">
        <v>2</v>
      </c>
      <c r="E124" s="3">
        <v>1</v>
      </c>
      <c r="F124" s="3">
        <v>0</v>
      </c>
      <c r="G124" s="3">
        <v>5</v>
      </c>
      <c r="H124" s="3">
        <v>5</v>
      </c>
      <c r="I124" s="3">
        <v>1</v>
      </c>
      <c r="J124" s="3">
        <v>3</v>
      </c>
      <c r="K124" s="3">
        <v>2</v>
      </c>
      <c r="L124" s="3">
        <v>7</v>
      </c>
      <c r="M124" s="3">
        <v>3</v>
      </c>
      <c r="N124" s="3">
        <v>1</v>
      </c>
      <c r="O124" s="3">
        <v>2</v>
      </c>
      <c r="P124" s="3">
        <v>2</v>
      </c>
      <c r="Q124" s="3">
        <v>5</v>
      </c>
      <c r="R124" s="3">
        <v>0</v>
      </c>
      <c r="T124">
        <f>SUM(Table1[[#This Row],[DTP Received]:[LPO/ LOA/ SOA Issue Date]])</f>
        <v>39</v>
      </c>
    </row>
    <row r="125" spans="2:20" x14ac:dyDescent="0.25">
      <c r="B125" t="s">
        <v>523</v>
      </c>
      <c r="C125" t="s">
        <v>524</v>
      </c>
      <c r="D125" s="3">
        <v>2</v>
      </c>
      <c r="E125" s="3">
        <v>1</v>
      </c>
      <c r="F125" s="3">
        <v>0</v>
      </c>
      <c r="G125" s="3">
        <v>5</v>
      </c>
      <c r="H125" s="3">
        <v>5</v>
      </c>
      <c r="I125" s="3">
        <v>1</v>
      </c>
      <c r="J125" s="3">
        <v>3</v>
      </c>
      <c r="K125" s="3">
        <v>2</v>
      </c>
      <c r="L125" s="3">
        <v>7</v>
      </c>
      <c r="M125" s="3">
        <v>3</v>
      </c>
      <c r="N125" s="3">
        <v>1</v>
      </c>
      <c r="O125" s="3">
        <v>2</v>
      </c>
      <c r="P125" s="3">
        <v>2</v>
      </c>
      <c r="Q125" s="3">
        <v>5</v>
      </c>
      <c r="R125" s="3">
        <v>0</v>
      </c>
      <c r="T125">
        <f>SUM(Table1[[#This Row],[DTP Received]:[LPO/ LOA/ SOA Issue Date]])</f>
        <v>39</v>
      </c>
    </row>
    <row r="126" spans="2:20" x14ac:dyDescent="0.25">
      <c r="B126" t="s">
        <v>525</v>
      </c>
      <c r="C126" t="s">
        <v>526</v>
      </c>
      <c r="D126" s="3">
        <v>2</v>
      </c>
      <c r="E126" s="3">
        <v>1</v>
      </c>
      <c r="F126" s="3">
        <v>0</v>
      </c>
      <c r="G126" s="3">
        <v>5</v>
      </c>
      <c r="H126" s="3">
        <v>5</v>
      </c>
      <c r="I126" s="3">
        <v>1</v>
      </c>
      <c r="J126" s="3">
        <v>3</v>
      </c>
      <c r="K126" s="3">
        <v>2</v>
      </c>
      <c r="L126" s="3">
        <v>7</v>
      </c>
      <c r="M126" s="3">
        <v>3</v>
      </c>
      <c r="N126" s="3">
        <v>1</v>
      </c>
      <c r="O126" s="3">
        <v>2</v>
      </c>
      <c r="P126" s="3">
        <v>2</v>
      </c>
      <c r="Q126" s="3">
        <v>5</v>
      </c>
      <c r="R126" s="3">
        <v>0</v>
      </c>
      <c r="T126">
        <f>SUM(Table1[[#This Row],[DTP Received]:[LPO/ LOA/ SOA Issue Date]])</f>
        <v>39</v>
      </c>
    </row>
    <row r="127" spans="2:20" x14ac:dyDescent="0.25">
      <c r="B127" t="s">
        <v>527</v>
      </c>
      <c r="C127" t="s">
        <v>528</v>
      </c>
      <c r="D127" s="3">
        <v>2</v>
      </c>
      <c r="E127" s="3">
        <v>1</v>
      </c>
      <c r="F127" s="3">
        <v>0</v>
      </c>
      <c r="G127" s="3">
        <v>5</v>
      </c>
      <c r="H127" s="3">
        <v>5</v>
      </c>
      <c r="I127" s="3">
        <v>1</v>
      </c>
      <c r="J127" s="3">
        <v>3</v>
      </c>
      <c r="K127" s="3">
        <v>2</v>
      </c>
      <c r="L127" s="3">
        <v>7</v>
      </c>
      <c r="M127" s="3">
        <v>3</v>
      </c>
      <c r="N127" s="3">
        <v>1</v>
      </c>
      <c r="O127" s="3">
        <v>2</v>
      </c>
      <c r="P127" s="3">
        <v>2</v>
      </c>
      <c r="Q127" s="3">
        <v>5</v>
      </c>
      <c r="R127" s="3">
        <v>0</v>
      </c>
      <c r="T127">
        <f>SUM(Table1[[#This Row],[DTP Received]:[LPO/ LOA/ SOA Issue Date]])</f>
        <v>39</v>
      </c>
    </row>
    <row r="128" spans="2:20" x14ac:dyDescent="0.25">
      <c r="B128" t="s">
        <v>529</v>
      </c>
      <c r="C128" t="s">
        <v>530</v>
      </c>
      <c r="D128" s="3">
        <v>2</v>
      </c>
      <c r="E128" s="3">
        <v>1</v>
      </c>
      <c r="F128" s="3">
        <v>0</v>
      </c>
      <c r="G128" s="3">
        <v>5</v>
      </c>
      <c r="H128" s="3">
        <v>5</v>
      </c>
      <c r="I128" s="3">
        <v>1</v>
      </c>
      <c r="J128" s="3">
        <v>3</v>
      </c>
      <c r="K128" s="3">
        <v>2</v>
      </c>
      <c r="L128" s="3">
        <v>7</v>
      </c>
      <c r="M128" s="3">
        <v>3</v>
      </c>
      <c r="N128" s="3">
        <v>1</v>
      </c>
      <c r="O128" s="3">
        <v>2</v>
      </c>
      <c r="P128" s="3">
        <v>2</v>
      </c>
      <c r="Q128" s="3">
        <v>5</v>
      </c>
      <c r="R128" s="3">
        <v>0</v>
      </c>
      <c r="T128">
        <f>SUM(Table1[[#This Row],[DTP Received]:[LPO/ LOA/ SOA Issue Date]])</f>
        <v>39</v>
      </c>
    </row>
    <row r="129" spans="2:20" x14ac:dyDescent="0.25">
      <c r="B129" t="s">
        <v>531</v>
      </c>
      <c r="C129" t="s">
        <v>532</v>
      </c>
      <c r="D129" s="3">
        <v>2</v>
      </c>
      <c r="E129" s="3">
        <v>1</v>
      </c>
      <c r="F129" s="3">
        <v>0</v>
      </c>
      <c r="G129" s="3">
        <v>5</v>
      </c>
      <c r="H129" s="3">
        <v>5</v>
      </c>
      <c r="I129" s="3">
        <v>1</v>
      </c>
      <c r="J129" s="3">
        <v>3</v>
      </c>
      <c r="K129" s="3">
        <v>2</v>
      </c>
      <c r="L129" s="3">
        <v>7</v>
      </c>
      <c r="M129" s="3">
        <v>3</v>
      </c>
      <c r="N129" s="3">
        <v>1</v>
      </c>
      <c r="O129" s="3">
        <v>2</v>
      </c>
      <c r="P129" s="3">
        <v>2</v>
      </c>
      <c r="Q129" s="3">
        <v>5</v>
      </c>
      <c r="R129" s="3">
        <v>0</v>
      </c>
      <c r="T129">
        <f>SUM(Table1[[#This Row],[DTP Received]:[LPO/ LOA/ SOA Issue Date]])</f>
        <v>39</v>
      </c>
    </row>
    <row r="130" spans="2:20" x14ac:dyDescent="0.25">
      <c r="B130" t="s">
        <v>533</v>
      </c>
      <c r="C130" t="s">
        <v>534</v>
      </c>
      <c r="D130" s="3">
        <v>2</v>
      </c>
      <c r="E130" s="3">
        <v>1</v>
      </c>
      <c r="F130" s="3">
        <v>0</v>
      </c>
      <c r="G130" s="3">
        <v>5</v>
      </c>
      <c r="H130" s="3">
        <v>5</v>
      </c>
      <c r="I130" s="3">
        <v>1</v>
      </c>
      <c r="J130" s="3">
        <v>3</v>
      </c>
      <c r="K130" s="3">
        <v>2</v>
      </c>
      <c r="L130" s="3">
        <v>7</v>
      </c>
      <c r="M130" s="3">
        <v>3</v>
      </c>
      <c r="N130" s="3">
        <v>1</v>
      </c>
      <c r="O130" s="3">
        <v>2</v>
      </c>
      <c r="P130" s="3">
        <v>2</v>
      </c>
      <c r="Q130" s="3">
        <v>5</v>
      </c>
      <c r="R130" s="3">
        <v>0</v>
      </c>
      <c r="T130">
        <f>SUM(Table1[[#This Row],[DTP Received]:[LPO/ LOA/ SOA Issue Date]])</f>
        <v>39</v>
      </c>
    </row>
    <row r="131" spans="2:20" x14ac:dyDescent="0.25">
      <c r="B131" t="s">
        <v>535</v>
      </c>
      <c r="C131" t="s">
        <v>536</v>
      </c>
      <c r="D131" s="3">
        <v>2</v>
      </c>
      <c r="E131" s="3">
        <v>1</v>
      </c>
      <c r="F131" s="3">
        <v>0</v>
      </c>
      <c r="G131" s="3">
        <v>5</v>
      </c>
      <c r="H131" s="3">
        <v>5</v>
      </c>
      <c r="I131" s="3">
        <v>1</v>
      </c>
      <c r="J131" s="3">
        <v>3</v>
      </c>
      <c r="K131" s="3">
        <v>2</v>
      </c>
      <c r="L131" s="3">
        <v>7</v>
      </c>
      <c r="M131" s="3">
        <v>3</v>
      </c>
      <c r="N131" s="3">
        <v>1</v>
      </c>
      <c r="O131" s="3">
        <v>2</v>
      </c>
      <c r="P131" s="3">
        <v>2</v>
      </c>
      <c r="Q131" s="3">
        <v>5</v>
      </c>
      <c r="R131" s="3">
        <v>0</v>
      </c>
      <c r="T131">
        <f>SUM(Table1[[#This Row],[DTP Received]:[LPO/ LOA/ SOA Issue Date]])</f>
        <v>39</v>
      </c>
    </row>
    <row r="132" spans="2:20" x14ac:dyDescent="0.25">
      <c r="B132" t="s">
        <v>537</v>
      </c>
      <c r="C132" t="s">
        <v>371</v>
      </c>
      <c r="D132" s="3">
        <v>2</v>
      </c>
      <c r="E132" s="3">
        <v>1</v>
      </c>
      <c r="F132" s="3">
        <v>0</v>
      </c>
      <c r="G132" s="3">
        <v>5</v>
      </c>
      <c r="H132" s="3">
        <v>5</v>
      </c>
      <c r="I132" s="3">
        <v>1</v>
      </c>
      <c r="J132" s="3">
        <v>3</v>
      </c>
      <c r="K132" s="3">
        <v>2</v>
      </c>
      <c r="L132" s="3">
        <v>7</v>
      </c>
      <c r="M132" s="3">
        <v>3</v>
      </c>
      <c r="N132" s="3">
        <v>1</v>
      </c>
      <c r="O132" s="3">
        <v>2</v>
      </c>
      <c r="P132" s="3">
        <v>2</v>
      </c>
      <c r="Q132" s="3">
        <v>5</v>
      </c>
      <c r="R132" s="3">
        <v>0</v>
      </c>
      <c r="T132">
        <f>SUM(Table1[[#This Row],[DTP Received]:[LPO/ LOA/ SOA Issue Date]])</f>
        <v>39</v>
      </c>
    </row>
    <row r="133" spans="2:20" x14ac:dyDescent="0.25">
      <c r="B133" t="s">
        <v>538</v>
      </c>
      <c r="C133" t="s">
        <v>371</v>
      </c>
      <c r="D133" s="3">
        <v>2</v>
      </c>
      <c r="E133" s="3">
        <v>1</v>
      </c>
      <c r="F133" s="3">
        <v>0</v>
      </c>
      <c r="G133" s="3">
        <v>5</v>
      </c>
      <c r="H133" s="3">
        <v>5</v>
      </c>
      <c r="I133" s="3">
        <v>1</v>
      </c>
      <c r="J133" s="3">
        <v>3</v>
      </c>
      <c r="K133" s="3">
        <v>2</v>
      </c>
      <c r="L133" s="3">
        <v>7</v>
      </c>
      <c r="M133" s="3">
        <v>3</v>
      </c>
      <c r="N133" s="3">
        <v>1</v>
      </c>
      <c r="O133" s="3">
        <v>2</v>
      </c>
      <c r="P133" s="3">
        <v>2</v>
      </c>
      <c r="Q133" s="3">
        <v>5</v>
      </c>
      <c r="R133" s="3">
        <v>0</v>
      </c>
      <c r="T133">
        <f>SUM(Table1[[#This Row],[DTP Received]:[LPO/ LOA/ SOA Issue Date]])</f>
        <v>39</v>
      </c>
    </row>
    <row r="134" spans="2:20" x14ac:dyDescent="0.25">
      <c r="B134" t="s">
        <v>539</v>
      </c>
      <c r="C134" t="s">
        <v>371</v>
      </c>
      <c r="D134" s="3">
        <v>2</v>
      </c>
      <c r="E134" s="3">
        <v>1</v>
      </c>
      <c r="F134" s="3">
        <v>0</v>
      </c>
      <c r="G134" s="3">
        <v>5</v>
      </c>
      <c r="H134" s="3">
        <v>5</v>
      </c>
      <c r="I134" s="3">
        <v>1</v>
      </c>
      <c r="J134" s="3">
        <v>3</v>
      </c>
      <c r="K134" s="3">
        <v>2</v>
      </c>
      <c r="L134" s="3">
        <v>7</v>
      </c>
      <c r="M134" s="3">
        <v>3</v>
      </c>
      <c r="N134" s="3">
        <v>1</v>
      </c>
      <c r="O134" s="3">
        <v>2</v>
      </c>
      <c r="P134" s="3">
        <v>2</v>
      </c>
      <c r="Q134" s="3">
        <v>5</v>
      </c>
      <c r="R134" s="3">
        <v>0</v>
      </c>
      <c r="T134">
        <f>SUM(Table1[[#This Row],[DTP Received]:[LPO/ LOA/ SOA Issue Date]])</f>
        <v>39</v>
      </c>
    </row>
    <row r="135" spans="2:20" x14ac:dyDescent="0.25">
      <c r="B135" t="s">
        <v>540</v>
      </c>
      <c r="C135" t="s">
        <v>371</v>
      </c>
      <c r="D135" s="3">
        <v>2</v>
      </c>
      <c r="E135" s="3">
        <v>1</v>
      </c>
      <c r="F135" s="3">
        <v>0</v>
      </c>
      <c r="G135" s="3">
        <v>5</v>
      </c>
      <c r="H135" s="3">
        <v>5</v>
      </c>
      <c r="I135" s="3">
        <v>1</v>
      </c>
      <c r="J135" s="3">
        <v>3</v>
      </c>
      <c r="K135" s="3">
        <v>2</v>
      </c>
      <c r="L135" s="3">
        <v>7</v>
      </c>
      <c r="M135" s="3">
        <v>3</v>
      </c>
      <c r="N135" s="3">
        <v>1</v>
      </c>
      <c r="O135" s="3">
        <v>2</v>
      </c>
      <c r="P135" s="3">
        <v>2</v>
      </c>
      <c r="Q135" s="3">
        <v>5</v>
      </c>
      <c r="R135" s="3">
        <v>0</v>
      </c>
      <c r="T135">
        <f>SUM(Table1[[#This Row],[DTP Received]:[LPO/ LOA/ SOA Issue Date]])</f>
        <v>39</v>
      </c>
    </row>
    <row r="136" spans="2:20" x14ac:dyDescent="0.25">
      <c r="B136" t="s">
        <v>541</v>
      </c>
      <c r="C136" t="s">
        <v>371</v>
      </c>
      <c r="D136" s="3">
        <v>2</v>
      </c>
      <c r="E136" s="3">
        <v>1</v>
      </c>
      <c r="F136" s="3">
        <v>0</v>
      </c>
      <c r="G136" s="3">
        <v>5</v>
      </c>
      <c r="H136" s="3">
        <v>5</v>
      </c>
      <c r="I136" s="3">
        <v>1</v>
      </c>
      <c r="J136" s="3">
        <v>3</v>
      </c>
      <c r="K136" s="3">
        <v>2</v>
      </c>
      <c r="L136" s="3">
        <v>7</v>
      </c>
      <c r="M136" s="3">
        <v>3</v>
      </c>
      <c r="N136" s="3">
        <v>1</v>
      </c>
      <c r="O136" s="3">
        <v>2</v>
      </c>
      <c r="P136" s="3">
        <v>2</v>
      </c>
      <c r="Q136" s="3">
        <v>5</v>
      </c>
      <c r="R136" s="3">
        <v>0</v>
      </c>
      <c r="T136">
        <f>SUM(Table1[[#This Row],[DTP Received]:[LPO/ LOA/ SOA Issue Date]])</f>
        <v>39</v>
      </c>
    </row>
    <row r="137" spans="2:20" x14ac:dyDescent="0.25">
      <c r="B137" t="s">
        <v>542</v>
      </c>
      <c r="C137" t="s">
        <v>371</v>
      </c>
      <c r="D137" s="3">
        <v>2</v>
      </c>
      <c r="E137" s="3">
        <v>1</v>
      </c>
      <c r="F137" s="3">
        <v>0</v>
      </c>
      <c r="G137" s="3">
        <v>5</v>
      </c>
      <c r="H137" s="3">
        <v>5</v>
      </c>
      <c r="I137" s="3">
        <v>1</v>
      </c>
      <c r="J137" s="3">
        <v>3</v>
      </c>
      <c r="K137" s="3">
        <v>2</v>
      </c>
      <c r="L137" s="3">
        <v>7</v>
      </c>
      <c r="M137" s="3">
        <v>3</v>
      </c>
      <c r="N137" s="3">
        <v>1</v>
      </c>
      <c r="O137" s="3">
        <v>2</v>
      </c>
      <c r="P137" s="3">
        <v>2</v>
      </c>
      <c r="Q137" s="3">
        <v>5</v>
      </c>
      <c r="R137" s="3">
        <v>0</v>
      </c>
      <c r="T137">
        <f>SUM(Table1[[#This Row],[DTP Received]:[LPO/ LOA/ SOA Issue Date]])</f>
        <v>39</v>
      </c>
    </row>
    <row r="138" spans="2:20" x14ac:dyDescent="0.25">
      <c r="B138" t="s">
        <v>543</v>
      </c>
      <c r="C138" t="s">
        <v>544</v>
      </c>
      <c r="D138" s="3">
        <v>2</v>
      </c>
      <c r="E138" s="3">
        <v>1</v>
      </c>
      <c r="F138" s="3">
        <v>0</v>
      </c>
      <c r="G138" s="3">
        <v>10</v>
      </c>
      <c r="H138" s="3">
        <v>5</v>
      </c>
      <c r="I138" s="3">
        <v>1</v>
      </c>
      <c r="J138" s="3">
        <v>3</v>
      </c>
      <c r="K138" s="3">
        <v>2</v>
      </c>
      <c r="L138" s="3">
        <v>3</v>
      </c>
      <c r="M138" s="3">
        <v>3</v>
      </c>
      <c r="N138" s="3">
        <v>1</v>
      </c>
      <c r="O138" s="3">
        <v>2</v>
      </c>
      <c r="P138" s="3">
        <v>2</v>
      </c>
      <c r="Q138" s="3">
        <v>5</v>
      </c>
      <c r="R138" s="3">
        <v>0</v>
      </c>
      <c r="T138">
        <f>SUM(Table1[[#This Row],[DTP Received]:[LPO/ LOA/ SOA Issue Date]])</f>
        <v>40</v>
      </c>
    </row>
    <row r="139" spans="2:20" x14ac:dyDescent="0.25">
      <c r="B139" t="s">
        <v>170</v>
      </c>
      <c r="C139" t="s">
        <v>46</v>
      </c>
      <c r="D139" s="3">
        <v>2</v>
      </c>
      <c r="E139" s="3">
        <v>1</v>
      </c>
      <c r="F139" s="3">
        <v>0</v>
      </c>
      <c r="G139" s="3">
        <v>10</v>
      </c>
      <c r="H139" s="3">
        <v>5</v>
      </c>
      <c r="I139" s="3">
        <v>1</v>
      </c>
      <c r="J139" s="3">
        <v>3</v>
      </c>
      <c r="K139" s="3">
        <v>2</v>
      </c>
      <c r="L139" s="3">
        <v>3</v>
      </c>
      <c r="M139" s="3">
        <v>3</v>
      </c>
      <c r="N139" s="3">
        <v>1</v>
      </c>
      <c r="O139" s="3">
        <v>2</v>
      </c>
      <c r="P139" s="3">
        <v>2</v>
      </c>
      <c r="Q139" s="3">
        <v>5</v>
      </c>
      <c r="R139" s="3">
        <v>0</v>
      </c>
      <c r="T139">
        <f>SUM(Table1[[#This Row],[DTP Received]:[LPO/ LOA/ SOA Issue Date]])</f>
        <v>40</v>
      </c>
    </row>
    <row r="140" spans="2:20" x14ac:dyDescent="0.25">
      <c r="B140" t="s">
        <v>545</v>
      </c>
      <c r="C140" t="s">
        <v>546</v>
      </c>
      <c r="D140" s="3">
        <v>2</v>
      </c>
      <c r="E140" s="3">
        <v>1</v>
      </c>
      <c r="F140" s="3">
        <v>0</v>
      </c>
      <c r="G140" s="3">
        <v>10</v>
      </c>
      <c r="H140" s="3">
        <v>5</v>
      </c>
      <c r="I140" s="3">
        <v>1</v>
      </c>
      <c r="J140" s="3">
        <v>3</v>
      </c>
      <c r="K140" s="3">
        <v>2</v>
      </c>
      <c r="L140" s="3">
        <v>3</v>
      </c>
      <c r="M140" s="3">
        <v>3</v>
      </c>
      <c r="N140" s="3">
        <v>1</v>
      </c>
      <c r="O140" s="3">
        <v>2</v>
      </c>
      <c r="P140" s="3">
        <v>2</v>
      </c>
      <c r="Q140" s="3">
        <v>5</v>
      </c>
      <c r="R140" s="3">
        <v>0</v>
      </c>
      <c r="T140">
        <f>SUM(Table1[[#This Row],[DTP Received]:[LPO/ LOA/ SOA Issue Date]])</f>
        <v>40</v>
      </c>
    </row>
    <row r="141" spans="2:20" x14ac:dyDescent="0.25">
      <c r="B141" t="s">
        <v>547</v>
      </c>
      <c r="C141" t="s">
        <v>548</v>
      </c>
      <c r="D141" s="3">
        <v>2</v>
      </c>
      <c r="E141" s="3">
        <v>1</v>
      </c>
      <c r="F141" s="3">
        <v>0</v>
      </c>
      <c r="G141" s="3">
        <v>10</v>
      </c>
      <c r="H141" s="3">
        <v>5</v>
      </c>
      <c r="I141" s="3">
        <v>1</v>
      </c>
      <c r="J141" s="3">
        <v>3</v>
      </c>
      <c r="K141" s="3">
        <v>2</v>
      </c>
      <c r="L141" s="3">
        <v>3</v>
      </c>
      <c r="M141" s="3">
        <v>3</v>
      </c>
      <c r="N141" s="3">
        <v>1</v>
      </c>
      <c r="O141" s="3">
        <v>2</v>
      </c>
      <c r="P141" s="3">
        <v>2</v>
      </c>
      <c r="Q141" s="3">
        <v>5</v>
      </c>
      <c r="R141" s="3">
        <v>0</v>
      </c>
      <c r="T141">
        <f>SUM(Table1[[#This Row],[DTP Received]:[LPO/ LOA/ SOA Issue Date]])</f>
        <v>40</v>
      </c>
    </row>
    <row r="142" spans="2:20" x14ac:dyDescent="0.25">
      <c r="B142" t="s">
        <v>549</v>
      </c>
      <c r="C142" t="s">
        <v>371</v>
      </c>
      <c r="D142" s="3">
        <v>2</v>
      </c>
      <c r="E142" s="3">
        <v>1</v>
      </c>
      <c r="F142" s="3">
        <v>0</v>
      </c>
      <c r="G142" s="3">
        <v>5</v>
      </c>
      <c r="H142" s="3">
        <v>5</v>
      </c>
      <c r="I142" s="3">
        <v>1</v>
      </c>
      <c r="J142" s="3">
        <v>3</v>
      </c>
      <c r="K142" s="3">
        <v>2</v>
      </c>
      <c r="L142" s="3">
        <v>7</v>
      </c>
      <c r="M142" s="3">
        <v>3</v>
      </c>
      <c r="N142" s="3">
        <v>1</v>
      </c>
      <c r="O142" s="3">
        <v>2</v>
      </c>
      <c r="P142" s="3">
        <v>2</v>
      </c>
      <c r="Q142" s="3">
        <v>5</v>
      </c>
      <c r="R142" s="3">
        <v>0</v>
      </c>
      <c r="T142">
        <f>SUM(Table1[[#This Row],[DTP Received]:[LPO/ LOA/ SOA Issue Date]])</f>
        <v>39</v>
      </c>
    </row>
    <row r="143" spans="2:20" x14ac:dyDescent="0.25">
      <c r="B143" t="s">
        <v>550</v>
      </c>
      <c r="C143" t="s">
        <v>371</v>
      </c>
      <c r="D143" s="3">
        <v>2</v>
      </c>
      <c r="E143" s="3">
        <v>1</v>
      </c>
      <c r="F143" s="3">
        <v>0</v>
      </c>
      <c r="G143" s="3">
        <v>5</v>
      </c>
      <c r="H143" s="3">
        <v>5</v>
      </c>
      <c r="I143" s="3">
        <v>1</v>
      </c>
      <c r="J143" s="3">
        <v>3</v>
      </c>
      <c r="K143" s="3">
        <v>2</v>
      </c>
      <c r="L143" s="3">
        <v>7</v>
      </c>
      <c r="M143" s="3">
        <v>3</v>
      </c>
      <c r="N143" s="3">
        <v>1</v>
      </c>
      <c r="O143" s="3">
        <v>2</v>
      </c>
      <c r="P143" s="3">
        <v>2</v>
      </c>
      <c r="Q143" s="3">
        <v>5</v>
      </c>
      <c r="R143" s="3">
        <v>0</v>
      </c>
      <c r="T143">
        <f>SUM(Table1[[#This Row],[DTP Received]:[LPO/ LOA/ SOA Issue Date]])</f>
        <v>39</v>
      </c>
    </row>
    <row r="144" spans="2:20" x14ac:dyDescent="0.25">
      <c r="B144" t="s">
        <v>551</v>
      </c>
      <c r="C144" t="s">
        <v>371</v>
      </c>
      <c r="D144" s="3">
        <v>2</v>
      </c>
      <c r="E144" s="3">
        <v>1</v>
      </c>
      <c r="F144" s="3">
        <v>0</v>
      </c>
      <c r="G144" s="3">
        <v>5</v>
      </c>
      <c r="H144" s="3">
        <v>5</v>
      </c>
      <c r="I144" s="3">
        <v>1</v>
      </c>
      <c r="J144" s="3">
        <v>3</v>
      </c>
      <c r="K144" s="3">
        <v>2</v>
      </c>
      <c r="L144" s="3">
        <v>7</v>
      </c>
      <c r="M144" s="3">
        <v>3</v>
      </c>
      <c r="N144" s="3">
        <v>1</v>
      </c>
      <c r="O144" s="3">
        <v>2</v>
      </c>
      <c r="P144" s="3">
        <v>2</v>
      </c>
      <c r="Q144" s="3">
        <v>5</v>
      </c>
      <c r="R144" s="3">
        <v>0</v>
      </c>
      <c r="T144">
        <f>SUM(Table1[[#This Row],[DTP Received]:[LPO/ LOA/ SOA Issue Date]])</f>
        <v>39</v>
      </c>
    </row>
    <row r="145" spans="2:20" x14ac:dyDescent="0.25">
      <c r="B145" t="s">
        <v>552</v>
      </c>
      <c r="C145" t="s">
        <v>371</v>
      </c>
      <c r="D145" s="3">
        <v>2</v>
      </c>
      <c r="E145" s="3">
        <v>1</v>
      </c>
      <c r="F145" s="3">
        <v>0</v>
      </c>
      <c r="G145" s="3">
        <v>5</v>
      </c>
      <c r="H145" s="3">
        <v>5</v>
      </c>
      <c r="I145" s="3">
        <v>1</v>
      </c>
      <c r="J145" s="3">
        <v>3</v>
      </c>
      <c r="K145" s="3">
        <v>2</v>
      </c>
      <c r="L145" s="3">
        <v>7</v>
      </c>
      <c r="M145" s="3">
        <v>3</v>
      </c>
      <c r="N145" s="3">
        <v>1</v>
      </c>
      <c r="O145" s="3">
        <v>2</v>
      </c>
      <c r="P145" s="3">
        <v>2</v>
      </c>
      <c r="Q145" s="3">
        <v>5</v>
      </c>
      <c r="R145" s="3">
        <v>0</v>
      </c>
      <c r="T145">
        <f>SUM(Table1[[#This Row],[DTP Received]:[LPO/ LOA/ SOA Issue Date]])</f>
        <v>39</v>
      </c>
    </row>
    <row r="146" spans="2:20" x14ac:dyDescent="0.25">
      <c r="B146" t="s">
        <v>553</v>
      </c>
      <c r="C146" t="s">
        <v>371</v>
      </c>
      <c r="D146" s="3">
        <v>2</v>
      </c>
      <c r="E146" s="3">
        <v>1</v>
      </c>
      <c r="F146" s="3">
        <v>0</v>
      </c>
      <c r="G146" s="3">
        <v>5</v>
      </c>
      <c r="H146" s="3">
        <v>5</v>
      </c>
      <c r="I146" s="3">
        <v>1</v>
      </c>
      <c r="J146" s="3">
        <v>3</v>
      </c>
      <c r="K146" s="3">
        <v>2</v>
      </c>
      <c r="L146" s="3">
        <v>7</v>
      </c>
      <c r="M146" s="3">
        <v>3</v>
      </c>
      <c r="N146" s="3">
        <v>1</v>
      </c>
      <c r="O146" s="3">
        <v>2</v>
      </c>
      <c r="P146" s="3">
        <v>2</v>
      </c>
      <c r="Q146" s="3">
        <v>5</v>
      </c>
      <c r="R146" s="3">
        <v>0</v>
      </c>
      <c r="T146">
        <f>SUM(Table1[[#This Row],[DTP Received]:[LPO/ LOA/ SOA Issue Date]])</f>
        <v>39</v>
      </c>
    </row>
    <row r="147" spans="2:20" x14ac:dyDescent="0.25">
      <c r="B147" t="s">
        <v>554</v>
      </c>
      <c r="C147" t="s">
        <v>371</v>
      </c>
      <c r="D147" s="3">
        <v>2</v>
      </c>
      <c r="E147" s="3">
        <v>1</v>
      </c>
      <c r="F147" s="3">
        <v>0</v>
      </c>
      <c r="G147" s="3">
        <v>5</v>
      </c>
      <c r="H147" s="3">
        <v>5</v>
      </c>
      <c r="I147" s="3">
        <v>1</v>
      </c>
      <c r="J147" s="3">
        <v>3</v>
      </c>
      <c r="K147" s="3">
        <v>2</v>
      </c>
      <c r="L147" s="3">
        <v>7</v>
      </c>
      <c r="M147" s="3">
        <v>3</v>
      </c>
      <c r="N147" s="3">
        <v>1</v>
      </c>
      <c r="O147" s="3">
        <v>2</v>
      </c>
      <c r="P147" s="3">
        <v>2</v>
      </c>
      <c r="Q147" s="3">
        <v>5</v>
      </c>
      <c r="R147" s="3">
        <v>0</v>
      </c>
      <c r="T147">
        <f>SUM(Table1[[#This Row],[DTP Received]:[LPO/ LOA/ SOA Issue Date]])</f>
        <v>39</v>
      </c>
    </row>
    <row r="148" spans="2:20" x14ac:dyDescent="0.25">
      <c r="B148" t="s">
        <v>555</v>
      </c>
      <c r="C148" t="s">
        <v>556</v>
      </c>
      <c r="D148" s="3">
        <v>2</v>
      </c>
      <c r="E148" s="3">
        <v>1</v>
      </c>
      <c r="F148" s="3">
        <v>0</v>
      </c>
      <c r="G148" s="3">
        <v>5</v>
      </c>
      <c r="H148" s="3">
        <v>5</v>
      </c>
      <c r="I148" s="3">
        <v>1</v>
      </c>
      <c r="J148" s="3">
        <v>3</v>
      </c>
      <c r="K148" s="3">
        <v>2</v>
      </c>
      <c r="L148" s="3">
        <v>7</v>
      </c>
      <c r="M148" s="3">
        <v>3</v>
      </c>
      <c r="N148" s="3">
        <v>1</v>
      </c>
      <c r="O148" s="3">
        <v>2</v>
      </c>
      <c r="P148" s="3">
        <v>2</v>
      </c>
      <c r="Q148" s="3">
        <v>5</v>
      </c>
      <c r="R148" s="3">
        <v>0</v>
      </c>
      <c r="T148">
        <f>SUM(Table1[[#This Row],[DTP Received]:[LPO/ LOA/ SOA Issue Date]])</f>
        <v>39</v>
      </c>
    </row>
    <row r="149" spans="2:20" x14ac:dyDescent="0.25">
      <c r="B149" t="s">
        <v>557</v>
      </c>
      <c r="C149" t="s">
        <v>558</v>
      </c>
      <c r="D149" s="3">
        <v>2</v>
      </c>
      <c r="E149" s="3">
        <v>1</v>
      </c>
      <c r="F149" s="3">
        <v>0</v>
      </c>
      <c r="G149" s="3">
        <v>5</v>
      </c>
      <c r="H149" s="3">
        <v>5</v>
      </c>
      <c r="I149" s="3">
        <v>1</v>
      </c>
      <c r="J149" s="3">
        <v>3</v>
      </c>
      <c r="K149" s="3">
        <v>2</v>
      </c>
      <c r="L149" s="3">
        <v>7</v>
      </c>
      <c r="M149" s="3">
        <v>3</v>
      </c>
      <c r="N149" s="3">
        <v>1</v>
      </c>
      <c r="O149" s="3">
        <v>2</v>
      </c>
      <c r="P149" s="3">
        <v>2</v>
      </c>
      <c r="Q149" s="3">
        <v>5</v>
      </c>
      <c r="R149" s="3">
        <v>0</v>
      </c>
      <c r="T149">
        <f>SUM(Table1[[#This Row],[DTP Received]:[LPO/ LOA/ SOA Issue Date]])</f>
        <v>39</v>
      </c>
    </row>
    <row r="150" spans="2:20" x14ac:dyDescent="0.25">
      <c r="B150" t="s">
        <v>559</v>
      </c>
      <c r="C150" t="s">
        <v>371</v>
      </c>
      <c r="D150" s="3">
        <v>2</v>
      </c>
      <c r="E150" s="3">
        <v>1</v>
      </c>
      <c r="F150" s="3">
        <v>0</v>
      </c>
      <c r="G150" s="3">
        <v>5</v>
      </c>
      <c r="H150" s="3">
        <v>5</v>
      </c>
      <c r="I150" s="3">
        <v>1</v>
      </c>
      <c r="J150" s="3">
        <v>3</v>
      </c>
      <c r="K150" s="3">
        <v>2</v>
      </c>
      <c r="L150" s="3">
        <v>7</v>
      </c>
      <c r="M150" s="3">
        <v>3</v>
      </c>
      <c r="N150" s="3">
        <v>1</v>
      </c>
      <c r="O150" s="3">
        <v>2</v>
      </c>
      <c r="P150" s="3">
        <v>2</v>
      </c>
      <c r="Q150" s="3">
        <v>5</v>
      </c>
      <c r="R150" s="3">
        <v>0</v>
      </c>
      <c r="T150">
        <f>SUM(Table1[[#This Row],[DTP Received]:[LPO/ LOA/ SOA Issue Date]])</f>
        <v>39</v>
      </c>
    </row>
    <row r="151" spans="2:20" x14ac:dyDescent="0.25">
      <c r="B151" t="s">
        <v>560</v>
      </c>
      <c r="C151" t="s">
        <v>371</v>
      </c>
      <c r="D151" s="3">
        <v>2</v>
      </c>
      <c r="E151" s="3">
        <v>1</v>
      </c>
      <c r="F151" s="3">
        <v>0</v>
      </c>
      <c r="G151" s="3">
        <v>5</v>
      </c>
      <c r="H151" s="3">
        <v>5</v>
      </c>
      <c r="I151" s="3">
        <v>1</v>
      </c>
      <c r="J151" s="3">
        <v>3</v>
      </c>
      <c r="K151" s="3">
        <v>2</v>
      </c>
      <c r="L151" s="3">
        <v>7</v>
      </c>
      <c r="M151" s="3">
        <v>3</v>
      </c>
      <c r="N151" s="3">
        <v>1</v>
      </c>
      <c r="O151" s="3">
        <v>2</v>
      </c>
      <c r="P151" s="3">
        <v>2</v>
      </c>
      <c r="Q151" s="3">
        <v>5</v>
      </c>
      <c r="R151" s="3">
        <v>0</v>
      </c>
      <c r="T151">
        <f>SUM(Table1[[#This Row],[DTP Received]:[LPO/ LOA/ SOA Issue Date]])</f>
        <v>39</v>
      </c>
    </row>
    <row r="152" spans="2:20" x14ac:dyDescent="0.25">
      <c r="B152" t="s">
        <v>561</v>
      </c>
      <c r="C152" t="s">
        <v>371</v>
      </c>
      <c r="D152" s="3">
        <v>2</v>
      </c>
      <c r="E152" s="3">
        <v>1</v>
      </c>
      <c r="F152" s="3">
        <v>0</v>
      </c>
      <c r="G152" s="3">
        <v>5</v>
      </c>
      <c r="H152" s="3">
        <v>5</v>
      </c>
      <c r="I152" s="3">
        <v>1</v>
      </c>
      <c r="J152" s="3">
        <v>3</v>
      </c>
      <c r="K152" s="3">
        <v>2</v>
      </c>
      <c r="L152" s="3">
        <v>7</v>
      </c>
      <c r="M152" s="3">
        <v>3</v>
      </c>
      <c r="N152" s="3">
        <v>1</v>
      </c>
      <c r="O152" s="3">
        <v>2</v>
      </c>
      <c r="P152" s="3">
        <v>2</v>
      </c>
      <c r="Q152" s="3">
        <v>5</v>
      </c>
      <c r="R152" s="3">
        <v>0</v>
      </c>
      <c r="T152">
        <f>SUM(Table1[[#This Row],[DTP Received]:[LPO/ LOA/ SOA Issue Date]])</f>
        <v>39</v>
      </c>
    </row>
    <row r="153" spans="2:20" x14ac:dyDescent="0.25">
      <c r="B153" t="s">
        <v>562</v>
      </c>
      <c r="C153" t="s">
        <v>371</v>
      </c>
      <c r="D153" s="3">
        <v>2</v>
      </c>
      <c r="E153" s="3">
        <v>1</v>
      </c>
      <c r="F153" s="3">
        <v>0</v>
      </c>
      <c r="G153" s="3">
        <v>5</v>
      </c>
      <c r="H153" s="3">
        <v>5</v>
      </c>
      <c r="I153" s="3">
        <v>1</v>
      </c>
      <c r="J153" s="3">
        <v>3</v>
      </c>
      <c r="K153" s="3">
        <v>2</v>
      </c>
      <c r="L153" s="3">
        <v>7</v>
      </c>
      <c r="M153" s="3">
        <v>3</v>
      </c>
      <c r="N153" s="3">
        <v>1</v>
      </c>
      <c r="O153" s="3">
        <v>2</v>
      </c>
      <c r="P153" s="3">
        <v>2</v>
      </c>
      <c r="Q153" s="3">
        <v>5</v>
      </c>
      <c r="R153" s="3">
        <v>0</v>
      </c>
      <c r="T153">
        <f>SUM(Table1[[#This Row],[DTP Received]:[LPO/ LOA/ SOA Issue Date]])</f>
        <v>39</v>
      </c>
    </row>
    <row r="154" spans="2:20" x14ac:dyDescent="0.25">
      <c r="B154" t="s">
        <v>563</v>
      </c>
      <c r="C154" t="s">
        <v>371</v>
      </c>
      <c r="D154" s="3">
        <v>2</v>
      </c>
      <c r="E154" s="3">
        <v>1</v>
      </c>
      <c r="F154" s="3">
        <v>0</v>
      </c>
      <c r="G154" s="3">
        <v>5</v>
      </c>
      <c r="H154" s="3">
        <v>5</v>
      </c>
      <c r="I154" s="3">
        <v>1</v>
      </c>
      <c r="J154" s="3">
        <v>3</v>
      </c>
      <c r="K154" s="3">
        <v>2</v>
      </c>
      <c r="L154" s="3">
        <v>7</v>
      </c>
      <c r="M154" s="3">
        <v>3</v>
      </c>
      <c r="N154" s="3">
        <v>1</v>
      </c>
      <c r="O154" s="3">
        <v>2</v>
      </c>
      <c r="P154" s="3">
        <v>2</v>
      </c>
      <c r="Q154" s="3">
        <v>5</v>
      </c>
      <c r="R154" s="3">
        <v>0</v>
      </c>
      <c r="T154">
        <f>SUM(Table1[[#This Row],[DTP Received]:[LPO/ LOA/ SOA Issue Date]])</f>
        <v>39</v>
      </c>
    </row>
    <row r="155" spans="2:20" x14ac:dyDescent="0.25">
      <c r="B155" t="s">
        <v>564</v>
      </c>
      <c r="C155" t="s">
        <v>371</v>
      </c>
      <c r="D155" s="3">
        <v>2</v>
      </c>
      <c r="E155" s="3">
        <v>1</v>
      </c>
      <c r="F155" s="3">
        <v>0</v>
      </c>
      <c r="G155" s="3">
        <v>5</v>
      </c>
      <c r="H155" s="3">
        <v>5</v>
      </c>
      <c r="I155" s="3">
        <v>1</v>
      </c>
      <c r="J155" s="3">
        <v>3</v>
      </c>
      <c r="K155" s="3">
        <v>2</v>
      </c>
      <c r="L155" s="3">
        <v>7</v>
      </c>
      <c r="M155" s="3">
        <v>3</v>
      </c>
      <c r="N155" s="3">
        <v>1</v>
      </c>
      <c r="O155" s="3">
        <v>2</v>
      </c>
      <c r="P155" s="3">
        <v>2</v>
      </c>
      <c r="Q155" s="3">
        <v>5</v>
      </c>
      <c r="R155" s="3">
        <v>0</v>
      </c>
      <c r="T155">
        <f>SUM(Table1[[#This Row],[DTP Received]:[LPO/ LOA/ SOA Issue Date]])</f>
        <v>39</v>
      </c>
    </row>
    <row r="156" spans="2:20" x14ac:dyDescent="0.25">
      <c r="B156" t="s">
        <v>565</v>
      </c>
      <c r="C156" t="s">
        <v>566</v>
      </c>
      <c r="D156" s="3">
        <v>2</v>
      </c>
      <c r="E156" s="3">
        <v>1</v>
      </c>
      <c r="F156" s="3">
        <v>0</v>
      </c>
      <c r="G156" s="3">
        <v>5</v>
      </c>
      <c r="H156" s="3">
        <v>5</v>
      </c>
      <c r="I156" s="3">
        <v>1</v>
      </c>
      <c r="J156" s="3">
        <v>3</v>
      </c>
      <c r="K156" s="3">
        <v>2</v>
      </c>
      <c r="L156" s="3">
        <v>7</v>
      </c>
      <c r="M156" s="3">
        <v>3</v>
      </c>
      <c r="N156" s="3">
        <v>1</v>
      </c>
      <c r="O156" s="3">
        <v>2</v>
      </c>
      <c r="P156" s="3">
        <v>2</v>
      </c>
      <c r="Q156" s="3">
        <v>5</v>
      </c>
      <c r="R156" s="3">
        <v>0</v>
      </c>
      <c r="T156">
        <f>SUM(Table1[[#This Row],[DTP Received]:[LPO/ LOA/ SOA Issue Date]])</f>
        <v>39</v>
      </c>
    </row>
    <row r="157" spans="2:20" x14ac:dyDescent="0.25">
      <c r="B157" t="s">
        <v>567</v>
      </c>
      <c r="C157" t="s">
        <v>568</v>
      </c>
      <c r="D157" s="3">
        <v>2</v>
      </c>
      <c r="E157" s="3">
        <v>1</v>
      </c>
      <c r="F157" s="3">
        <v>0</v>
      </c>
      <c r="G157" s="3">
        <v>5</v>
      </c>
      <c r="H157" s="3">
        <v>5</v>
      </c>
      <c r="I157" s="3">
        <v>1</v>
      </c>
      <c r="J157" s="3">
        <v>3</v>
      </c>
      <c r="K157" s="3">
        <v>2</v>
      </c>
      <c r="L157" s="3">
        <v>7</v>
      </c>
      <c r="M157" s="3">
        <v>3</v>
      </c>
      <c r="N157" s="3">
        <v>1</v>
      </c>
      <c r="O157" s="3">
        <v>2</v>
      </c>
      <c r="P157" s="3">
        <v>2</v>
      </c>
      <c r="Q157" s="3">
        <v>5</v>
      </c>
      <c r="R157" s="3">
        <v>0</v>
      </c>
      <c r="T157">
        <f>SUM(Table1[[#This Row],[DTP Received]:[LPO/ LOA/ SOA Issue Date]])</f>
        <v>39</v>
      </c>
    </row>
    <row r="158" spans="2:20" x14ac:dyDescent="0.25">
      <c r="B158" t="s">
        <v>569</v>
      </c>
      <c r="C158" t="s">
        <v>371</v>
      </c>
      <c r="D158" s="3">
        <v>2</v>
      </c>
      <c r="E158" s="3">
        <v>1</v>
      </c>
      <c r="F158" s="3">
        <v>0</v>
      </c>
      <c r="G158" s="3">
        <v>5</v>
      </c>
      <c r="H158" s="3">
        <v>5</v>
      </c>
      <c r="I158" s="3">
        <v>1</v>
      </c>
      <c r="J158" s="3">
        <v>3</v>
      </c>
      <c r="K158" s="3">
        <v>2</v>
      </c>
      <c r="L158" s="3">
        <v>7</v>
      </c>
      <c r="M158" s="3">
        <v>3</v>
      </c>
      <c r="N158" s="3">
        <v>1</v>
      </c>
      <c r="O158" s="3">
        <v>2</v>
      </c>
      <c r="P158" s="3">
        <v>2</v>
      </c>
      <c r="Q158" s="3">
        <v>5</v>
      </c>
      <c r="R158" s="3">
        <v>0</v>
      </c>
      <c r="T158">
        <f>SUM(Table1[[#This Row],[DTP Received]:[LPO/ LOA/ SOA Issue Date]])</f>
        <v>39</v>
      </c>
    </row>
    <row r="159" spans="2:20" x14ac:dyDescent="0.25">
      <c r="B159" t="s">
        <v>570</v>
      </c>
      <c r="C159" t="s">
        <v>371</v>
      </c>
      <c r="D159" s="3">
        <v>2</v>
      </c>
      <c r="E159" s="3">
        <v>1</v>
      </c>
      <c r="F159" s="3">
        <v>0</v>
      </c>
      <c r="G159" s="3">
        <v>5</v>
      </c>
      <c r="H159" s="3">
        <v>5</v>
      </c>
      <c r="I159" s="3">
        <v>1</v>
      </c>
      <c r="J159" s="3">
        <v>3</v>
      </c>
      <c r="K159" s="3">
        <v>2</v>
      </c>
      <c r="L159" s="3">
        <v>7</v>
      </c>
      <c r="M159" s="3">
        <v>3</v>
      </c>
      <c r="N159" s="3">
        <v>1</v>
      </c>
      <c r="O159" s="3">
        <v>2</v>
      </c>
      <c r="P159" s="3">
        <v>2</v>
      </c>
      <c r="Q159" s="3">
        <v>5</v>
      </c>
      <c r="R159" s="3">
        <v>0</v>
      </c>
      <c r="T159">
        <f>SUM(Table1[[#This Row],[DTP Received]:[LPO/ LOA/ SOA Issue Date]])</f>
        <v>39</v>
      </c>
    </row>
    <row r="160" spans="2:20" x14ac:dyDescent="0.25">
      <c r="B160" t="s">
        <v>571</v>
      </c>
      <c r="C160" t="s">
        <v>371</v>
      </c>
      <c r="D160" s="3">
        <v>2</v>
      </c>
      <c r="E160" s="3">
        <v>1</v>
      </c>
      <c r="F160" s="3">
        <v>0</v>
      </c>
      <c r="G160" s="3">
        <v>5</v>
      </c>
      <c r="H160" s="3">
        <v>5</v>
      </c>
      <c r="I160" s="3">
        <v>1</v>
      </c>
      <c r="J160" s="3">
        <v>3</v>
      </c>
      <c r="K160" s="3">
        <v>2</v>
      </c>
      <c r="L160" s="3">
        <v>7</v>
      </c>
      <c r="M160" s="3">
        <v>3</v>
      </c>
      <c r="N160" s="3">
        <v>1</v>
      </c>
      <c r="O160" s="3">
        <v>2</v>
      </c>
      <c r="P160" s="3">
        <v>2</v>
      </c>
      <c r="Q160" s="3">
        <v>5</v>
      </c>
      <c r="R160" s="3">
        <v>0</v>
      </c>
      <c r="T160">
        <f>SUM(Table1[[#This Row],[DTP Received]:[LPO/ LOA/ SOA Issue Date]])</f>
        <v>39</v>
      </c>
    </row>
    <row r="161" spans="2:20" x14ac:dyDescent="0.25">
      <c r="B161" t="s">
        <v>572</v>
      </c>
      <c r="C161" t="s">
        <v>371</v>
      </c>
      <c r="D161" s="3">
        <v>2</v>
      </c>
      <c r="E161" s="3">
        <v>1</v>
      </c>
      <c r="F161" s="3">
        <v>0</v>
      </c>
      <c r="G161" s="3">
        <v>5</v>
      </c>
      <c r="H161" s="3">
        <v>5</v>
      </c>
      <c r="I161" s="3">
        <v>1</v>
      </c>
      <c r="J161" s="3">
        <v>3</v>
      </c>
      <c r="K161" s="3">
        <v>2</v>
      </c>
      <c r="L161" s="3">
        <v>7</v>
      </c>
      <c r="M161" s="3">
        <v>3</v>
      </c>
      <c r="N161" s="3">
        <v>1</v>
      </c>
      <c r="O161" s="3">
        <v>2</v>
      </c>
      <c r="P161" s="3">
        <v>2</v>
      </c>
      <c r="Q161" s="3">
        <v>5</v>
      </c>
      <c r="R161" s="3">
        <v>0</v>
      </c>
      <c r="T161">
        <f>SUM(Table1[[#This Row],[DTP Received]:[LPO/ LOA/ SOA Issue Date]])</f>
        <v>39</v>
      </c>
    </row>
    <row r="162" spans="2:20" x14ac:dyDescent="0.25">
      <c r="B162" t="s">
        <v>573</v>
      </c>
      <c r="C162" t="s">
        <v>371</v>
      </c>
      <c r="D162" s="3">
        <v>2</v>
      </c>
      <c r="E162" s="3">
        <v>1</v>
      </c>
      <c r="F162" s="3">
        <v>0</v>
      </c>
      <c r="G162" s="3">
        <v>5</v>
      </c>
      <c r="H162" s="3">
        <v>5</v>
      </c>
      <c r="I162" s="3">
        <v>1</v>
      </c>
      <c r="J162" s="3">
        <v>3</v>
      </c>
      <c r="K162" s="3">
        <v>2</v>
      </c>
      <c r="L162" s="3">
        <v>7</v>
      </c>
      <c r="M162" s="3">
        <v>3</v>
      </c>
      <c r="N162" s="3">
        <v>1</v>
      </c>
      <c r="O162" s="3">
        <v>2</v>
      </c>
      <c r="P162" s="3">
        <v>2</v>
      </c>
      <c r="Q162" s="3">
        <v>5</v>
      </c>
      <c r="R162" s="3">
        <v>0</v>
      </c>
      <c r="T162">
        <f>SUM(Table1[[#This Row],[DTP Received]:[LPO/ LOA/ SOA Issue Date]])</f>
        <v>39</v>
      </c>
    </row>
    <row r="163" spans="2:20" x14ac:dyDescent="0.25">
      <c r="B163" t="s">
        <v>574</v>
      </c>
      <c r="C163" t="s">
        <v>371</v>
      </c>
      <c r="D163" s="3">
        <v>2</v>
      </c>
      <c r="E163" s="3">
        <v>1</v>
      </c>
      <c r="F163" s="3">
        <v>0</v>
      </c>
      <c r="G163" s="3">
        <v>5</v>
      </c>
      <c r="H163" s="3">
        <v>5</v>
      </c>
      <c r="I163" s="3">
        <v>1</v>
      </c>
      <c r="J163" s="3">
        <v>3</v>
      </c>
      <c r="K163" s="3">
        <v>2</v>
      </c>
      <c r="L163" s="3">
        <v>7</v>
      </c>
      <c r="M163" s="3">
        <v>3</v>
      </c>
      <c r="N163" s="3">
        <v>1</v>
      </c>
      <c r="O163" s="3">
        <v>2</v>
      </c>
      <c r="P163" s="3">
        <v>2</v>
      </c>
      <c r="Q163" s="3">
        <v>5</v>
      </c>
      <c r="R163" s="3">
        <v>0</v>
      </c>
      <c r="T163">
        <f>SUM(Table1[[#This Row],[DTP Received]:[LPO/ LOA/ SOA Issue Date]])</f>
        <v>39</v>
      </c>
    </row>
    <row r="164" spans="2:20" x14ac:dyDescent="0.25">
      <c r="B164" t="s">
        <v>575</v>
      </c>
      <c r="C164" t="s">
        <v>576</v>
      </c>
      <c r="D164" s="3">
        <v>2</v>
      </c>
      <c r="E164" s="3">
        <v>1</v>
      </c>
      <c r="F164" s="3">
        <v>0</v>
      </c>
      <c r="G164" s="3">
        <v>5</v>
      </c>
      <c r="H164" s="3">
        <v>5</v>
      </c>
      <c r="I164" s="3">
        <v>1</v>
      </c>
      <c r="J164" s="3">
        <v>3</v>
      </c>
      <c r="K164" s="3">
        <v>2</v>
      </c>
      <c r="L164" s="3">
        <v>7</v>
      </c>
      <c r="M164" s="3">
        <v>3</v>
      </c>
      <c r="N164" s="3">
        <v>1</v>
      </c>
      <c r="O164" s="3">
        <v>2</v>
      </c>
      <c r="P164" s="3">
        <v>2</v>
      </c>
      <c r="Q164" s="3">
        <v>5</v>
      </c>
      <c r="R164" s="3">
        <v>0</v>
      </c>
      <c r="T164">
        <f>SUM(Table1[[#This Row],[DTP Received]:[LPO/ LOA/ SOA Issue Date]])</f>
        <v>39</v>
      </c>
    </row>
    <row r="165" spans="2:20" x14ac:dyDescent="0.25">
      <c r="B165" t="s">
        <v>577</v>
      </c>
      <c r="C165" t="s">
        <v>578</v>
      </c>
      <c r="D165" s="3">
        <v>2</v>
      </c>
      <c r="E165" s="3">
        <v>1</v>
      </c>
      <c r="F165" s="3">
        <v>0</v>
      </c>
      <c r="G165" s="3">
        <v>5</v>
      </c>
      <c r="H165" s="3">
        <v>5</v>
      </c>
      <c r="I165" s="3">
        <v>1</v>
      </c>
      <c r="J165" s="3">
        <v>3</v>
      </c>
      <c r="K165" s="3">
        <v>2</v>
      </c>
      <c r="L165" s="3">
        <v>7</v>
      </c>
      <c r="M165" s="3">
        <v>3</v>
      </c>
      <c r="N165" s="3">
        <v>1</v>
      </c>
      <c r="O165" s="3">
        <v>2</v>
      </c>
      <c r="P165" s="3">
        <v>2</v>
      </c>
      <c r="Q165" s="3">
        <v>5</v>
      </c>
      <c r="R165" s="3">
        <v>0</v>
      </c>
      <c r="T165">
        <f>SUM(Table1[[#This Row],[DTP Received]:[LPO/ LOA/ SOA Issue Date]])</f>
        <v>39</v>
      </c>
    </row>
    <row r="166" spans="2:20" x14ac:dyDescent="0.25">
      <c r="B166" t="s">
        <v>579</v>
      </c>
      <c r="C166" t="s">
        <v>580</v>
      </c>
      <c r="D166" s="3">
        <v>2</v>
      </c>
      <c r="E166" s="3">
        <v>1</v>
      </c>
      <c r="F166" s="3">
        <v>0</v>
      </c>
      <c r="G166" s="3">
        <v>5</v>
      </c>
      <c r="H166" s="3">
        <v>5</v>
      </c>
      <c r="I166" s="3">
        <v>1</v>
      </c>
      <c r="J166" s="3">
        <v>3</v>
      </c>
      <c r="K166" s="3">
        <v>2</v>
      </c>
      <c r="L166" s="3">
        <v>7</v>
      </c>
      <c r="M166" s="3">
        <v>3</v>
      </c>
      <c r="N166" s="3">
        <v>1</v>
      </c>
      <c r="O166" s="3">
        <v>2</v>
      </c>
      <c r="P166" s="3">
        <v>2</v>
      </c>
      <c r="Q166" s="3">
        <v>5</v>
      </c>
      <c r="R166" s="3">
        <v>0</v>
      </c>
      <c r="T166">
        <f>SUM(Table1[[#This Row],[DTP Received]:[LPO/ LOA/ SOA Issue Date]])</f>
        <v>39</v>
      </c>
    </row>
    <row r="167" spans="2:20" x14ac:dyDescent="0.25">
      <c r="B167" t="s">
        <v>581</v>
      </c>
      <c r="C167" t="s">
        <v>582</v>
      </c>
      <c r="D167" s="3">
        <v>2</v>
      </c>
      <c r="E167" s="3">
        <v>1</v>
      </c>
      <c r="F167" s="3">
        <v>0</v>
      </c>
      <c r="G167" s="3">
        <v>5</v>
      </c>
      <c r="H167" s="3">
        <v>5</v>
      </c>
      <c r="I167" s="3">
        <v>1</v>
      </c>
      <c r="J167" s="3">
        <v>3</v>
      </c>
      <c r="K167" s="3">
        <v>2</v>
      </c>
      <c r="L167" s="3">
        <v>7</v>
      </c>
      <c r="M167" s="3">
        <v>3</v>
      </c>
      <c r="N167" s="3">
        <v>1</v>
      </c>
      <c r="O167" s="3">
        <v>2</v>
      </c>
      <c r="P167" s="3">
        <v>2</v>
      </c>
      <c r="Q167" s="3">
        <v>5</v>
      </c>
      <c r="R167" s="3">
        <v>0</v>
      </c>
      <c r="T167">
        <f>SUM(Table1[[#This Row],[DTP Received]:[LPO/ LOA/ SOA Issue Date]])</f>
        <v>39</v>
      </c>
    </row>
    <row r="168" spans="2:20" x14ac:dyDescent="0.25">
      <c r="B168" t="s">
        <v>583</v>
      </c>
      <c r="C168" t="s">
        <v>371</v>
      </c>
      <c r="D168" s="3">
        <v>2</v>
      </c>
      <c r="E168" s="3">
        <v>1</v>
      </c>
      <c r="F168" s="3">
        <v>0</v>
      </c>
      <c r="G168" s="3">
        <v>5</v>
      </c>
      <c r="H168" s="3">
        <v>5</v>
      </c>
      <c r="I168" s="3">
        <v>1</v>
      </c>
      <c r="J168" s="3">
        <v>3</v>
      </c>
      <c r="K168" s="3">
        <v>2</v>
      </c>
      <c r="L168" s="3">
        <v>7</v>
      </c>
      <c r="M168" s="3">
        <v>3</v>
      </c>
      <c r="N168" s="3">
        <v>1</v>
      </c>
      <c r="O168" s="3">
        <v>2</v>
      </c>
      <c r="P168" s="3">
        <v>2</v>
      </c>
      <c r="Q168" s="3">
        <v>5</v>
      </c>
      <c r="R168" s="3">
        <v>0</v>
      </c>
      <c r="T168">
        <f>SUM(Table1[[#This Row],[DTP Received]:[LPO/ LOA/ SOA Issue Date]])</f>
        <v>39</v>
      </c>
    </row>
    <row r="169" spans="2:20" x14ac:dyDescent="0.25">
      <c r="B169" t="s">
        <v>584</v>
      </c>
      <c r="C169" t="s">
        <v>371</v>
      </c>
      <c r="D169" s="3">
        <v>2</v>
      </c>
      <c r="E169" s="3">
        <v>1</v>
      </c>
      <c r="F169" s="3">
        <v>0</v>
      </c>
      <c r="G169" s="3">
        <v>5</v>
      </c>
      <c r="H169" s="3">
        <v>5</v>
      </c>
      <c r="I169" s="3">
        <v>1</v>
      </c>
      <c r="J169" s="3">
        <v>3</v>
      </c>
      <c r="K169" s="3">
        <v>2</v>
      </c>
      <c r="L169" s="3">
        <v>7</v>
      </c>
      <c r="M169" s="3">
        <v>3</v>
      </c>
      <c r="N169" s="3">
        <v>1</v>
      </c>
      <c r="O169" s="3">
        <v>2</v>
      </c>
      <c r="P169" s="3">
        <v>2</v>
      </c>
      <c r="Q169" s="3">
        <v>5</v>
      </c>
      <c r="R169" s="3">
        <v>0</v>
      </c>
      <c r="T169">
        <f>SUM(Table1[[#This Row],[DTP Received]:[LPO/ LOA/ SOA Issue Date]])</f>
        <v>39</v>
      </c>
    </row>
    <row r="170" spans="2:20" x14ac:dyDescent="0.25">
      <c r="B170" t="s">
        <v>585</v>
      </c>
      <c r="C170" t="s">
        <v>371</v>
      </c>
      <c r="D170" s="3">
        <v>2</v>
      </c>
      <c r="E170" s="3">
        <v>1</v>
      </c>
      <c r="F170" s="3">
        <v>0</v>
      </c>
      <c r="G170" s="3">
        <v>5</v>
      </c>
      <c r="H170" s="3">
        <v>5</v>
      </c>
      <c r="I170" s="3">
        <v>1</v>
      </c>
      <c r="J170" s="3">
        <v>3</v>
      </c>
      <c r="K170" s="3">
        <v>2</v>
      </c>
      <c r="L170" s="3">
        <v>7</v>
      </c>
      <c r="M170" s="3">
        <v>3</v>
      </c>
      <c r="N170" s="3">
        <v>1</v>
      </c>
      <c r="O170" s="3">
        <v>2</v>
      </c>
      <c r="P170" s="3">
        <v>2</v>
      </c>
      <c r="Q170" s="3">
        <v>5</v>
      </c>
      <c r="R170" s="3">
        <v>0</v>
      </c>
      <c r="T170">
        <f>SUM(Table1[[#This Row],[DTP Received]:[LPO/ LOA/ SOA Issue Date]])</f>
        <v>39</v>
      </c>
    </row>
    <row r="171" spans="2:20" x14ac:dyDescent="0.25">
      <c r="B171" t="s">
        <v>586</v>
      </c>
      <c r="C171" t="s">
        <v>371</v>
      </c>
      <c r="D171" s="3">
        <v>2</v>
      </c>
      <c r="E171" s="3">
        <v>1</v>
      </c>
      <c r="F171" s="3">
        <v>0</v>
      </c>
      <c r="G171" s="3">
        <v>5</v>
      </c>
      <c r="H171" s="3">
        <v>5</v>
      </c>
      <c r="I171" s="3">
        <v>1</v>
      </c>
      <c r="J171" s="3">
        <v>3</v>
      </c>
      <c r="K171" s="3">
        <v>2</v>
      </c>
      <c r="L171" s="3">
        <v>7</v>
      </c>
      <c r="M171" s="3">
        <v>3</v>
      </c>
      <c r="N171" s="3">
        <v>1</v>
      </c>
      <c r="O171" s="3">
        <v>2</v>
      </c>
      <c r="P171" s="3">
        <v>2</v>
      </c>
      <c r="Q171" s="3">
        <v>5</v>
      </c>
      <c r="R171" s="3">
        <v>0</v>
      </c>
      <c r="T171">
        <f>SUM(Table1[[#This Row],[DTP Received]:[LPO/ LOA/ SOA Issue Date]])</f>
        <v>39</v>
      </c>
    </row>
    <row r="172" spans="2:20" x14ac:dyDescent="0.25">
      <c r="B172" t="s">
        <v>587</v>
      </c>
      <c r="C172" t="s">
        <v>371</v>
      </c>
      <c r="D172" s="3">
        <v>2</v>
      </c>
      <c r="E172" s="3">
        <v>1</v>
      </c>
      <c r="F172" s="3">
        <v>0</v>
      </c>
      <c r="G172" s="3">
        <v>5</v>
      </c>
      <c r="H172" s="3">
        <v>5</v>
      </c>
      <c r="I172" s="3">
        <v>1</v>
      </c>
      <c r="J172" s="3">
        <v>3</v>
      </c>
      <c r="K172" s="3">
        <v>2</v>
      </c>
      <c r="L172" s="3">
        <v>7</v>
      </c>
      <c r="M172" s="3">
        <v>3</v>
      </c>
      <c r="N172" s="3">
        <v>1</v>
      </c>
      <c r="O172" s="3">
        <v>2</v>
      </c>
      <c r="P172" s="3">
        <v>2</v>
      </c>
      <c r="Q172" s="3">
        <v>5</v>
      </c>
      <c r="R172" s="3">
        <v>0</v>
      </c>
      <c r="T172">
        <f>SUM(Table1[[#This Row],[DTP Received]:[LPO/ LOA/ SOA Issue Date]])</f>
        <v>39</v>
      </c>
    </row>
    <row r="173" spans="2:20" x14ac:dyDescent="0.25">
      <c r="B173" t="s">
        <v>588</v>
      </c>
      <c r="C173" t="s">
        <v>371</v>
      </c>
      <c r="D173" s="3">
        <v>2</v>
      </c>
      <c r="E173" s="3">
        <v>1</v>
      </c>
      <c r="F173" s="3">
        <v>0</v>
      </c>
      <c r="G173" s="3">
        <v>5</v>
      </c>
      <c r="H173" s="3">
        <v>5</v>
      </c>
      <c r="I173" s="3">
        <v>1</v>
      </c>
      <c r="J173" s="3">
        <v>3</v>
      </c>
      <c r="K173" s="3">
        <v>2</v>
      </c>
      <c r="L173" s="3">
        <v>7</v>
      </c>
      <c r="M173" s="3">
        <v>3</v>
      </c>
      <c r="N173" s="3">
        <v>1</v>
      </c>
      <c r="O173" s="3">
        <v>2</v>
      </c>
      <c r="P173" s="3">
        <v>2</v>
      </c>
      <c r="Q173" s="3">
        <v>5</v>
      </c>
      <c r="R173" s="3">
        <v>0</v>
      </c>
      <c r="T173">
        <f>SUM(Table1[[#This Row],[DTP Received]:[LPO/ LOA/ SOA Issue Date]])</f>
        <v>39</v>
      </c>
    </row>
    <row r="174" spans="2:20" x14ac:dyDescent="0.25">
      <c r="B174" t="s">
        <v>589</v>
      </c>
      <c r="C174" t="s">
        <v>590</v>
      </c>
      <c r="D174" s="3">
        <v>2</v>
      </c>
      <c r="E174" s="3">
        <v>1</v>
      </c>
      <c r="F174" s="3">
        <v>0</v>
      </c>
      <c r="G174" s="3">
        <v>5</v>
      </c>
      <c r="H174" s="3">
        <v>5</v>
      </c>
      <c r="I174" s="3">
        <v>1</v>
      </c>
      <c r="J174" s="3">
        <v>3</v>
      </c>
      <c r="K174" s="3">
        <v>2</v>
      </c>
      <c r="L174" s="3">
        <v>7</v>
      </c>
      <c r="M174" s="3">
        <v>3</v>
      </c>
      <c r="N174" s="3">
        <v>1</v>
      </c>
      <c r="O174" s="3">
        <v>2</v>
      </c>
      <c r="P174" s="3">
        <v>2</v>
      </c>
      <c r="Q174" s="3">
        <v>5</v>
      </c>
      <c r="R174" s="3">
        <v>0</v>
      </c>
      <c r="T174">
        <f>SUM(Table1[[#This Row],[DTP Received]:[LPO/ LOA/ SOA Issue Date]])</f>
        <v>39</v>
      </c>
    </row>
    <row r="175" spans="2:20" x14ac:dyDescent="0.25">
      <c r="B175" t="s">
        <v>591</v>
      </c>
      <c r="C175" t="s">
        <v>592</v>
      </c>
      <c r="D175" s="3">
        <v>2</v>
      </c>
      <c r="E175" s="3">
        <v>1</v>
      </c>
      <c r="F175" s="3">
        <v>0</v>
      </c>
      <c r="G175" s="3">
        <v>7</v>
      </c>
      <c r="H175" s="3">
        <v>5</v>
      </c>
      <c r="I175" s="3">
        <v>1</v>
      </c>
      <c r="J175" s="3">
        <v>3</v>
      </c>
      <c r="K175" s="3">
        <v>2</v>
      </c>
      <c r="L175" s="3">
        <v>3</v>
      </c>
      <c r="M175" s="3">
        <v>3</v>
      </c>
      <c r="N175" s="3">
        <v>1</v>
      </c>
      <c r="O175" s="3">
        <v>2</v>
      </c>
      <c r="P175" s="3">
        <v>2</v>
      </c>
      <c r="Q175" s="3">
        <v>5</v>
      </c>
      <c r="R175" s="3">
        <v>0</v>
      </c>
      <c r="T175">
        <f>SUM(Table1[[#This Row],[DTP Received]:[LPO/ LOA/ SOA Issue Date]])</f>
        <v>37</v>
      </c>
    </row>
    <row r="176" spans="2:20" x14ac:dyDescent="0.25">
      <c r="B176" t="s">
        <v>593</v>
      </c>
      <c r="C176" t="s">
        <v>594</v>
      </c>
      <c r="D176" s="3">
        <v>2</v>
      </c>
      <c r="E176" s="3">
        <v>1</v>
      </c>
      <c r="F176" s="3">
        <v>0</v>
      </c>
      <c r="G176" s="3">
        <v>5</v>
      </c>
      <c r="H176" s="3">
        <v>5</v>
      </c>
      <c r="I176" s="3">
        <v>1</v>
      </c>
      <c r="J176" s="3">
        <v>3</v>
      </c>
      <c r="K176" s="3">
        <v>2</v>
      </c>
      <c r="L176" s="3">
        <v>7</v>
      </c>
      <c r="M176" s="3">
        <v>3</v>
      </c>
      <c r="N176" s="3">
        <v>1</v>
      </c>
      <c r="O176" s="3">
        <v>2</v>
      </c>
      <c r="P176" s="3">
        <v>2</v>
      </c>
      <c r="Q176" s="3">
        <v>5</v>
      </c>
      <c r="R176" s="3">
        <v>0</v>
      </c>
      <c r="T176">
        <f>SUM(Table1[[#This Row],[DTP Received]:[LPO/ LOA/ SOA Issue Date]])</f>
        <v>39</v>
      </c>
    </row>
    <row r="177" spans="2:20" x14ac:dyDescent="0.25">
      <c r="B177" t="s">
        <v>595</v>
      </c>
      <c r="C177" t="s">
        <v>596</v>
      </c>
      <c r="D177" s="3">
        <v>2</v>
      </c>
      <c r="E177" s="3">
        <v>1</v>
      </c>
      <c r="F177" s="3">
        <v>0</v>
      </c>
      <c r="G177" s="3">
        <v>5</v>
      </c>
      <c r="H177" s="3">
        <v>5</v>
      </c>
      <c r="I177" s="3">
        <v>1</v>
      </c>
      <c r="J177" s="3">
        <v>3</v>
      </c>
      <c r="K177" s="3">
        <v>2</v>
      </c>
      <c r="L177" s="3">
        <v>7</v>
      </c>
      <c r="M177" s="3">
        <v>3</v>
      </c>
      <c r="N177" s="3">
        <v>1</v>
      </c>
      <c r="O177" s="3">
        <v>2</v>
      </c>
      <c r="P177" s="3">
        <v>2</v>
      </c>
      <c r="Q177" s="3">
        <v>5</v>
      </c>
      <c r="R177" s="3">
        <v>0</v>
      </c>
      <c r="T177">
        <f>SUM(Table1[[#This Row],[DTP Received]:[LPO/ LOA/ SOA Issue Date]])</f>
        <v>39</v>
      </c>
    </row>
    <row r="178" spans="2:20" x14ac:dyDescent="0.25">
      <c r="B178" t="s">
        <v>597</v>
      </c>
      <c r="C178" t="s">
        <v>598</v>
      </c>
      <c r="D178" s="3">
        <v>2</v>
      </c>
      <c r="E178" s="3">
        <v>1</v>
      </c>
      <c r="F178" s="3">
        <v>0</v>
      </c>
      <c r="G178" s="3">
        <v>5</v>
      </c>
      <c r="H178" s="3">
        <v>5</v>
      </c>
      <c r="I178" s="3">
        <v>1</v>
      </c>
      <c r="J178" s="3">
        <v>3</v>
      </c>
      <c r="K178" s="3">
        <v>2</v>
      </c>
      <c r="L178" s="3">
        <v>7</v>
      </c>
      <c r="M178" s="3">
        <v>3</v>
      </c>
      <c r="N178" s="3">
        <v>1</v>
      </c>
      <c r="O178" s="3">
        <v>2</v>
      </c>
      <c r="P178" s="3">
        <v>2</v>
      </c>
      <c r="Q178" s="3">
        <v>5</v>
      </c>
      <c r="R178" s="3">
        <v>0</v>
      </c>
      <c r="T178">
        <f>SUM(Table1[[#This Row],[DTP Received]:[LPO/ LOA/ SOA Issue Date]])</f>
        <v>39</v>
      </c>
    </row>
    <row r="179" spans="2:20" x14ac:dyDescent="0.25">
      <c r="B179" t="s">
        <v>599</v>
      </c>
      <c r="C179" t="s">
        <v>371</v>
      </c>
      <c r="D179" s="3">
        <v>2</v>
      </c>
      <c r="E179" s="3">
        <v>1</v>
      </c>
      <c r="F179" s="3">
        <v>0</v>
      </c>
      <c r="G179" s="3">
        <v>5</v>
      </c>
      <c r="H179" s="3">
        <v>5</v>
      </c>
      <c r="I179" s="3">
        <v>1</v>
      </c>
      <c r="J179" s="3">
        <v>3</v>
      </c>
      <c r="K179" s="3">
        <v>2</v>
      </c>
      <c r="L179" s="3">
        <v>7</v>
      </c>
      <c r="M179" s="3">
        <v>3</v>
      </c>
      <c r="N179" s="3">
        <v>1</v>
      </c>
      <c r="O179" s="3">
        <v>2</v>
      </c>
      <c r="P179" s="3">
        <v>2</v>
      </c>
      <c r="Q179" s="3">
        <v>5</v>
      </c>
      <c r="R179" s="3">
        <v>0</v>
      </c>
      <c r="T179">
        <f>SUM(Table1[[#This Row],[DTP Received]:[LPO/ LOA/ SOA Issue Date]])</f>
        <v>39</v>
      </c>
    </row>
    <row r="180" spans="2:20" x14ac:dyDescent="0.25">
      <c r="B180" t="s">
        <v>600</v>
      </c>
      <c r="C180" t="s">
        <v>371</v>
      </c>
      <c r="D180" s="3">
        <v>2</v>
      </c>
      <c r="E180" s="3">
        <v>1</v>
      </c>
      <c r="F180" s="3">
        <v>0</v>
      </c>
      <c r="G180" s="3">
        <v>5</v>
      </c>
      <c r="H180" s="3">
        <v>5</v>
      </c>
      <c r="I180" s="3">
        <v>1</v>
      </c>
      <c r="J180" s="3">
        <v>3</v>
      </c>
      <c r="K180" s="3">
        <v>2</v>
      </c>
      <c r="L180" s="3">
        <v>7</v>
      </c>
      <c r="M180" s="3">
        <v>3</v>
      </c>
      <c r="N180" s="3">
        <v>1</v>
      </c>
      <c r="O180" s="3">
        <v>2</v>
      </c>
      <c r="P180" s="3">
        <v>2</v>
      </c>
      <c r="Q180" s="3">
        <v>5</v>
      </c>
      <c r="R180" s="3">
        <v>0</v>
      </c>
      <c r="T180">
        <f>SUM(Table1[[#This Row],[DTP Received]:[LPO/ LOA/ SOA Issue Date]])</f>
        <v>39</v>
      </c>
    </row>
    <row r="181" spans="2:20" x14ac:dyDescent="0.25">
      <c r="B181" t="s">
        <v>601</v>
      </c>
      <c r="C181" t="s">
        <v>371</v>
      </c>
      <c r="D181" s="3">
        <v>2</v>
      </c>
      <c r="E181" s="3">
        <v>1</v>
      </c>
      <c r="F181" s="3">
        <v>0</v>
      </c>
      <c r="G181" s="3">
        <v>5</v>
      </c>
      <c r="H181" s="3">
        <v>5</v>
      </c>
      <c r="I181" s="3">
        <v>1</v>
      </c>
      <c r="J181" s="3">
        <v>3</v>
      </c>
      <c r="K181" s="3">
        <v>2</v>
      </c>
      <c r="L181" s="3">
        <v>7</v>
      </c>
      <c r="M181" s="3">
        <v>3</v>
      </c>
      <c r="N181" s="3">
        <v>1</v>
      </c>
      <c r="O181" s="3">
        <v>2</v>
      </c>
      <c r="P181" s="3">
        <v>2</v>
      </c>
      <c r="Q181" s="3">
        <v>5</v>
      </c>
      <c r="R181" s="3">
        <v>0</v>
      </c>
      <c r="T181">
        <f>SUM(Table1[[#This Row],[DTP Received]:[LPO/ LOA/ SOA Issue Date]])</f>
        <v>39</v>
      </c>
    </row>
    <row r="182" spans="2:20" x14ac:dyDescent="0.25">
      <c r="B182" t="s">
        <v>602</v>
      </c>
      <c r="C182" t="s">
        <v>371</v>
      </c>
      <c r="D182" s="3">
        <v>2</v>
      </c>
      <c r="E182" s="3">
        <v>1</v>
      </c>
      <c r="F182" s="3">
        <v>0</v>
      </c>
      <c r="G182" s="3">
        <v>5</v>
      </c>
      <c r="H182" s="3">
        <v>5</v>
      </c>
      <c r="I182" s="3">
        <v>1</v>
      </c>
      <c r="J182" s="3">
        <v>3</v>
      </c>
      <c r="K182" s="3">
        <v>2</v>
      </c>
      <c r="L182" s="3">
        <v>7</v>
      </c>
      <c r="M182" s="3">
        <v>3</v>
      </c>
      <c r="N182" s="3">
        <v>1</v>
      </c>
      <c r="O182" s="3">
        <v>2</v>
      </c>
      <c r="P182" s="3">
        <v>2</v>
      </c>
      <c r="Q182" s="3">
        <v>5</v>
      </c>
      <c r="R182" s="3">
        <v>0</v>
      </c>
      <c r="T182">
        <f>SUM(Table1[[#This Row],[DTP Received]:[LPO/ LOA/ SOA Issue Date]])</f>
        <v>39</v>
      </c>
    </row>
    <row r="183" spans="2:20" x14ac:dyDescent="0.25">
      <c r="B183" t="s">
        <v>603</v>
      </c>
      <c r="C183" t="s">
        <v>371</v>
      </c>
      <c r="D183" s="3">
        <v>2</v>
      </c>
      <c r="E183" s="3">
        <v>1</v>
      </c>
      <c r="F183" s="3">
        <v>0</v>
      </c>
      <c r="G183" s="3">
        <v>5</v>
      </c>
      <c r="H183" s="3">
        <v>5</v>
      </c>
      <c r="I183" s="3">
        <v>1</v>
      </c>
      <c r="J183" s="3">
        <v>3</v>
      </c>
      <c r="K183" s="3">
        <v>2</v>
      </c>
      <c r="L183" s="3">
        <v>7</v>
      </c>
      <c r="M183" s="3">
        <v>3</v>
      </c>
      <c r="N183" s="3">
        <v>1</v>
      </c>
      <c r="O183" s="3">
        <v>2</v>
      </c>
      <c r="P183" s="3">
        <v>2</v>
      </c>
      <c r="Q183" s="3">
        <v>5</v>
      </c>
      <c r="R183" s="3">
        <v>0</v>
      </c>
      <c r="T183">
        <f>SUM(Table1[[#This Row],[DTP Received]:[LPO/ LOA/ SOA Issue Date]])</f>
        <v>39</v>
      </c>
    </row>
    <row r="184" spans="2:20" x14ac:dyDescent="0.25">
      <c r="B184" t="s">
        <v>604</v>
      </c>
      <c r="C184" t="s">
        <v>371</v>
      </c>
      <c r="D184" s="3">
        <v>2</v>
      </c>
      <c r="E184" s="3">
        <v>1</v>
      </c>
      <c r="F184" s="3">
        <v>0</v>
      </c>
      <c r="G184" s="3">
        <v>5</v>
      </c>
      <c r="H184" s="3">
        <v>5</v>
      </c>
      <c r="I184" s="3">
        <v>1</v>
      </c>
      <c r="J184" s="3">
        <v>3</v>
      </c>
      <c r="K184" s="3">
        <v>2</v>
      </c>
      <c r="L184" s="3">
        <v>7</v>
      </c>
      <c r="M184" s="3">
        <v>3</v>
      </c>
      <c r="N184" s="3">
        <v>1</v>
      </c>
      <c r="O184" s="3">
        <v>2</v>
      </c>
      <c r="P184" s="3">
        <v>2</v>
      </c>
      <c r="Q184" s="3">
        <v>5</v>
      </c>
      <c r="R184" s="3">
        <v>0</v>
      </c>
      <c r="T184">
        <f>SUM(Table1[[#This Row],[DTP Received]:[LPO/ LOA/ SOA Issue Date]])</f>
        <v>39</v>
      </c>
    </row>
    <row r="185" spans="2:20" x14ac:dyDescent="0.25">
      <c r="B185" t="s">
        <v>605</v>
      </c>
      <c r="C185" t="s">
        <v>606</v>
      </c>
      <c r="D185" s="3">
        <v>2</v>
      </c>
      <c r="E185" s="3">
        <v>1</v>
      </c>
      <c r="F185" s="3">
        <v>0</v>
      </c>
      <c r="G185" s="3">
        <v>5</v>
      </c>
      <c r="H185" s="3">
        <v>5</v>
      </c>
      <c r="I185" s="3">
        <v>1</v>
      </c>
      <c r="J185" s="3">
        <v>3</v>
      </c>
      <c r="K185" s="3">
        <v>2</v>
      </c>
      <c r="L185" s="3">
        <v>7</v>
      </c>
      <c r="M185" s="3">
        <v>3</v>
      </c>
      <c r="N185" s="3">
        <v>1</v>
      </c>
      <c r="O185" s="3">
        <v>2</v>
      </c>
      <c r="P185" s="3">
        <v>2</v>
      </c>
      <c r="Q185" s="3">
        <v>5</v>
      </c>
      <c r="R185" s="3">
        <v>0</v>
      </c>
      <c r="T185">
        <f>SUM(Table1[[#This Row],[DTP Received]:[LPO/ LOA/ SOA Issue Date]])</f>
        <v>39</v>
      </c>
    </row>
    <row r="186" spans="2:20" x14ac:dyDescent="0.25">
      <c r="B186" t="s">
        <v>607</v>
      </c>
      <c r="C186" t="s">
        <v>608</v>
      </c>
      <c r="D186" s="3">
        <v>2</v>
      </c>
      <c r="E186" s="3">
        <v>1</v>
      </c>
      <c r="F186" s="3">
        <v>0</v>
      </c>
      <c r="G186" s="3">
        <v>5</v>
      </c>
      <c r="H186" s="3">
        <v>5</v>
      </c>
      <c r="I186" s="3">
        <v>1</v>
      </c>
      <c r="J186" s="3">
        <v>3</v>
      </c>
      <c r="K186" s="3">
        <v>2</v>
      </c>
      <c r="L186" s="3">
        <v>7</v>
      </c>
      <c r="M186" s="3">
        <v>3</v>
      </c>
      <c r="N186" s="3">
        <v>1</v>
      </c>
      <c r="O186" s="3">
        <v>2</v>
      </c>
      <c r="P186" s="3">
        <v>2</v>
      </c>
      <c r="Q186" s="3">
        <v>5</v>
      </c>
      <c r="R186" s="3">
        <v>0</v>
      </c>
      <c r="T186">
        <f>SUM(Table1[[#This Row],[DTP Received]:[LPO/ LOA/ SOA Issue Date]])</f>
        <v>39</v>
      </c>
    </row>
    <row r="187" spans="2:20" x14ac:dyDescent="0.25">
      <c r="B187" t="s">
        <v>609</v>
      </c>
      <c r="C187" t="s">
        <v>610</v>
      </c>
      <c r="D187" s="3">
        <v>2</v>
      </c>
      <c r="E187" s="3">
        <v>1</v>
      </c>
      <c r="F187" s="3">
        <v>0</v>
      </c>
      <c r="G187" s="3">
        <v>5</v>
      </c>
      <c r="H187" s="3">
        <v>5</v>
      </c>
      <c r="I187" s="3">
        <v>1</v>
      </c>
      <c r="J187" s="3">
        <v>3</v>
      </c>
      <c r="K187" s="3">
        <v>2</v>
      </c>
      <c r="L187" s="3">
        <v>7</v>
      </c>
      <c r="M187" s="3">
        <v>3</v>
      </c>
      <c r="N187" s="3">
        <v>1</v>
      </c>
      <c r="O187" s="3">
        <v>2</v>
      </c>
      <c r="P187" s="3">
        <v>2</v>
      </c>
      <c r="Q187" s="3">
        <v>5</v>
      </c>
      <c r="R187" s="3">
        <v>0</v>
      </c>
      <c r="T187">
        <f>SUM(Table1[[#This Row],[DTP Received]:[LPO/ LOA/ SOA Issue Date]])</f>
        <v>39</v>
      </c>
    </row>
    <row r="188" spans="2:20" x14ac:dyDescent="0.25">
      <c r="B188" t="s">
        <v>611</v>
      </c>
      <c r="C188" t="s">
        <v>371</v>
      </c>
      <c r="D188" s="3">
        <v>2</v>
      </c>
      <c r="E188" s="3">
        <v>1</v>
      </c>
      <c r="F188" s="3">
        <v>0</v>
      </c>
      <c r="G188" s="3">
        <v>5</v>
      </c>
      <c r="H188" s="3">
        <v>5</v>
      </c>
      <c r="I188" s="3">
        <v>1</v>
      </c>
      <c r="J188" s="3">
        <v>3</v>
      </c>
      <c r="K188" s="3">
        <v>2</v>
      </c>
      <c r="L188" s="3">
        <v>7</v>
      </c>
      <c r="M188" s="3">
        <v>3</v>
      </c>
      <c r="N188" s="3">
        <v>1</v>
      </c>
      <c r="O188" s="3">
        <v>2</v>
      </c>
      <c r="P188" s="3">
        <v>2</v>
      </c>
      <c r="Q188" s="3">
        <v>5</v>
      </c>
      <c r="R188" s="3">
        <v>0</v>
      </c>
      <c r="T188">
        <f>SUM(Table1[[#This Row],[DTP Received]:[LPO/ LOA/ SOA Issue Date]])</f>
        <v>39</v>
      </c>
    </row>
    <row r="189" spans="2:20" x14ac:dyDescent="0.25">
      <c r="B189" t="s">
        <v>612</v>
      </c>
      <c r="C189" t="s">
        <v>371</v>
      </c>
      <c r="D189" s="3">
        <v>2</v>
      </c>
      <c r="E189" s="3">
        <v>1</v>
      </c>
      <c r="F189" s="3">
        <v>0</v>
      </c>
      <c r="G189" s="3">
        <v>5</v>
      </c>
      <c r="H189" s="3">
        <v>5</v>
      </c>
      <c r="I189" s="3">
        <v>1</v>
      </c>
      <c r="J189" s="3">
        <v>3</v>
      </c>
      <c r="K189" s="3">
        <v>2</v>
      </c>
      <c r="L189" s="3">
        <v>7</v>
      </c>
      <c r="M189" s="3">
        <v>3</v>
      </c>
      <c r="N189" s="3">
        <v>1</v>
      </c>
      <c r="O189" s="3">
        <v>2</v>
      </c>
      <c r="P189" s="3">
        <v>2</v>
      </c>
      <c r="Q189" s="3">
        <v>5</v>
      </c>
      <c r="R189" s="3">
        <v>0</v>
      </c>
      <c r="T189">
        <f>SUM(Table1[[#This Row],[DTP Received]:[LPO/ LOA/ SOA Issue Date]])</f>
        <v>39</v>
      </c>
    </row>
    <row r="190" spans="2:20" x14ac:dyDescent="0.25">
      <c r="B190" t="s">
        <v>613</v>
      </c>
      <c r="C190" t="s">
        <v>371</v>
      </c>
      <c r="D190" s="3">
        <v>2</v>
      </c>
      <c r="E190" s="3">
        <v>1</v>
      </c>
      <c r="F190" s="3">
        <v>0</v>
      </c>
      <c r="G190" s="3">
        <v>5</v>
      </c>
      <c r="H190" s="3">
        <v>5</v>
      </c>
      <c r="I190" s="3">
        <v>1</v>
      </c>
      <c r="J190" s="3">
        <v>3</v>
      </c>
      <c r="K190" s="3">
        <v>2</v>
      </c>
      <c r="L190" s="3">
        <v>7</v>
      </c>
      <c r="M190" s="3">
        <v>3</v>
      </c>
      <c r="N190" s="3">
        <v>1</v>
      </c>
      <c r="O190" s="3">
        <v>2</v>
      </c>
      <c r="P190" s="3">
        <v>2</v>
      </c>
      <c r="Q190" s="3">
        <v>5</v>
      </c>
      <c r="R190" s="3">
        <v>0</v>
      </c>
      <c r="T190">
        <f>SUM(Table1[[#This Row],[DTP Received]:[LPO/ LOA/ SOA Issue Date]])</f>
        <v>39</v>
      </c>
    </row>
    <row r="191" spans="2:20" x14ac:dyDescent="0.25">
      <c r="B191" t="s">
        <v>614</v>
      </c>
      <c r="C191" t="s">
        <v>371</v>
      </c>
      <c r="D191" s="3">
        <v>2</v>
      </c>
      <c r="E191" s="3">
        <v>1</v>
      </c>
      <c r="F191" s="3">
        <v>0</v>
      </c>
      <c r="G191" s="3">
        <v>5</v>
      </c>
      <c r="H191" s="3">
        <v>5</v>
      </c>
      <c r="I191" s="3">
        <v>1</v>
      </c>
      <c r="J191" s="3">
        <v>3</v>
      </c>
      <c r="K191" s="3">
        <v>2</v>
      </c>
      <c r="L191" s="3">
        <v>7</v>
      </c>
      <c r="M191" s="3">
        <v>3</v>
      </c>
      <c r="N191" s="3">
        <v>1</v>
      </c>
      <c r="O191" s="3">
        <v>2</v>
      </c>
      <c r="P191" s="3">
        <v>2</v>
      </c>
      <c r="Q191" s="3">
        <v>5</v>
      </c>
      <c r="R191" s="3">
        <v>0</v>
      </c>
      <c r="T191">
        <f>SUM(Table1[[#This Row],[DTP Received]:[LPO/ LOA/ SOA Issue Date]])</f>
        <v>39</v>
      </c>
    </row>
    <row r="192" spans="2:20" x14ac:dyDescent="0.25">
      <c r="B192" t="s">
        <v>615</v>
      </c>
      <c r="C192" t="s">
        <v>371</v>
      </c>
      <c r="D192" s="3">
        <v>2</v>
      </c>
      <c r="E192" s="3">
        <v>1</v>
      </c>
      <c r="F192" s="3">
        <v>0</v>
      </c>
      <c r="G192" s="3">
        <v>5</v>
      </c>
      <c r="H192" s="3">
        <v>5</v>
      </c>
      <c r="I192" s="3">
        <v>1</v>
      </c>
      <c r="J192" s="3">
        <v>3</v>
      </c>
      <c r="K192" s="3">
        <v>2</v>
      </c>
      <c r="L192" s="3">
        <v>7</v>
      </c>
      <c r="M192" s="3">
        <v>3</v>
      </c>
      <c r="N192" s="3">
        <v>1</v>
      </c>
      <c r="O192" s="3">
        <v>2</v>
      </c>
      <c r="P192" s="3">
        <v>2</v>
      </c>
      <c r="Q192" s="3">
        <v>5</v>
      </c>
      <c r="R192" s="3">
        <v>0</v>
      </c>
      <c r="T192">
        <f>SUM(Table1[[#This Row],[DTP Received]:[LPO/ LOA/ SOA Issue Date]])</f>
        <v>39</v>
      </c>
    </row>
    <row r="193" spans="2:20" x14ac:dyDescent="0.25">
      <c r="B193" t="s">
        <v>616</v>
      </c>
      <c r="C193" t="s">
        <v>371</v>
      </c>
      <c r="D193" s="3">
        <v>2</v>
      </c>
      <c r="E193" s="3">
        <v>1</v>
      </c>
      <c r="F193" s="3">
        <v>0</v>
      </c>
      <c r="G193" s="3">
        <v>5</v>
      </c>
      <c r="H193" s="3">
        <v>5</v>
      </c>
      <c r="I193" s="3">
        <v>1</v>
      </c>
      <c r="J193" s="3">
        <v>3</v>
      </c>
      <c r="K193" s="3">
        <v>2</v>
      </c>
      <c r="L193" s="3">
        <v>7</v>
      </c>
      <c r="M193" s="3">
        <v>3</v>
      </c>
      <c r="N193" s="3">
        <v>1</v>
      </c>
      <c r="O193" s="3">
        <v>2</v>
      </c>
      <c r="P193" s="3">
        <v>2</v>
      </c>
      <c r="Q193" s="3">
        <v>5</v>
      </c>
      <c r="R193" s="3">
        <v>0</v>
      </c>
      <c r="T193">
        <f>SUM(Table1[[#This Row],[DTP Received]:[LPO/ LOA/ SOA Issue Date]])</f>
        <v>39</v>
      </c>
    </row>
    <row r="194" spans="2:20" x14ac:dyDescent="0.25">
      <c r="B194" t="s">
        <v>617</v>
      </c>
      <c r="C194" t="s">
        <v>618</v>
      </c>
      <c r="D194" s="3">
        <v>2</v>
      </c>
      <c r="E194" s="3">
        <v>1</v>
      </c>
      <c r="F194" s="3">
        <v>0</v>
      </c>
      <c r="G194" s="3">
        <v>5</v>
      </c>
      <c r="H194" s="3">
        <v>5</v>
      </c>
      <c r="I194" s="3">
        <v>1</v>
      </c>
      <c r="J194" s="3">
        <v>3</v>
      </c>
      <c r="K194" s="3">
        <v>2</v>
      </c>
      <c r="L194" s="3">
        <v>7</v>
      </c>
      <c r="M194" s="3">
        <v>3</v>
      </c>
      <c r="N194" s="3">
        <v>1</v>
      </c>
      <c r="O194" s="3">
        <v>2</v>
      </c>
      <c r="P194" s="3">
        <v>2</v>
      </c>
      <c r="Q194" s="3">
        <v>5</v>
      </c>
      <c r="R194" s="3">
        <v>0</v>
      </c>
      <c r="T194">
        <f>SUM(Table1[[#This Row],[DTP Received]:[LPO/ LOA/ SOA Issue Date]])</f>
        <v>39</v>
      </c>
    </row>
    <row r="195" spans="2:20" x14ac:dyDescent="0.25">
      <c r="B195" t="s">
        <v>212</v>
      </c>
      <c r="C195" t="s">
        <v>69</v>
      </c>
      <c r="D195" s="3">
        <v>2</v>
      </c>
      <c r="E195" s="3">
        <v>1</v>
      </c>
      <c r="F195" s="3">
        <v>0</v>
      </c>
      <c r="G195" s="3">
        <v>5</v>
      </c>
      <c r="H195" s="3">
        <v>5</v>
      </c>
      <c r="I195" s="3">
        <v>1</v>
      </c>
      <c r="J195" s="3">
        <v>3</v>
      </c>
      <c r="K195" s="3">
        <v>2</v>
      </c>
      <c r="L195" s="3">
        <v>7</v>
      </c>
      <c r="M195" s="3">
        <v>3</v>
      </c>
      <c r="N195" s="3">
        <v>1</v>
      </c>
      <c r="O195" s="3">
        <v>2</v>
      </c>
      <c r="P195" s="3">
        <v>2</v>
      </c>
      <c r="Q195" s="3">
        <v>5</v>
      </c>
      <c r="R195" s="3">
        <v>0</v>
      </c>
      <c r="T195">
        <f>SUM(Table1[[#This Row],[DTP Received]:[LPO/ LOA/ SOA Issue Date]])</f>
        <v>39</v>
      </c>
    </row>
    <row r="196" spans="2:20" x14ac:dyDescent="0.25">
      <c r="B196" t="s">
        <v>619</v>
      </c>
      <c r="C196" t="s">
        <v>620</v>
      </c>
      <c r="D196" s="3">
        <v>2</v>
      </c>
      <c r="E196" s="3">
        <v>1</v>
      </c>
      <c r="F196" s="3">
        <v>0</v>
      </c>
      <c r="G196" s="3">
        <v>5</v>
      </c>
      <c r="H196" s="3">
        <v>5</v>
      </c>
      <c r="I196" s="3">
        <v>1</v>
      </c>
      <c r="J196" s="3">
        <v>3</v>
      </c>
      <c r="K196" s="3">
        <v>2</v>
      </c>
      <c r="L196" s="3">
        <v>7</v>
      </c>
      <c r="M196" s="3">
        <v>3</v>
      </c>
      <c r="N196" s="3">
        <v>1</v>
      </c>
      <c r="O196" s="3">
        <v>2</v>
      </c>
      <c r="P196" s="3">
        <v>2</v>
      </c>
      <c r="Q196" s="3">
        <v>5</v>
      </c>
      <c r="R196" s="3">
        <v>0</v>
      </c>
      <c r="T196">
        <f>SUM(Table1[[#This Row],[DTP Received]:[LPO/ LOA/ SOA Issue Date]])</f>
        <v>39</v>
      </c>
    </row>
    <row r="197" spans="2:20" x14ac:dyDescent="0.25">
      <c r="B197" t="s">
        <v>621</v>
      </c>
      <c r="C197" t="s">
        <v>371</v>
      </c>
      <c r="D197" s="3">
        <v>2</v>
      </c>
      <c r="E197" s="3">
        <v>1</v>
      </c>
      <c r="F197" s="3">
        <v>0</v>
      </c>
      <c r="G197" s="3">
        <v>5</v>
      </c>
      <c r="H197" s="3">
        <v>5</v>
      </c>
      <c r="I197" s="3">
        <v>1</v>
      </c>
      <c r="J197" s="3">
        <v>3</v>
      </c>
      <c r="K197" s="3">
        <v>2</v>
      </c>
      <c r="L197" s="3">
        <v>7</v>
      </c>
      <c r="M197" s="3">
        <v>3</v>
      </c>
      <c r="N197" s="3">
        <v>1</v>
      </c>
      <c r="O197" s="3">
        <v>2</v>
      </c>
      <c r="P197" s="3">
        <v>2</v>
      </c>
      <c r="Q197" s="3">
        <v>5</v>
      </c>
      <c r="R197" s="3">
        <v>0</v>
      </c>
      <c r="T197">
        <f>SUM(Table1[[#This Row],[DTP Received]:[LPO/ LOA/ SOA Issue Date]])</f>
        <v>39</v>
      </c>
    </row>
    <row r="198" spans="2:20" x14ac:dyDescent="0.25">
      <c r="B198" t="s">
        <v>622</v>
      </c>
      <c r="C198" t="s">
        <v>371</v>
      </c>
      <c r="D198" s="3">
        <v>2</v>
      </c>
      <c r="E198" s="3">
        <v>1</v>
      </c>
      <c r="F198" s="3">
        <v>0</v>
      </c>
      <c r="G198" s="3">
        <v>5</v>
      </c>
      <c r="H198" s="3">
        <v>5</v>
      </c>
      <c r="I198" s="3">
        <v>1</v>
      </c>
      <c r="J198" s="3">
        <v>3</v>
      </c>
      <c r="K198" s="3">
        <v>2</v>
      </c>
      <c r="L198" s="3">
        <v>7</v>
      </c>
      <c r="M198" s="3">
        <v>3</v>
      </c>
      <c r="N198" s="3">
        <v>1</v>
      </c>
      <c r="O198" s="3">
        <v>2</v>
      </c>
      <c r="P198" s="3">
        <v>2</v>
      </c>
      <c r="Q198" s="3">
        <v>5</v>
      </c>
      <c r="R198" s="3">
        <v>0</v>
      </c>
      <c r="T198">
        <f>SUM(Table1[[#This Row],[DTP Received]:[LPO/ LOA/ SOA Issue Date]])</f>
        <v>39</v>
      </c>
    </row>
    <row r="199" spans="2:20" x14ac:dyDescent="0.25">
      <c r="B199" t="s">
        <v>623</v>
      </c>
      <c r="C199" t="s">
        <v>371</v>
      </c>
      <c r="D199" s="3">
        <v>2</v>
      </c>
      <c r="E199" s="3">
        <v>1</v>
      </c>
      <c r="F199" s="3">
        <v>0</v>
      </c>
      <c r="G199" s="3">
        <v>5</v>
      </c>
      <c r="H199" s="3">
        <v>5</v>
      </c>
      <c r="I199" s="3">
        <v>1</v>
      </c>
      <c r="J199" s="3">
        <v>3</v>
      </c>
      <c r="K199" s="3">
        <v>2</v>
      </c>
      <c r="L199" s="3">
        <v>7</v>
      </c>
      <c r="M199" s="3">
        <v>3</v>
      </c>
      <c r="N199" s="3">
        <v>1</v>
      </c>
      <c r="O199" s="3">
        <v>2</v>
      </c>
      <c r="P199" s="3">
        <v>2</v>
      </c>
      <c r="Q199" s="3">
        <v>5</v>
      </c>
      <c r="R199" s="3">
        <v>0</v>
      </c>
      <c r="T199">
        <f>SUM(Table1[[#This Row],[DTP Received]:[LPO/ LOA/ SOA Issue Date]])</f>
        <v>39</v>
      </c>
    </row>
    <row r="200" spans="2:20" x14ac:dyDescent="0.25">
      <c r="B200" t="s">
        <v>624</v>
      </c>
      <c r="C200" t="s">
        <v>371</v>
      </c>
      <c r="D200" s="3">
        <v>2</v>
      </c>
      <c r="E200" s="3">
        <v>1</v>
      </c>
      <c r="F200" s="3">
        <v>0</v>
      </c>
      <c r="G200" s="3">
        <v>5</v>
      </c>
      <c r="H200" s="3">
        <v>5</v>
      </c>
      <c r="I200" s="3">
        <v>1</v>
      </c>
      <c r="J200" s="3">
        <v>3</v>
      </c>
      <c r="K200" s="3">
        <v>2</v>
      </c>
      <c r="L200" s="3">
        <v>7</v>
      </c>
      <c r="M200" s="3">
        <v>3</v>
      </c>
      <c r="N200" s="3">
        <v>1</v>
      </c>
      <c r="O200" s="3">
        <v>2</v>
      </c>
      <c r="P200" s="3">
        <v>2</v>
      </c>
      <c r="Q200" s="3">
        <v>5</v>
      </c>
      <c r="R200" s="3">
        <v>0</v>
      </c>
      <c r="T200">
        <f>SUM(Table1[[#This Row],[DTP Received]:[LPO/ LOA/ SOA Issue Date]])</f>
        <v>39</v>
      </c>
    </row>
    <row r="201" spans="2:20" x14ac:dyDescent="0.25">
      <c r="B201" t="s">
        <v>625</v>
      </c>
      <c r="C201" t="s">
        <v>371</v>
      </c>
      <c r="D201" s="3">
        <v>2</v>
      </c>
      <c r="E201" s="3">
        <v>1</v>
      </c>
      <c r="F201" s="3">
        <v>0</v>
      </c>
      <c r="G201" s="3">
        <v>5</v>
      </c>
      <c r="H201" s="3">
        <v>5</v>
      </c>
      <c r="I201" s="3">
        <v>1</v>
      </c>
      <c r="J201" s="3">
        <v>3</v>
      </c>
      <c r="K201" s="3">
        <v>2</v>
      </c>
      <c r="L201" s="3">
        <v>7</v>
      </c>
      <c r="M201" s="3">
        <v>3</v>
      </c>
      <c r="N201" s="3">
        <v>1</v>
      </c>
      <c r="O201" s="3">
        <v>2</v>
      </c>
      <c r="P201" s="3">
        <v>2</v>
      </c>
      <c r="Q201" s="3">
        <v>5</v>
      </c>
      <c r="R201" s="3">
        <v>0</v>
      </c>
      <c r="T201">
        <f>SUM(Table1[[#This Row],[DTP Received]:[LPO/ LOA/ SOA Issue Date]])</f>
        <v>39</v>
      </c>
    </row>
    <row r="202" spans="2:20" x14ac:dyDescent="0.25">
      <c r="B202" t="s">
        <v>626</v>
      </c>
      <c r="C202" t="s">
        <v>371</v>
      </c>
      <c r="D202" s="3">
        <v>2</v>
      </c>
      <c r="E202" s="3">
        <v>1</v>
      </c>
      <c r="F202" s="3">
        <v>0</v>
      </c>
      <c r="G202" s="3">
        <v>5</v>
      </c>
      <c r="H202" s="3">
        <v>5</v>
      </c>
      <c r="I202" s="3">
        <v>1</v>
      </c>
      <c r="J202" s="3">
        <v>3</v>
      </c>
      <c r="K202" s="3">
        <v>2</v>
      </c>
      <c r="L202" s="3">
        <v>7</v>
      </c>
      <c r="M202" s="3">
        <v>3</v>
      </c>
      <c r="N202" s="3">
        <v>1</v>
      </c>
      <c r="O202" s="3">
        <v>2</v>
      </c>
      <c r="P202" s="3">
        <v>2</v>
      </c>
      <c r="Q202" s="3">
        <v>5</v>
      </c>
      <c r="R202" s="3">
        <v>0</v>
      </c>
      <c r="T202">
        <f>SUM(Table1[[#This Row],[DTP Received]:[LPO/ LOA/ SOA Issue Date]])</f>
        <v>39</v>
      </c>
    </row>
    <row r="203" spans="2:20" x14ac:dyDescent="0.25">
      <c r="B203" t="s">
        <v>627</v>
      </c>
      <c r="C203" t="s">
        <v>628</v>
      </c>
      <c r="D203" s="3">
        <v>2</v>
      </c>
      <c r="E203" s="3">
        <v>1</v>
      </c>
      <c r="F203" s="3">
        <v>0</v>
      </c>
      <c r="G203" s="3">
        <v>5</v>
      </c>
      <c r="H203" s="3">
        <v>5</v>
      </c>
      <c r="I203" s="3">
        <v>1</v>
      </c>
      <c r="J203" s="3">
        <v>3</v>
      </c>
      <c r="K203" s="3">
        <v>2</v>
      </c>
      <c r="L203" s="3">
        <v>7</v>
      </c>
      <c r="M203" s="3">
        <v>3</v>
      </c>
      <c r="N203" s="3">
        <v>1</v>
      </c>
      <c r="O203" s="3">
        <v>2</v>
      </c>
      <c r="P203" s="3">
        <v>2</v>
      </c>
      <c r="Q203" s="3">
        <v>5</v>
      </c>
      <c r="R203" s="3">
        <v>0</v>
      </c>
      <c r="T203">
        <f>SUM(Table1[[#This Row],[DTP Received]:[LPO/ LOA/ SOA Issue Date]])</f>
        <v>39</v>
      </c>
    </row>
    <row r="204" spans="2:20" x14ac:dyDescent="0.25">
      <c r="B204" t="s">
        <v>629</v>
      </c>
      <c r="C204" t="s">
        <v>630</v>
      </c>
      <c r="D204" s="3">
        <v>2</v>
      </c>
      <c r="E204" s="3">
        <v>1</v>
      </c>
      <c r="F204" s="3">
        <v>0</v>
      </c>
      <c r="G204" s="3">
        <v>5</v>
      </c>
      <c r="H204" s="3">
        <v>5</v>
      </c>
      <c r="I204" s="3">
        <v>1</v>
      </c>
      <c r="J204" s="3">
        <v>3</v>
      </c>
      <c r="K204" s="3">
        <v>2</v>
      </c>
      <c r="L204" s="3">
        <v>7</v>
      </c>
      <c r="M204" s="3">
        <v>3</v>
      </c>
      <c r="N204" s="3">
        <v>1</v>
      </c>
      <c r="O204" s="3">
        <v>2</v>
      </c>
      <c r="P204" s="3">
        <v>2</v>
      </c>
      <c r="Q204" s="3">
        <v>5</v>
      </c>
      <c r="R204" s="3">
        <v>0</v>
      </c>
      <c r="T204">
        <f>SUM(Table1[[#This Row],[DTP Received]:[LPO/ LOA/ SOA Issue Date]])</f>
        <v>39</v>
      </c>
    </row>
    <row r="205" spans="2:20" x14ac:dyDescent="0.25">
      <c r="B205" t="s">
        <v>631</v>
      </c>
      <c r="C205" t="s">
        <v>632</v>
      </c>
      <c r="D205" s="3">
        <v>2</v>
      </c>
      <c r="E205" s="3">
        <v>1</v>
      </c>
      <c r="F205" s="3">
        <v>0</v>
      </c>
      <c r="G205" s="3">
        <v>5</v>
      </c>
      <c r="H205" s="3">
        <v>5</v>
      </c>
      <c r="I205" s="3">
        <v>1</v>
      </c>
      <c r="J205" s="3">
        <v>3</v>
      </c>
      <c r="K205" s="3">
        <v>2</v>
      </c>
      <c r="L205" s="3">
        <v>7</v>
      </c>
      <c r="M205" s="3">
        <v>3</v>
      </c>
      <c r="N205" s="3">
        <v>1</v>
      </c>
      <c r="O205" s="3">
        <v>2</v>
      </c>
      <c r="P205" s="3">
        <v>2</v>
      </c>
      <c r="Q205" s="3">
        <v>5</v>
      </c>
      <c r="R205" s="3">
        <v>0</v>
      </c>
      <c r="T205">
        <f>SUM(Table1[[#This Row],[DTP Received]:[LPO/ LOA/ SOA Issue Date]])</f>
        <v>39</v>
      </c>
    </row>
    <row r="206" spans="2:20" x14ac:dyDescent="0.25">
      <c r="B206" t="s">
        <v>633</v>
      </c>
      <c r="C206" t="s">
        <v>634</v>
      </c>
      <c r="D206" s="3">
        <v>2</v>
      </c>
      <c r="E206" s="3">
        <v>1</v>
      </c>
      <c r="F206" s="3">
        <v>0</v>
      </c>
      <c r="G206" s="3">
        <v>5</v>
      </c>
      <c r="H206" s="3">
        <v>5</v>
      </c>
      <c r="I206" s="3">
        <v>1</v>
      </c>
      <c r="J206" s="3">
        <v>3</v>
      </c>
      <c r="K206" s="3">
        <v>2</v>
      </c>
      <c r="L206" s="3">
        <v>7</v>
      </c>
      <c r="M206" s="3">
        <v>3</v>
      </c>
      <c r="N206" s="3">
        <v>1</v>
      </c>
      <c r="O206" s="3">
        <v>2</v>
      </c>
      <c r="P206" s="3">
        <v>2</v>
      </c>
      <c r="Q206" s="3">
        <v>5</v>
      </c>
      <c r="R206" s="3">
        <v>0</v>
      </c>
      <c r="T206">
        <f>SUM(Table1[[#This Row],[DTP Received]:[LPO/ LOA/ SOA Issue Date]])</f>
        <v>39</v>
      </c>
    </row>
    <row r="207" spans="2:20" x14ac:dyDescent="0.25">
      <c r="B207" t="s">
        <v>635</v>
      </c>
      <c r="C207" t="s">
        <v>636</v>
      </c>
      <c r="D207" s="3">
        <v>2</v>
      </c>
      <c r="E207" s="3">
        <v>1</v>
      </c>
      <c r="F207" s="3">
        <v>0</v>
      </c>
      <c r="G207" s="3">
        <v>5</v>
      </c>
      <c r="H207" s="3">
        <v>5</v>
      </c>
      <c r="I207" s="3">
        <v>1</v>
      </c>
      <c r="J207" s="3">
        <v>3</v>
      </c>
      <c r="K207" s="3">
        <v>2</v>
      </c>
      <c r="L207" s="3">
        <v>7</v>
      </c>
      <c r="M207" s="3">
        <v>3</v>
      </c>
      <c r="N207" s="3">
        <v>1</v>
      </c>
      <c r="O207" s="3">
        <v>2</v>
      </c>
      <c r="P207" s="3">
        <v>2</v>
      </c>
      <c r="Q207" s="3">
        <v>5</v>
      </c>
      <c r="R207" s="3">
        <v>0</v>
      </c>
      <c r="T207">
        <f>SUM(Table1[[#This Row],[DTP Received]:[LPO/ LOA/ SOA Issue Date]])</f>
        <v>39</v>
      </c>
    </row>
    <row r="208" spans="2:20" x14ac:dyDescent="0.25">
      <c r="B208" t="s">
        <v>637</v>
      </c>
      <c r="C208" t="s">
        <v>638</v>
      </c>
      <c r="D208" s="3">
        <v>2</v>
      </c>
      <c r="E208" s="3">
        <v>1</v>
      </c>
      <c r="F208" s="3">
        <v>0</v>
      </c>
      <c r="G208" s="3">
        <v>5</v>
      </c>
      <c r="H208" s="3">
        <v>5</v>
      </c>
      <c r="I208" s="3">
        <v>1</v>
      </c>
      <c r="J208" s="3">
        <v>3</v>
      </c>
      <c r="K208" s="3">
        <v>2</v>
      </c>
      <c r="L208" s="3">
        <v>7</v>
      </c>
      <c r="M208" s="3">
        <v>3</v>
      </c>
      <c r="N208" s="3">
        <v>1</v>
      </c>
      <c r="O208" s="3">
        <v>2</v>
      </c>
      <c r="P208" s="3">
        <v>2</v>
      </c>
      <c r="Q208" s="3">
        <v>5</v>
      </c>
      <c r="R208" s="3">
        <v>0</v>
      </c>
      <c r="T208">
        <f>SUM(Table1[[#This Row],[DTP Received]:[LPO/ LOA/ SOA Issue Date]])</f>
        <v>39</v>
      </c>
    </row>
    <row r="209" spans="2:20" x14ac:dyDescent="0.25">
      <c r="B209" t="s">
        <v>639</v>
      </c>
      <c r="C209" t="s">
        <v>640</v>
      </c>
      <c r="D209" s="3">
        <v>2</v>
      </c>
      <c r="E209" s="3">
        <v>1</v>
      </c>
      <c r="F209" s="3">
        <v>0</v>
      </c>
      <c r="G209" s="3">
        <v>5</v>
      </c>
      <c r="H209" s="3">
        <v>5</v>
      </c>
      <c r="I209" s="3">
        <v>1</v>
      </c>
      <c r="J209" s="3">
        <v>3</v>
      </c>
      <c r="K209" s="3">
        <v>2</v>
      </c>
      <c r="L209" s="3">
        <v>7</v>
      </c>
      <c r="M209" s="3">
        <v>3</v>
      </c>
      <c r="N209" s="3">
        <v>1</v>
      </c>
      <c r="O209" s="3">
        <v>2</v>
      </c>
      <c r="P209" s="3">
        <v>2</v>
      </c>
      <c r="Q209" s="3">
        <v>5</v>
      </c>
      <c r="R209" s="3">
        <v>0</v>
      </c>
      <c r="T209">
        <f>SUM(Table1[[#This Row],[DTP Received]:[LPO/ LOA/ SOA Issue Date]])</f>
        <v>39</v>
      </c>
    </row>
    <row r="210" spans="2:20" x14ac:dyDescent="0.25">
      <c r="B210" t="s">
        <v>641</v>
      </c>
      <c r="C210" t="s">
        <v>642</v>
      </c>
      <c r="D210" s="3">
        <v>2</v>
      </c>
      <c r="E210" s="3">
        <v>1</v>
      </c>
      <c r="F210" s="3">
        <v>0</v>
      </c>
      <c r="G210" s="3">
        <v>5</v>
      </c>
      <c r="H210" s="3">
        <v>5</v>
      </c>
      <c r="I210" s="3">
        <v>1</v>
      </c>
      <c r="J210" s="3">
        <v>3</v>
      </c>
      <c r="K210" s="3">
        <v>2</v>
      </c>
      <c r="L210" s="3">
        <v>7</v>
      </c>
      <c r="M210" s="3">
        <v>3</v>
      </c>
      <c r="N210" s="3">
        <v>1</v>
      </c>
      <c r="O210" s="3">
        <v>2</v>
      </c>
      <c r="P210" s="3">
        <v>2</v>
      </c>
      <c r="Q210" s="3">
        <v>5</v>
      </c>
      <c r="R210" s="3">
        <v>0</v>
      </c>
      <c r="T210">
        <f>SUM(Table1[[#This Row],[DTP Received]:[LPO/ LOA/ SOA Issue Date]])</f>
        <v>39</v>
      </c>
    </row>
    <row r="211" spans="2:20" x14ac:dyDescent="0.25">
      <c r="B211" t="s">
        <v>643</v>
      </c>
      <c r="C211" t="s">
        <v>644</v>
      </c>
      <c r="D211" s="3">
        <v>2</v>
      </c>
      <c r="E211" s="3">
        <v>1</v>
      </c>
      <c r="F211" s="3">
        <v>0</v>
      </c>
      <c r="G211" s="3">
        <v>5</v>
      </c>
      <c r="H211" s="3">
        <v>5</v>
      </c>
      <c r="I211" s="3">
        <v>1</v>
      </c>
      <c r="J211" s="3">
        <v>3</v>
      </c>
      <c r="K211" s="3">
        <v>2</v>
      </c>
      <c r="L211" s="3">
        <v>7</v>
      </c>
      <c r="M211" s="3">
        <v>3</v>
      </c>
      <c r="N211" s="3">
        <v>1</v>
      </c>
      <c r="O211" s="3">
        <v>2</v>
      </c>
      <c r="P211" s="3">
        <v>2</v>
      </c>
      <c r="Q211" s="3">
        <v>5</v>
      </c>
      <c r="R211" s="3">
        <v>0</v>
      </c>
      <c r="T211">
        <f>SUM(Table1[[#This Row],[DTP Received]:[LPO/ LOA/ SOA Issue Date]])</f>
        <v>39</v>
      </c>
    </row>
    <row r="212" spans="2:20" x14ac:dyDescent="0.25">
      <c r="B212" t="s">
        <v>645</v>
      </c>
      <c r="C212" t="s">
        <v>646</v>
      </c>
      <c r="D212" s="3">
        <v>2</v>
      </c>
      <c r="E212" s="3">
        <v>1</v>
      </c>
      <c r="F212" s="3">
        <v>0</v>
      </c>
      <c r="G212" s="3">
        <v>5</v>
      </c>
      <c r="H212" s="3">
        <v>5</v>
      </c>
      <c r="I212" s="3">
        <v>1</v>
      </c>
      <c r="J212" s="3">
        <v>3</v>
      </c>
      <c r="K212" s="3">
        <v>2</v>
      </c>
      <c r="L212" s="3">
        <v>7</v>
      </c>
      <c r="M212" s="3">
        <v>3</v>
      </c>
      <c r="N212" s="3">
        <v>1</v>
      </c>
      <c r="O212" s="3">
        <v>2</v>
      </c>
      <c r="P212" s="3">
        <v>2</v>
      </c>
      <c r="Q212" s="3">
        <v>5</v>
      </c>
      <c r="R212" s="3">
        <v>0</v>
      </c>
      <c r="T212">
        <f>SUM(Table1[[#This Row],[DTP Received]:[LPO/ LOA/ SOA Issue Date]])</f>
        <v>39</v>
      </c>
    </row>
    <row r="213" spans="2:20" x14ac:dyDescent="0.25">
      <c r="B213" t="s">
        <v>647</v>
      </c>
      <c r="C213" t="s">
        <v>648</v>
      </c>
      <c r="D213" s="3">
        <v>2</v>
      </c>
      <c r="E213" s="3">
        <v>1</v>
      </c>
      <c r="F213" s="3">
        <v>0</v>
      </c>
      <c r="G213" s="3">
        <v>5</v>
      </c>
      <c r="H213" s="3">
        <v>5</v>
      </c>
      <c r="I213" s="3">
        <v>1</v>
      </c>
      <c r="J213" s="3">
        <v>3</v>
      </c>
      <c r="K213" s="3">
        <v>2</v>
      </c>
      <c r="L213" s="3">
        <v>7</v>
      </c>
      <c r="M213" s="3">
        <v>3</v>
      </c>
      <c r="N213" s="3">
        <v>1</v>
      </c>
      <c r="O213" s="3">
        <v>2</v>
      </c>
      <c r="P213" s="3">
        <v>2</v>
      </c>
      <c r="Q213" s="3">
        <v>5</v>
      </c>
      <c r="R213" s="3">
        <v>0</v>
      </c>
      <c r="T213">
        <f>SUM(Table1[[#This Row],[DTP Received]:[LPO/ LOA/ SOA Issue Date]])</f>
        <v>39</v>
      </c>
    </row>
    <row r="214" spans="2:20" x14ac:dyDescent="0.25">
      <c r="B214" t="s">
        <v>649</v>
      </c>
      <c r="C214" t="s">
        <v>650</v>
      </c>
      <c r="D214" s="3">
        <v>2</v>
      </c>
      <c r="E214" s="3">
        <v>1</v>
      </c>
      <c r="F214" s="3">
        <v>0</v>
      </c>
      <c r="G214" s="3">
        <v>5</v>
      </c>
      <c r="H214" s="3">
        <v>5</v>
      </c>
      <c r="I214" s="3">
        <v>1</v>
      </c>
      <c r="J214" s="3">
        <v>3</v>
      </c>
      <c r="K214" s="3">
        <v>2</v>
      </c>
      <c r="L214" s="3">
        <v>7</v>
      </c>
      <c r="M214" s="3">
        <v>3</v>
      </c>
      <c r="N214" s="3">
        <v>1</v>
      </c>
      <c r="O214" s="3">
        <v>2</v>
      </c>
      <c r="P214" s="3">
        <v>2</v>
      </c>
      <c r="Q214" s="3">
        <v>5</v>
      </c>
      <c r="R214" s="3">
        <v>0</v>
      </c>
      <c r="T214">
        <f>SUM(Table1[[#This Row],[DTP Received]:[LPO/ LOA/ SOA Issue Date]])</f>
        <v>39</v>
      </c>
    </row>
    <row r="215" spans="2:20" x14ac:dyDescent="0.25">
      <c r="B215" t="s">
        <v>651</v>
      </c>
      <c r="C215" t="s">
        <v>652</v>
      </c>
      <c r="D215" s="3">
        <v>2</v>
      </c>
      <c r="E215" s="3">
        <v>1</v>
      </c>
      <c r="F215" s="3">
        <v>0</v>
      </c>
      <c r="G215" s="3">
        <v>5</v>
      </c>
      <c r="H215" s="3">
        <v>5</v>
      </c>
      <c r="I215" s="3">
        <v>1</v>
      </c>
      <c r="J215" s="3">
        <v>3</v>
      </c>
      <c r="K215" s="3">
        <v>2</v>
      </c>
      <c r="L215" s="3">
        <v>7</v>
      </c>
      <c r="M215" s="3">
        <v>3</v>
      </c>
      <c r="N215" s="3">
        <v>1</v>
      </c>
      <c r="O215" s="3">
        <v>2</v>
      </c>
      <c r="P215" s="3">
        <v>2</v>
      </c>
      <c r="Q215" s="3">
        <v>5</v>
      </c>
      <c r="R215" s="3">
        <v>0</v>
      </c>
      <c r="T215">
        <f>SUM(Table1[[#This Row],[DTP Received]:[LPO/ LOA/ SOA Issue Date]])</f>
        <v>39</v>
      </c>
    </row>
    <row r="216" spans="2:20" x14ac:dyDescent="0.25">
      <c r="B216" t="s">
        <v>653</v>
      </c>
      <c r="C216" t="s">
        <v>654</v>
      </c>
      <c r="D216" s="3">
        <v>2</v>
      </c>
      <c r="E216" s="3">
        <v>1</v>
      </c>
      <c r="F216" s="3">
        <v>0</v>
      </c>
      <c r="G216" s="3">
        <v>5</v>
      </c>
      <c r="H216" s="3">
        <v>5</v>
      </c>
      <c r="I216" s="3">
        <v>1</v>
      </c>
      <c r="J216" s="3">
        <v>3</v>
      </c>
      <c r="K216" s="3">
        <v>2</v>
      </c>
      <c r="L216" s="3">
        <v>7</v>
      </c>
      <c r="M216" s="3">
        <v>3</v>
      </c>
      <c r="N216" s="3">
        <v>1</v>
      </c>
      <c r="O216" s="3">
        <v>2</v>
      </c>
      <c r="P216" s="3">
        <v>2</v>
      </c>
      <c r="Q216" s="3">
        <v>5</v>
      </c>
      <c r="R216" s="3">
        <v>0</v>
      </c>
      <c r="T216">
        <f>SUM(Table1[[#This Row],[DTP Received]:[LPO/ LOA/ SOA Issue Date]])</f>
        <v>39</v>
      </c>
    </row>
    <row r="217" spans="2:20" x14ac:dyDescent="0.25">
      <c r="B217" t="s">
        <v>655</v>
      </c>
      <c r="C217" t="s">
        <v>371</v>
      </c>
      <c r="D217" s="3">
        <v>2</v>
      </c>
      <c r="E217" s="3">
        <v>1</v>
      </c>
      <c r="F217" s="3">
        <v>0</v>
      </c>
      <c r="G217" s="3">
        <v>5</v>
      </c>
      <c r="H217" s="3">
        <v>5</v>
      </c>
      <c r="I217" s="3">
        <v>1</v>
      </c>
      <c r="J217" s="3">
        <v>3</v>
      </c>
      <c r="K217" s="3">
        <v>2</v>
      </c>
      <c r="L217" s="3">
        <v>7</v>
      </c>
      <c r="M217" s="3">
        <v>3</v>
      </c>
      <c r="N217" s="3">
        <v>1</v>
      </c>
      <c r="O217" s="3">
        <v>2</v>
      </c>
      <c r="P217" s="3">
        <v>2</v>
      </c>
      <c r="Q217" s="3">
        <v>5</v>
      </c>
      <c r="R217" s="3">
        <v>0</v>
      </c>
      <c r="T217">
        <f>SUM(Table1[[#This Row],[DTP Received]:[LPO/ LOA/ SOA Issue Date]])</f>
        <v>39</v>
      </c>
    </row>
    <row r="218" spans="2:20" x14ac:dyDescent="0.25">
      <c r="B218" t="s">
        <v>656</v>
      </c>
      <c r="C218" t="s">
        <v>371</v>
      </c>
      <c r="D218" s="3">
        <v>2</v>
      </c>
      <c r="E218" s="3">
        <v>1</v>
      </c>
      <c r="F218" s="3">
        <v>0</v>
      </c>
      <c r="G218" s="3">
        <v>5</v>
      </c>
      <c r="H218" s="3">
        <v>5</v>
      </c>
      <c r="I218" s="3">
        <v>1</v>
      </c>
      <c r="J218" s="3">
        <v>3</v>
      </c>
      <c r="K218" s="3">
        <v>2</v>
      </c>
      <c r="L218" s="3">
        <v>7</v>
      </c>
      <c r="M218" s="3">
        <v>3</v>
      </c>
      <c r="N218" s="3">
        <v>1</v>
      </c>
      <c r="O218" s="3">
        <v>2</v>
      </c>
      <c r="P218" s="3">
        <v>2</v>
      </c>
      <c r="Q218" s="3">
        <v>5</v>
      </c>
      <c r="R218" s="3">
        <v>0</v>
      </c>
      <c r="T218">
        <f>SUM(Table1[[#This Row],[DTP Received]:[LPO/ LOA/ SOA Issue Date]])</f>
        <v>39</v>
      </c>
    </row>
    <row r="219" spans="2:20" x14ac:dyDescent="0.25">
      <c r="B219" t="s">
        <v>657</v>
      </c>
      <c r="C219" t="s">
        <v>371</v>
      </c>
      <c r="D219" s="3">
        <v>2</v>
      </c>
      <c r="E219" s="3">
        <v>1</v>
      </c>
      <c r="F219" s="3">
        <v>0</v>
      </c>
      <c r="G219" s="3">
        <v>5</v>
      </c>
      <c r="H219" s="3">
        <v>5</v>
      </c>
      <c r="I219" s="3">
        <v>1</v>
      </c>
      <c r="J219" s="3">
        <v>3</v>
      </c>
      <c r="K219" s="3">
        <v>2</v>
      </c>
      <c r="L219" s="3">
        <v>7</v>
      </c>
      <c r="M219" s="3">
        <v>3</v>
      </c>
      <c r="N219" s="3">
        <v>1</v>
      </c>
      <c r="O219" s="3">
        <v>2</v>
      </c>
      <c r="P219" s="3">
        <v>2</v>
      </c>
      <c r="Q219" s="3">
        <v>5</v>
      </c>
      <c r="R219" s="3">
        <v>0</v>
      </c>
      <c r="T219">
        <f>SUM(Table1[[#This Row],[DTP Received]:[LPO/ LOA/ SOA Issue Date]])</f>
        <v>39</v>
      </c>
    </row>
    <row r="220" spans="2:20" x14ac:dyDescent="0.25">
      <c r="B220" t="s">
        <v>658</v>
      </c>
      <c r="C220" t="s">
        <v>371</v>
      </c>
      <c r="D220" s="3">
        <v>2</v>
      </c>
      <c r="E220" s="3">
        <v>1</v>
      </c>
      <c r="F220" s="3">
        <v>0</v>
      </c>
      <c r="G220" s="3">
        <v>5</v>
      </c>
      <c r="H220" s="3">
        <v>5</v>
      </c>
      <c r="I220" s="3">
        <v>1</v>
      </c>
      <c r="J220" s="3">
        <v>3</v>
      </c>
      <c r="K220" s="3">
        <v>2</v>
      </c>
      <c r="L220" s="3">
        <v>7</v>
      </c>
      <c r="M220" s="3">
        <v>3</v>
      </c>
      <c r="N220" s="3">
        <v>1</v>
      </c>
      <c r="O220" s="3">
        <v>2</v>
      </c>
      <c r="P220" s="3">
        <v>2</v>
      </c>
      <c r="Q220" s="3">
        <v>5</v>
      </c>
      <c r="R220" s="3">
        <v>0</v>
      </c>
      <c r="T220">
        <f>SUM(Table1[[#This Row],[DTP Received]:[LPO/ LOA/ SOA Issue Date]])</f>
        <v>39</v>
      </c>
    </row>
    <row r="221" spans="2:20" x14ac:dyDescent="0.25">
      <c r="B221" t="s">
        <v>659</v>
      </c>
      <c r="C221" t="s">
        <v>371</v>
      </c>
      <c r="D221" s="3">
        <v>2</v>
      </c>
      <c r="E221" s="3">
        <v>1</v>
      </c>
      <c r="F221" s="3">
        <v>0</v>
      </c>
      <c r="G221" s="3">
        <v>5</v>
      </c>
      <c r="H221" s="3">
        <v>5</v>
      </c>
      <c r="I221" s="3">
        <v>1</v>
      </c>
      <c r="J221" s="3">
        <v>3</v>
      </c>
      <c r="K221" s="3">
        <v>2</v>
      </c>
      <c r="L221" s="3">
        <v>7</v>
      </c>
      <c r="M221" s="3">
        <v>3</v>
      </c>
      <c r="N221" s="3">
        <v>1</v>
      </c>
      <c r="O221" s="3">
        <v>2</v>
      </c>
      <c r="P221" s="3">
        <v>2</v>
      </c>
      <c r="Q221" s="3">
        <v>5</v>
      </c>
      <c r="R221" s="3">
        <v>0</v>
      </c>
      <c r="T221">
        <f>SUM(Table1[[#This Row],[DTP Received]:[LPO/ LOA/ SOA Issue Date]])</f>
        <v>39</v>
      </c>
    </row>
    <row r="222" spans="2:20" x14ac:dyDescent="0.25">
      <c r="B222" t="s">
        <v>660</v>
      </c>
      <c r="C222" t="s">
        <v>371</v>
      </c>
      <c r="D222" s="3">
        <v>2</v>
      </c>
      <c r="E222" s="3">
        <v>1</v>
      </c>
      <c r="F222" s="3">
        <v>0</v>
      </c>
      <c r="G222" s="3">
        <v>5</v>
      </c>
      <c r="H222" s="3">
        <v>5</v>
      </c>
      <c r="I222" s="3">
        <v>1</v>
      </c>
      <c r="J222" s="3">
        <v>3</v>
      </c>
      <c r="K222" s="3">
        <v>2</v>
      </c>
      <c r="L222" s="3">
        <v>7</v>
      </c>
      <c r="M222" s="3">
        <v>3</v>
      </c>
      <c r="N222" s="3">
        <v>1</v>
      </c>
      <c r="O222" s="3">
        <v>2</v>
      </c>
      <c r="P222" s="3">
        <v>2</v>
      </c>
      <c r="Q222" s="3">
        <v>5</v>
      </c>
      <c r="R222" s="3">
        <v>0</v>
      </c>
      <c r="T222">
        <f>SUM(Table1[[#This Row],[DTP Received]:[LPO/ LOA/ SOA Issue Date]])</f>
        <v>39</v>
      </c>
    </row>
    <row r="223" spans="2:20" x14ac:dyDescent="0.25">
      <c r="B223" t="s">
        <v>661</v>
      </c>
      <c r="C223" t="s">
        <v>662</v>
      </c>
      <c r="D223" s="3">
        <v>2</v>
      </c>
      <c r="E223" s="3">
        <v>1</v>
      </c>
      <c r="F223" s="3">
        <v>0</v>
      </c>
      <c r="G223" s="3">
        <v>5</v>
      </c>
      <c r="H223" s="3">
        <v>5</v>
      </c>
      <c r="I223" s="3">
        <v>1</v>
      </c>
      <c r="J223" s="3">
        <v>3</v>
      </c>
      <c r="K223" s="3">
        <v>2</v>
      </c>
      <c r="L223" s="3">
        <v>7</v>
      </c>
      <c r="M223" s="3">
        <v>3</v>
      </c>
      <c r="N223" s="3">
        <v>1</v>
      </c>
      <c r="O223" s="3">
        <v>2</v>
      </c>
      <c r="P223" s="3">
        <v>2</v>
      </c>
      <c r="Q223" s="3">
        <v>5</v>
      </c>
      <c r="R223" s="3">
        <v>0</v>
      </c>
      <c r="T223">
        <f>SUM(Table1[[#This Row],[DTP Received]:[LPO/ LOA/ SOA Issue Date]])</f>
        <v>39</v>
      </c>
    </row>
    <row r="224" spans="2:20" x14ac:dyDescent="0.25">
      <c r="B224" t="s">
        <v>663</v>
      </c>
      <c r="C224" t="s">
        <v>371</v>
      </c>
      <c r="D224" s="3">
        <v>2</v>
      </c>
      <c r="E224" s="3">
        <v>1</v>
      </c>
      <c r="F224" s="3">
        <v>0</v>
      </c>
      <c r="G224" s="3">
        <v>5</v>
      </c>
      <c r="H224" s="3">
        <v>5</v>
      </c>
      <c r="I224" s="3">
        <v>1</v>
      </c>
      <c r="J224" s="3">
        <v>3</v>
      </c>
      <c r="K224" s="3">
        <v>2</v>
      </c>
      <c r="L224" s="3">
        <v>7</v>
      </c>
      <c r="M224" s="3">
        <v>3</v>
      </c>
      <c r="N224" s="3">
        <v>1</v>
      </c>
      <c r="O224" s="3">
        <v>2</v>
      </c>
      <c r="P224" s="3">
        <v>2</v>
      </c>
      <c r="Q224" s="3">
        <v>5</v>
      </c>
      <c r="R224" s="3">
        <v>0</v>
      </c>
      <c r="T224">
        <f>SUM(Table1[[#This Row],[DTP Received]:[LPO/ LOA/ SOA Issue Date]])</f>
        <v>39</v>
      </c>
    </row>
    <row r="225" spans="2:20" x14ac:dyDescent="0.25">
      <c r="B225" t="s">
        <v>664</v>
      </c>
      <c r="C225" t="s">
        <v>371</v>
      </c>
      <c r="D225" s="3">
        <v>2</v>
      </c>
      <c r="E225" s="3">
        <v>1</v>
      </c>
      <c r="F225" s="3">
        <v>0</v>
      </c>
      <c r="G225" s="3">
        <v>5</v>
      </c>
      <c r="H225" s="3">
        <v>5</v>
      </c>
      <c r="I225" s="3">
        <v>1</v>
      </c>
      <c r="J225" s="3">
        <v>3</v>
      </c>
      <c r="K225" s="3">
        <v>2</v>
      </c>
      <c r="L225" s="3">
        <v>7</v>
      </c>
      <c r="M225" s="3">
        <v>3</v>
      </c>
      <c r="N225" s="3">
        <v>1</v>
      </c>
      <c r="O225" s="3">
        <v>2</v>
      </c>
      <c r="P225" s="3">
        <v>2</v>
      </c>
      <c r="Q225" s="3">
        <v>5</v>
      </c>
      <c r="R225" s="3">
        <v>0</v>
      </c>
      <c r="T225">
        <f>SUM(Table1[[#This Row],[DTP Received]:[LPO/ LOA/ SOA Issue Date]])</f>
        <v>39</v>
      </c>
    </row>
    <row r="226" spans="2:20" x14ac:dyDescent="0.25">
      <c r="B226" t="s">
        <v>665</v>
      </c>
      <c r="C226" t="s">
        <v>371</v>
      </c>
      <c r="D226" s="3">
        <v>2</v>
      </c>
      <c r="E226" s="3">
        <v>1</v>
      </c>
      <c r="F226" s="3">
        <v>0</v>
      </c>
      <c r="G226" s="3">
        <v>5</v>
      </c>
      <c r="H226" s="3">
        <v>5</v>
      </c>
      <c r="I226" s="3">
        <v>1</v>
      </c>
      <c r="J226" s="3">
        <v>3</v>
      </c>
      <c r="K226" s="3">
        <v>2</v>
      </c>
      <c r="L226" s="3">
        <v>7</v>
      </c>
      <c r="M226" s="3">
        <v>3</v>
      </c>
      <c r="N226" s="3">
        <v>1</v>
      </c>
      <c r="O226" s="3">
        <v>2</v>
      </c>
      <c r="P226" s="3">
        <v>2</v>
      </c>
      <c r="Q226" s="3">
        <v>5</v>
      </c>
      <c r="R226" s="3">
        <v>0</v>
      </c>
      <c r="T226">
        <f>SUM(Table1[[#This Row],[DTP Received]:[LPO/ LOA/ SOA Issue Date]])</f>
        <v>39</v>
      </c>
    </row>
    <row r="227" spans="2:20" x14ac:dyDescent="0.25">
      <c r="B227" t="s">
        <v>666</v>
      </c>
      <c r="C227" t="s">
        <v>371</v>
      </c>
      <c r="D227" s="3">
        <v>2</v>
      </c>
      <c r="E227" s="3">
        <v>1</v>
      </c>
      <c r="F227" s="3">
        <v>0</v>
      </c>
      <c r="G227" s="3">
        <v>5</v>
      </c>
      <c r="H227" s="3">
        <v>5</v>
      </c>
      <c r="I227" s="3">
        <v>1</v>
      </c>
      <c r="J227" s="3">
        <v>3</v>
      </c>
      <c r="K227" s="3">
        <v>2</v>
      </c>
      <c r="L227" s="3">
        <v>7</v>
      </c>
      <c r="M227" s="3">
        <v>3</v>
      </c>
      <c r="N227" s="3">
        <v>1</v>
      </c>
      <c r="O227" s="3">
        <v>2</v>
      </c>
      <c r="P227" s="3">
        <v>2</v>
      </c>
      <c r="Q227" s="3">
        <v>5</v>
      </c>
      <c r="R227" s="3">
        <v>0</v>
      </c>
      <c r="T227">
        <f>SUM(Table1[[#This Row],[DTP Received]:[LPO/ LOA/ SOA Issue Date]])</f>
        <v>39</v>
      </c>
    </row>
    <row r="228" spans="2:20" x14ac:dyDescent="0.25">
      <c r="B228" t="s">
        <v>667</v>
      </c>
      <c r="C228" t="s">
        <v>371</v>
      </c>
      <c r="D228" s="3">
        <v>2</v>
      </c>
      <c r="E228" s="3">
        <v>1</v>
      </c>
      <c r="F228" s="3">
        <v>0</v>
      </c>
      <c r="G228" s="3">
        <v>5</v>
      </c>
      <c r="H228" s="3">
        <v>5</v>
      </c>
      <c r="I228" s="3">
        <v>1</v>
      </c>
      <c r="J228" s="3">
        <v>3</v>
      </c>
      <c r="K228" s="3">
        <v>2</v>
      </c>
      <c r="L228" s="3">
        <v>7</v>
      </c>
      <c r="M228" s="3">
        <v>3</v>
      </c>
      <c r="N228" s="3">
        <v>1</v>
      </c>
      <c r="O228" s="3">
        <v>2</v>
      </c>
      <c r="P228" s="3">
        <v>2</v>
      </c>
      <c r="Q228" s="3">
        <v>5</v>
      </c>
      <c r="R228" s="3">
        <v>0</v>
      </c>
      <c r="T228">
        <f>SUM(Table1[[#This Row],[DTP Received]:[LPO/ LOA/ SOA Issue Date]])</f>
        <v>39</v>
      </c>
    </row>
    <row r="229" spans="2:20" x14ac:dyDescent="0.25">
      <c r="B229" t="s">
        <v>668</v>
      </c>
      <c r="C229" t="s">
        <v>371</v>
      </c>
      <c r="D229" s="3">
        <v>2</v>
      </c>
      <c r="E229" s="3">
        <v>1</v>
      </c>
      <c r="F229" s="3">
        <v>0</v>
      </c>
      <c r="G229" s="3">
        <v>5</v>
      </c>
      <c r="H229" s="3">
        <v>5</v>
      </c>
      <c r="I229" s="3">
        <v>1</v>
      </c>
      <c r="J229" s="3">
        <v>3</v>
      </c>
      <c r="K229" s="3">
        <v>2</v>
      </c>
      <c r="L229" s="3">
        <v>7</v>
      </c>
      <c r="M229" s="3">
        <v>3</v>
      </c>
      <c r="N229" s="3">
        <v>1</v>
      </c>
      <c r="O229" s="3">
        <v>2</v>
      </c>
      <c r="P229" s="3">
        <v>2</v>
      </c>
      <c r="Q229" s="3">
        <v>5</v>
      </c>
      <c r="R229" s="3">
        <v>0</v>
      </c>
      <c r="T229">
        <f>SUM(Table1[[#This Row],[DTP Received]:[LPO/ LOA/ SOA Issue Date]])</f>
        <v>39</v>
      </c>
    </row>
    <row r="230" spans="2:20" x14ac:dyDescent="0.25">
      <c r="B230" t="s">
        <v>669</v>
      </c>
      <c r="C230" t="s">
        <v>670</v>
      </c>
      <c r="D230" s="3">
        <v>2</v>
      </c>
      <c r="E230" s="3">
        <v>1</v>
      </c>
      <c r="F230" s="3">
        <v>0</v>
      </c>
      <c r="G230" s="3">
        <v>10</v>
      </c>
      <c r="H230" s="3">
        <v>5</v>
      </c>
      <c r="I230" s="3">
        <v>1</v>
      </c>
      <c r="J230" s="3">
        <v>3</v>
      </c>
      <c r="K230" s="3">
        <v>2</v>
      </c>
      <c r="L230" s="3">
        <v>3</v>
      </c>
      <c r="M230" s="3">
        <v>3</v>
      </c>
      <c r="N230" s="3">
        <v>1</v>
      </c>
      <c r="O230" s="3">
        <v>2</v>
      </c>
      <c r="P230" s="3">
        <v>2</v>
      </c>
      <c r="Q230" s="3">
        <v>5</v>
      </c>
      <c r="R230" s="3">
        <v>0</v>
      </c>
      <c r="T230">
        <f>SUM(Table1[[#This Row],[DTP Received]:[LPO/ LOA/ SOA Issue Date]])</f>
        <v>40</v>
      </c>
    </row>
    <row r="231" spans="2:20" x14ac:dyDescent="0.25">
      <c r="B231" t="s">
        <v>671</v>
      </c>
      <c r="C231" t="s">
        <v>672</v>
      </c>
      <c r="D231" s="3">
        <v>2</v>
      </c>
      <c r="E231" s="3">
        <v>1</v>
      </c>
      <c r="F231" s="3">
        <v>0</v>
      </c>
      <c r="G231" s="3">
        <v>5</v>
      </c>
      <c r="H231" s="3">
        <v>5</v>
      </c>
      <c r="I231" s="3">
        <v>1</v>
      </c>
      <c r="J231" s="3">
        <v>3</v>
      </c>
      <c r="K231" s="3">
        <v>2</v>
      </c>
      <c r="L231" s="3">
        <v>7</v>
      </c>
      <c r="M231" s="3">
        <v>3</v>
      </c>
      <c r="N231" s="3">
        <v>1</v>
      </c>
      <c r="O231" s="3">
        <v>2</v>
      </c>
      <c r="P231" s="3">
        <v>2</v>
      </c>
      <c r="Q231" s="3">
        <v>5</v>
      </c>
      <c r="R231" s="3">
        <v>0</v>
      </c>
      <c r="T231">
        <f>SUM(Table1[[#This Row],[DTP Received]:[LPO/ LOA/ SOA Issue Date]])</f>
        <v>39</v>
      </c>
    </row>
    <row r="232" spans="2:20" x14ac:dyDescent="0.25">
      <c r="B232" t="s">
        <v>673</v>
      </c>
      <c r="C232" t="s">
        <v>674</v>
      </c>
      <c r="D232" s="3">
        <v>2</v>
      </c>
      <c r="E232" s="3">
        <v>1</v>
      </c>
      <c r="F232" s="3">
        <v>0</v>
      </c>
      <c r="G232" s="3">
        <v>7</v>
      </c>
      <c r="H232" s="3">
        <v>5</v>
      </c>
      <c r="I232" s="3">
        <v>1</v>
      </c>
      <c r="J232" s="3">
        <v>3</v>
      </c>
      <c r="K232" s="3">
        <v>2</v>
      </c>
      <c r="L232" s="3">
        <v>3</v>
      </c>
      <c r="M232" s="3">
        <v>3</v>
      </c>
      <c r="N232" s="3">
        <v>1</v>
      </c>
      <c r="O232" s="3">
        <v>2</v>
      </c>
      <c r="P232" s="3">
        <v>2</v>
      </c>
      <c r="Q232" s="3">
        <v>5</v>
      </c>
      <c r="R232" s="3">
        <v>0</v>
      </c>
      <c r="T232">
        <f>SUM(Table1[[#This Row],[DTP Received]:[LPO/ LOA/ SOA Issue Date]])</f>
        <v>37</v>
      </c>
    </row>
    <row r="233" spans="2:20" x14ac:dyDescent="0.25">
      <c r="B233" t="s">
        <v>675</v>
      </c>
      <c r="C233" t="s">
        <v>371</v>
      </c>
      <c r="D233" s="3">
        <v>2</v>
      </c>
      <c r="E233" s="3">
        <v>1</v>
      </c>
      <c r="F233" s="3">
        <v>0</v>
      </c>
      <c r="G233" s="3">
        <v>5</v>
      </c>
      <c r="H233" s="3">
        <v>5</v>
      </c>
      <c r="I233" s="3">
        <v>1</v>
      </c>
      <c r="J233" s="3">
        <v>3</v>
      </c>
      <c r="K233" s="3">
        <v>2</v>
      </c>
      <c r="L233" s="3">
        <v>7</v>
      </c>
      <c r="M233" s="3">
        <v>3</v>
      </c>
      <c r="N233" s="3">
        <v>1</v>
      </c>
      <c r="O233" s="3">
        <v>2</v>
      </c>
      <c r="P233" s="3">
        <v>2</v>
      </c>
      <c r="Q233" s="3">
        <v>5</v>
      </c>
      <c r="R233" s="3">
        <v>0</v>
      </c>
      <c r="T233">
        <f>SUM(Table1[[#This Row],[DTP Received]:[LPO/ LOA/ SOA Issue Date]])</f>
        <v>39</v>
      </c>
    </row>
    <row r="234" spans="2:20" x14ac:dyDescent="0.25">
      <c r="B234" t="s">
        <v>676</v>
      </c>
      <c r="C234" t="s">
        <v>371</v>
      </c>
      <c r="D234" s="3">
        <v>2</v>
      </c>
      <c r="E234" s="3">
        <v>1</v>
      </c>
      <c r="F234" s="3">
        <v>0</v>
      </c>
      <c r="G234" s="3">
        <v>5</v>
      </c>
      <c r="H234" s="3">
        <v>5</v>
      </c>
      <c r="I234" s="3">
        <v>1</v>
      </c>
      <c r="J234" s="3">
        <v>3</v>
      </c>
      <c r="K234" s="3">
        <v>2</v>
      </c>
      <c r="L234" s="3">
        <v>7</v>
      </c>
      <c r="M234" s="3">
        <v>3</v>
      </c>
      <c r="N234" s="3">
        <v>1</v>
      </c>
      <c r="O234" s="3">
        <v>2</v>
      </c>
      <c r="P234" s="3">
        <v>2</v>
      </c>
      <c r="Q234" s="3">
        <v>5</v>
      </c>
      <c r="R234" s="3">
        <v>0</v>
      </c>
      <c r="T234">
        <f>SUM(Table1[[#This Row],[DTP Received]:[LPO/ LOA/ SOA Issue Date]])</f>
        <v>39</v>
      </c>
    </row>
    <row r="235" spans="2:20" x14ac:dyDescent="0.25">
      <c r="B235" t="s">
        <v>677</v>
      </c>
      <c r="C235" t="s">
        <v>371</v>
      </c>
      <c r="D235" s="3">
        <v>2</v>
      </c>
      <c r="E235" s="3">
        <v>1</v>
      </c>
      <c r="F235" s="3">
        <v>0</v>
      </c>
      <c r="G235" s="3">
        <v>5</v>
      </c>
      <c r="H235" s="3">
        <v>5</v>
      </c>
      <c r="I235" s="3">
        <v>1</v>
      </c>
      <c r="J235" s="3">
        <v>3</v>
      </c>
      <c r="K235" s="3">
        <v>2</v>
      </c>
      <c r="L235" s="3">
        <v>7</v>
      </c>
      <c r="M235" s="3">
        <v>3</v>
      </c>
      <c r="N235" s="3">
        <v>1</v>
      </c>
      <c r="O235" s="3">
        <v>2</v>
      </c>
      <c r="P235" s="3">
        <v>2</v>
      </c>
      <c r="Q235" s="3">
        <v>5</v>
      </c>
      <c r="R235" s="3">
        <v>0</v>
      </c>
      <c r="T235">
        <f>SUM(Table1[[#This Row],[DTP Received]:[LPO/ LOA/ SOA Issue Date]])</f>
        <v>39</v>
      </c>
    </row>
    <row r="236" spans="2:20" x14ac:dyDescent="0.25">
      <c r="B236" t="s">
        <v>678</v>
      </c>
      <c r="C236" t="s">
        <v>371</v>
      </c>
      <c r="D236" s="3">
        <v>2</v>
      </c>
      <c r="E236" s="3">
        <v>1</v>
      </c>
      <c r="F236" s="3">
        <v>0</v>
      </c>
      <c r="G236" s="3">
        <v>5</v>
      </c>
      <c r="H236" s="3">
        <v>5</v>
      </c>
      <c r="I236" s="3">
        <v>1</v>
      </c>
      <c r="J236" s="3">
        <v>3</v>
      </c>
      <c r="K236" s="3">
        <v>2</v>
      </c>
      <c r="L236" s="3">
        <v>7</v>
      </c>
      <c r="M236" s="3">
        <v>3</v>
      </c>
      <c r="N236" s="3">
        <v>1</v>
      </c>
      <c r="O236" s="3">
        <v>2</v>
      </c>
      <c r="P236" s="3">
        <v>2</v>
      </c>
      <c r="Q236" s="3">
        <v>5</v>
      </c>
      <c r="R236" s="3">
        <v>0</v>
      </c>
      <c r="T236">
        <f>SUM(Table1[[#This Row],[DTP Received]:[LPO/ LOA/ SOA Issue Date]])</f>
        <v>39</v>
      </c>
    </row>
    <row r="237" spans="2:20" x14ac:dyDescent="0.25">
      <c r="B237" t="s">
        <v>679</v>
      </c>
      <c r="C237" t="s">
        <v>371</v>
      </c>
      <c r="D237" s="3">
        <v>2</v>
      </c>
      <c r="E237" s="3">
        <v>1</v>
      </c>
      <c r="F237" s="3">
        <v>0</v>
      </c>
      <c r="G237" s="3">
        <v>5</v>
      </c>
      <c r="H237" s="3">
        <v>5</v>
      </c>
      <c r="I237" s="3">
        <v>1</v>
      </c>
      <c r="J237" s="3">
        <v>3</v>
      </c>
      <c r="K237" s="3">
        <v>2</v>
      </c>
      <c r="L237" s="3">
        <v>7</v>
      </c>
      <c r="M237" s="3">
        <v>3</v>
      </c>
      <c r="N237" s="3">
        <v>1</v>
      </c>
      <c r="O237" s="3">
        <v>2</v>
      </c>
      <c r="P237" s="3">
        <v>2</v>
      </c>
      <c r="Q237" s="3">
        <v>5</v>
      </c>
      <c r="R237" s="3">
        <v>0</v>
      </c>
      <c r="T237">
        <f>SUM(Table1[[#This Row],[DTP Received]:[LPO/ LOA/ SOA Issue Date]])</f>
        <v>39</v>
      </c>
    </row>
    <row r="238" spans="2:20" x14ac:dyDescent="0.25">
      <c r="B238" t="s">
        <v>680</v>
      </c>
      <c r="C238" t="s">
        <v>681</v>
      </c>
      <c r="D238" s="3">
        <v>2</v>
      </c>
      <c r="E238" s="3">
        <v>1</v>
      </c>
      <c r="F238" s="3">
        <v>0</v>
      </c>
      <c r="G238" s="3">
        <v>5</v>
      </c>
      <c r="H238" s="3">
        <v>5</v>
      </c>
      <c r="I238" s="3">
        <v>1</v>
      </c>
      <c r="J238" s="3">
        <v>3</v>
      </c>
      <c r="K238" s="3">
        <v>2</v>
      </c>
      <c r="L238" s="3">
        <v>7</v>
      </c>
      <c r="M238" s="3">
        <v>3</v>
      </c>
      <c r="N238" s="3">
        <v>1</v>
      </c>
      <c r="O238" s="3">
        <v>2</v>
      </c>
      <c r="P238" s="3">
        <v>2</v>
      </c>
      <c r="Q238" s="3">
        <v>5</v>
      </c>
      <c r="R238" s="3">
        <v>0</v>
      </c>
      <c r="T238">
        <f>SUM(Table1[[#This Row],[DTP Received]:[LPO/ LOA/ SOA Issue Date]])</f>
        <v>39</v>
      </c>
    </row>
    <row r="239" spans="2:20" x14ac:dyDescent="0.25">
      <c r="B239" t="s">
        <v>682</v>
      </c>
      <c r="C239" t="s">
        <v>371</v>
      </c>
      <c r="D239" s="3">
        <v>2</v>
      </c>
      <c r="E239" s="3">
        <v>1</v>
      </c>
      <c r="F239" s="3">
        <v>0</v>
      </c>
      <c r="G239" s="3">
        <v>5</v>
      </c>
      <c r="H239" s="3">
        <v>5</v>
      </c>
      <c r="I239" s="3">
        <v>1</v>
      </c>
      <c r="J239" s="3">
        <v>3</v>
      </c>
      <c r="K239" s="3">
        <v>2</v>
      </c>
      <c r="L239" s="3">
        <v>7</v>
      </c>
      <c r="M239" s="3">
        <v>3</v>
      </c>
      <c r="N239" s="3">
        <v>1</v>
      </c>
      <c r="O239" s="3">
        <v>2</v>
      </c>
      <c r="P239" s="3">
        <v>2</v>
      </c>
      <c r="Q239" s="3">
        <v>5</v>
      </c>
      <c r="R239" s="3">
        <v>0</v>
      </c>
      <c r="T239">
        <f>SUM(Table1[[#This Row],[DTP Received]:[LPO/ LOA/ SOA Issue Date]])</f>
        <v>39</v>
      </c>
    </row>
    <row r="240" spans="2:20" x14ac:dyDescent="0.25">
      <c r="B240" t="s">
        <v>683</v>
      </c>
      <c r="C240" t="s">
        <v>371</v>
      </c>
      <c r="D240" s="3">
        <v>2</v>
      </c>
      <c r="E240" s="3">
        <v>1</v>
      </c>
      <c r="F240" s="3">
        <v>0</v>
      </c>
      <c r="G240" s="3">
        <v>5</v>
      </c>
      <c r="H240" s="3">
        <v>5</v>
      </c>
      <c r="I240" s="3">
        <v>1</v>
      </c>
      <c r="J240" s="3">
        <v>3</v>
      </c>
      <c r="K240" s="3">
        <v>2</v>
      </c>
      <c r="L240" s="3">
        <v>7</v>
      </c>
      <c r="M240" s="3">
        <v>3</v>
      </c>
      <c r="N240" s="3">
        <v>1</v>
      </c>
      <c r="O240" s="3">
        <v>2</v>
      </c>
      <c r="P240" s="3">
        <v>2</v>
      </c>
      <c r="Q240" s="3">
        <v>5</v>
      </c>
      <c r="R240" s="3">
        <v>0</v>
      </c>
      <c r="T240">
        <f>SUM(Table1[[#This Row],[DTP Received]:[LPO/ LOA/ SOA Issue Date]])</f>
        <v>39</v>
      </c>
    </row>
    <row r="241" spans="2:20" x14ac:dyDescent="0.25">
      <c r="B241" t="s">
        <v>684</v>
      </c>
      <c r="C241" t="s">
        <v>371</v>
      </c>
      <c r="D241" s="3">
        <v>2</v>
      </c>
      <c r="E241" s="3">
        <v>1</v>
      </c>
      <c r="F241" s="3">
        <v>0</v>
      </c>
      <c r="G241" s="3">
        <v>5</v>
      </c>
      <c r="H241" s="3">
        <v>5</v>
      </c>
      <c r="I241" s="3">
        <v>1</v>
      </c>
      <c r="J241" s="3">
        <v>3</v>
      </c>
      <c r="K241" s="3">
        <v>2</v>
      </c>
      <c r="L241" s="3">
        <v>7</v>
      </c>
      <c r="M241" s="3">
        <v>3</v>
      </c>
      <c r="N241" s="3">
        <v>1</v>
      </c>
      <c r="O241" s="3">
        <v>2</v>
      </c>
      <c r="P241" s="3">
        <v>2</v>
      </c>
      <c r="Q241" s="3">
        <v>5</v>
      </c>
      <c r="R241" s="3">
        <v>0</v>
      </c>
      <c r="T241">
        <f>SUM(Table1[[#This Row],[DTP Received]:[LPO/ LOA/ SOA Issue Date]])</f>
        <v>39</v>
      </c>
    </row>
    <row r="242" spans="2:20" x14ac:dyDescent="0.25">
      <c r="B242" t="s">
        <v>685</v>
      </c>
      <c r="C242" t="s">
        <v>371</v>
      </c>
      <c r="D242" s="3">
        <v>2</v>
      </c>
      <c r="E242" s="3">
        <v>1</v>
      </c>
      <c r="F242" s="3">
        <v>0</v>
      </c>
      <c r="G242" s="3">
        <v>5</v>
      </c>
      <c r="H242" s="3">
        <v>5</v>
      </c>
      <c r="I242" s="3">
        <v>1</v>
      </c>
      <c r="J242" s="3">
        <v>3</v>
      </c>
      <c r="K242" s="3">
        <v>2</v>
      </c>
      <c r="L242" s="3">
        <v>7</v>
      </c>
      <c r="M242" s="3">
        <v>3</v>
      </c>
      <c r="N242" s="3">
        <v>1</v>
      </c>
      <c r="O242" s="3">
        <v>2</v>
      </c>
      <c r="P242" s="3">
        <v>2</v>
      </c>
      <c r="Q242" s="3">
        <v>5</v>
      </c>
      <c r="R242" s="3">
        <v>0</v>
      </c>
      <c r="T242">
        <f>SUM(Table1[[#This Row],[DTP Received]:[LPO/ LOA/ SOA Issue Date]])</f>
        <v>39</v>
      </c>
    </row>
    <row r="243" spans="2:20" x14ac:dyDescent="0.25">
      <c r="B243" t="s">
        <v>686</v>
      </c>
      <c r="C243" t="s">
        <v>371</v>
      </c>
      <c r="D243" s="3">
        <v>2</v>
      </c>
      <c r="E243" s="3">
        <v>1</v>
      </c>
      <c r="F243" s="3">
        <v>0</v>
      </c>
      <c r="G243" s="3">
        <v>5</v>
      </c>
      <c r="H243" s="3">
        <v>5</v>
      </c>
      <c r="I243" s="3">
        <v>1</v>
      </c>
      <c r="J243" s="3">
        <v>3</v>
      </c>
      <c r="K243" s="3">
        <v>2</v>
      </c>
      <c r="L243" s="3">
        <v>7</v>
      </c>
      <c r="M243" s="3">
        <v>3</v>
      </c>
      <c r="N243" s="3">
        <v>1</v>
      </c>
      <c r="O243" s="3">
        <v>2</v>
      </c>
      <c r="P243" s="3">
        <v>2</v>
      </c>
      <c r="Q243" s="3">
        <v>5</v>
      </c>
      <c r="R243" s="3">
        <v>0</v>
      </c>
      <c r="T243">
        <f>SUM(Table1[[#This Row],[DTP Received]:[LPO/ LOA/ SOA Issue Date]])</f>
        <v>39</v>
      </c>
    </row>
    <row r="244" spans="2:20" x14ac:dyDescent="0.25">
      <c r="B244" t="s">
        <v>181</v>
      </c>
      <c r="C244" t="s">
        <v>316</v>
      </c>
      <c r="D244" s="3">
        <v>2</v>
      </c>
      <c r="E244" s="3">
        <v>1</v>
      </c>
      <c r="F244" s="3">
        <v>0</v>
      </c>
      <c r="G244" s="3">
        <v>7</v>
      </c>
      <c r="H244" s="3">
        <v>5</v>
      </c>
      <c r="I244" s="3">
        <v>1</v>
      </c>
      <c r="J244" s="3">
        <v>3</v>
      </c>
      <c r="K244" s="3">
        <v>2</v>
      </c>
      <c r="L244" s="3">
        <v>3</v>
      </c>
      <c r="M244" s="3">
        <v>3</v>
      </c>
      <c r="N244" s="3">
        <v>1</v>
      </c>
      <c r="O244" s="3">
        <v>2</v>
      </c>
      <c r="P244" s="3">
        <v>2</v>
      </c>
      <c r="Q244" s="3">
        <v>5</v>
      </c>
      <c r="R244" s="3">
        <v>0</v>
      </c>
      <c r="T244">
        <f>SUM(Table1[[#This Row],[DTP Received]:[LPO/ LOA/ SOA Issue Date]])</f>
        <v>37</v>
      </c>
    </row>
    <row r="245" spans="2:20" x14ac:dyDescent="0.25">
      <c r="B245" t="s">
        <v>687</v>
      </c>
      <c r="C245" t="s">
        <v>688</v>
      </c>
      <c r="D245" s="3">
        <v>2</v>
      </c>
      <c r="E245" s="3">
        <v>1</v>
      </c>
      <c r="F245" s="3">
        <v>0</v>
      </c>
      <c r="G245" s="3">
        <v>5</v>
      </c>
      <c r="H245" s="3">
        <v>5</v>
      </c>
      <c r="I245" s="3">
        <v>1</v>
      </c>
      <c r="J245" s="3">
        <v>3</v>
      </c>
      <c r="K245" s="3">
        <v>2</v>
      </c>
      <c r="L245" s="3">
        <v>7</v>
      </c>
      <c r="M245" s="3">
        <v>3</v>
      </c>
      <c r="N245" s="3">
        <v>1</v>
      </c>
      <c r="O245" s="3">
        <v>2</v>
      </c>
      <c r="P245" s="3">
        <v>2</v>
      </c>
      <c r="Q245" s="3">
        <v>5</v>
      </c>
      <c r="R245" s="3">
        <v>0</v>
      </c>
      <c r="T245">
        <f>SUM(Table1[[#This Row],[DTP Received]:[LPO/ LOA/ SOA Issue Date]])</f>
        <v>39</v>
      </c>
    </row>
    <row r="246" spans="2:20" x14ac:dyDescent="0.25">
      <c r="B246" t="s">
        <v>190</v>
      </c>
      <c r="C246" t="s">
        <v>58</v>
      </c>
      <c r="D246" s="3">
        <v>2</v>
      </c>
      <c r="E246" s="3">
        <v>1</v>
      </c>
      <c r="F246" s="3">
        <v>0</v>
      </c>
      <c r="G246" s="3">
        <v>5</v>
      </c>
      <c r="H246" s="3">
        <v>2</v>
      </c>
      <c r="I246" s="3">
        <v>1</v>
      </c>
      <c r="J246" s="3">
        <v>3</v>
      </c>
      <c r="K246" s="3">
        <v>2</v>
      </c>
      <c r="L246" s="3">
        <v>2</v>
      </c>
      <c r="M246" s="3">
        <v>2</v>
      </c>
      <c r="N246" s="3">
        <v>1</v>
      </c>
      <c r="O246" s="3">
        <v>2</v>
      </c>
      <c r="P246" s="3">
        <v>2</v>
      </c>
      <c r="Q246" s="3">
        <v>5</v>
      </c>
      <c r="R246" s="3">
        <v>0</v>
      </c>
      <c r="T246">
        <f>SUM(Table1[[#This Row],[DTP Received]:[LPO/ LOA/ SOA Issue Date]])</f>
        <v>30</v>
      </c>
    </row>
    <row r="247" spans="2:20" x14ac:dyDescent="0.25">
      <c r="B247" t="s">
        <v>689</v>
      </c>
      <c r="C247" t="s">
        <v>690</v>
      </c>
      <c r="D247" s="3">
        <v>2</v>
      </c>
      <c r="E247" s="3">
        <v>1</v>
      </c>
      <c r="F247" s="3">
        <v>0</v>
      </c>
      <c r="G247" s="3">
        <v>10</v>
      </c>
      <c r="H247" s="3">
        <v>5</v>
      </c>
      <c r="I247" s="3">
        <v>1</v>
      </c>
      <c r="J247" s="3">
        <v>3</v>
      </c>
      <c r="K247" s="3">
        <v>2</v>
      </c>
      <c r="L247" s="3">
        <v>3</v>
      </c>
      <c r="M247" s="3">
        <v>3</v>
      </c>
      <c r="N247" s="3">
        <v>1</v>
      </c>
      <c r="O247" s="3">
        <v>2</v>
      </c>
      <c r="P247" s="3">
        <v>2</v>
      </c>
      <c r="Q247" s="3">
        <v>5</v>
      </c>
      <c r="R247" s="3">
        <v>0</v>
      </c>
      <c r="T247">
        <f>SUM(Table1[[#This Row],[DTP Received]:[LPO/ LOA/ SOA Issue Date]])</f>
        <v>40</v>
      </c>
    </row>
    <row r="248" spans="2:20" x14ac:dyDescent="0.25">
      <c r="B248" t="s">
        <v>691</v>
      </c>
      <c r="C248" t="s">
        <v>692</v>
      </c>
      <c r="D248" s="3">
        <v>2</v>
      </c>
      <c r="E248" s="3">
        <v>1</v>
      </c>
      <c r="F248" s="3">
        <v>0</v>
      </c>
      <c r="G248" s="3">
        <v>5</v>
      </c>
      <c r="H248" s="3">
        <v>5</v>
      </c>
      <c r="I248" s="3">
        <v>1</v>
      </c>
      <c r="J248" s="3">
        <v>3</v>
      </c>
      <c r="K248" s="3">
        <v>2</v>
      </c>
      <c r="L248" s="3">
        <v>7</v>
      </c>
      <c r="M248" s="3">
        <v>3</v>
      </c>
      <c r="N248" s="3">
        <v>1</v>
      </c>
      <c r="O248" s="3">
        <v>2</v>
      </c>
      <c r="P248" s="3">
        <v>2</v>
      </c>
      <c r="Q248" s="3">
        <v>5</v>
      </c>
      <c r="R248" s="3">
        <v>0</v>
      </c>
      <c r="T248">
        <f>SUM(Table1[[#This Row],[DTP Received]:[LPO/ LOA/ SOA Issue Date]])</f>
        <v>39</v>
      </c>
    </row>
    <row r="249" spans="2:20" x14ac:dyDescent="0.25">
      <c r="B249" t="s">
        <v>693</v>
      </c>
      <c r="C249" t="s">
        <v>371</v>
      </c>
      <c r="D249" s="3">
        <v>2</v>
      </c>
      <c r="E249" s="3">
        <v>1</v>
      </c>
      <c r="F249" s="3">
        <v>0</v>
      </c>
      <c r="G249" s="3">
        <v>5</v>
      </c>
      <c r="H249" s="3">
        <v>5</v>
      </c>
      <c r="I249" s="3">
        <v>1</v>
      </c>
      <c r="J249" s="3">
        <v>3</v>
      </c>
      <c r="K249" s="3">
        <v>2</v>
      </c>
      <c r="L249" s="3">
        <v>7</v>
      </c>
      <c r="M249" s="3">
        <v>3</v>
      </c>
      <c r="N249" s="3">
        <v>1</v>
      </c>
      <c r="O249" s="3">
        <v>2</v>
      </c>
      <c r="P249" s="3">
        <v>2</v>
      </c>
      <c r="Q249" s="3">
        <v>5</v>
      </c>
      <c r="R249" s="3">
        <v>0</v>
      </c>
      <c r="T249">
        <f>SUM(Table1[[#This Row],[DTP Received]:[LPO/ LOA/ SOA Issue Date]])</f>
        <v>39</v>
      </c>
    </row>
    <row r="250" spans="2:20" x14ac:dyDescent="0.25">
      <c r="B250" t="s">
        <v>694</v>
      </c>
      <c r="C250" t="s">
        <v>371</v>
      </c>
      <c r="D250" s="3">
        <v>2</v>
      </c>
      <c r="E250" s="3">
        <v>1</v>
      </c>
      <c r="F250" s="3">
        <v>0</v>
      </c>
      <c r="G250" s="3">
        <v>5</v>
      </c>
      <c r="H250" s="3">
        <v>5</v>
      </c>
      <c r="I250" s="3">
        <v>1</v>
      </c>
      <c r="J250" s="3">
        <v>3</v>
      </c>
      <c r="K250" s="3">
        <v>2</v>
      </c>
      <c r="L250" s="3">
        <v>7</v>
      </c>
      <c r="M250" s="3">
        <v>3</v>
      </c>
      <c r="N250" s="3">
        <v>1</v>
      </c>
      <c r="O250" s="3">
        <v>2</v>
      </c>
      <c r="P250" s="3">
        <v>2</v>
      </c>
      <c r="Q250" s="3">
        <v>5</v>
      </c>
      <c r="R250" s="3">
        <v>0</v>
      </c>
      <c r="T250">
        <f>SUM(Table1[[#This Row],[DTP Received]:[LPO/ LOA/ SOA Issue Date]])</f>
        <v>39</v>
      </c>
    </row>
    <row r="251" spans="2:20" x14ac:dyDescent="0.25">
      <c r="B251" t="s">
        <v>695</v>
      </c>
      <c r="C251" t="s">
        <v>371</v>
      </c>
      <c r="D251" s="3">
        <v>2</v>
      </c>
      <c r="E251" s="3">
        <v>1</v>
      </c>
      <c r="F251" s="3">
        <v>0</v>
      </c>
      <c r="G251" s="3">
        <v>5</v>
      </c>
      <c r="H251" s="3">
        <v>5</v>
      </c>
      <c r="I251" s="3">
        <v>1</v>
      </c>
      <c r="J251" s="3">
        <v>3</v>
      </c>
      <c r="K251" s="3">
        <v>2</v>
      </c>
      <c r="L251" s="3">
        <v>7</v>
      </c>
      <c r="M251" s="3">
        <v>3</v>
      </c>
      <c r="N251" s="3">
        <v>1</v>
      </c>
      <c r="O251" s="3">
        <v>2</v>
      </c>
      <c r="P251" s="3">
        <v>2</v>
      </c>
      <c r="Q251" s="3">
        <v>5</v>
      </c>
      <c r="R251" s="3">
        <v>0</v>
      </c>
      <c r="T251">
        <f>SUM(Table1[[#This Row],[DTP Received]:[LPO/ LOA/ SOA Issue Date]])</f>
        <v>39</v>
      </c>
    </row>
    <row r="252" spans="2:20" x14ac:dyDescent="0.25">
      <c r="B252" t="s">
        <v>696</v>
      </c>
      <c r="C252" t="s">
        <v>371</v>
      </c>
      <c r="D252" s="3">
        <v>2</v>
      </c>
      <c r="E252" s="3">
        <v>1</v>
      </c>
      <c r="F252" s="3">
        <v>0</v>
      </c>
      <c r="G252" s="3">
        <v>5</v>
      </c>
      <c r="H252" s="3">
        <v>5</v>
      </c>
      <c r="I252" s="3">
        <v>1</v>
      </c>
      <c r="J252" s="3">
        <v>3</v>
      </c>
      <c r="K252" s="3">
        <v>2</v>
      </c>
      <c r="L252" s="3">
        <v>7</v>
      </c>
      <c r="M252" s="3">
        <v>3</v>
      </c>
      <c r="N252" s="3">
        <v>1</v>
      </c>
      <c r="O252" s="3">
        <v>2</v>
      </c>
      <c r="P252" s="3">
        <v>2</v>
      </c>
      <c r="Q252" s="3">
        <v>5</v>
      </c>
      <c r="R252" s="3">
        <v>0</v>
      </c>
      <c r="T252">
        <f>SUM(Table1[[#This Row],[DTP Received]:[LPO/ LOA/ SOA Issue Date]])</f>
        <v>39</v>
      </c>
    </row>
    <row r="253" spans="2:20" x14ac:dyDescent="0.25">
      <c r="B253" t="s">
        <v>697</v>
      </c>
      <c r="C253" t="s">
        <v>371</v>
      </c>
      <c r="D253" s="3">
        <v>2</v>
      </c>
      <c r="E253" s="3">
        <v>1</v>
      </c>
      <c r="F253" s="3">
        <v>0</v>
      </c>
      <c r="G253" s="3">
        <v>5</v>
      </c>
      <c r="H253" s="3">
        <v>5</v>
      </c>
      <c r="I253" s="3">
        <v>1</v>
      </c>
      <c r="J253" s="3">
        <v>3</v>
      </c>
      <c r="K253" s="3">
        <v>2</v>
      </c>
      <c r="L253" s="3">
        <v>7</v>
      </c>
      <c r="M253" s="3">
        <v>3</v>
      </c>
      <c r="N253" s="3">
        <v>1</v>
      </c>
      <c r="O253" s="3">
        <v>2</v>
      </c>
      <c r="P253" s="3">
        <v>2</v>
      </c>
      <c r="Q253" s="3">
        <v>5</v>
      </c>
      <c r="R253" s="3">
        <v>0</v>
      </c>
      <c r="T253">
        <f>SUM(Table1[[#This Row],[DTP Received]:[LPO/ LOA/ SOA Issue Date]])</f>
        <v>39</v>
      </c>
    </row>
    <row r="254" spans="2:20" x14ac:dyDescent="0.25">
      <c r="B254" t="s">
        <v>698</v>
      </c>
      <c r="C254" t="s">
        <v>699</v>
      </c>
      <c r="D254" s="3">
        <v>2</v>
      </c>
      <c r="E254" s="3">
        <v>1</v>
      </c>
      <c r="F254" s="3">
        <v>0</v>
      </c>
      <c r="G254" s="3">
        <v>5</v>
      </c>
      <c r="H254" s="3">
        <v>5</v>
      </c>
      <c r="I254" s="3">
        <v>1</v>
      </c>
      <c r="J254" s="3">
        <v>3</v>
      </c>
      <c r="K254" s="3">
        <v>2</v>
      </c>
      <c r="L254" s="3">
        <v>7</v>
      </c>
      <c r="M254" s="3">
        <v>3</v>
      </c>
      <c r="N254" s="3">
        <v>1</v>
      </c>
      <c r="O254" s="3">
        <v>2</v>
      </c>
      <c r="P254" s="3">
        <v>2</v>
      </c>
      <c r="Q254" s="3">
        <v>5</v>
      </c>
      <c r="R254" s="3">
        <v>0</v>
      </c>
      <c r="T254">
        <f>SUM(Table1[[#This Row],[DTP Received]:[LPO/ LOA/ SOA Issue Date]])</f>
        <v>39</v>
      </c>
    </row>
    <row r="255" spans="2:20" x14ac:dyDescent="0.25">
      <c r="B255" t="s">
        <v>700</v>
      </c>
      <c r="C255" t="s">
        <v>701</v>
      </c>
      <c r="D255" s="3">
        <v>2</v>
      </c>
      <c r="E255" s="3">
        <v>1</v>
      </c>
      <c r="F255" s="3">
        <v>0</v>
      </c>
      <c r="G255" s="3">
        <v>5</v>
      </c>
      <c r="H255" s="3">
        <v>5</v>
      </c>
      <c r="I255" s="3">
        <v>1</v>
      </c>
      <c r="J255" s="3">
        <v>3</v>
      </c>
      <c r="K255" s="3">
        <v>2</v>
      </c>
      <c r="L255" s="3">
        <v>7</v>
      </c>
      <c r="M255" s="3">
        <v>3</v>
      </c>
      <c r="N255" s="3">
        <v>1</v>
      </c>
      <c r="O255" s="3">
        <v>2</v>
      </c>
      <c r="P255" s="3">
        <v>2</v>
      </c>
      <c r="Q255" s="3">
        <v>5</v>
      </c>
      <c r="R255" s="3">
        <v>0</v>
      </c>
      <c r="T255">
        <f>SUM(Table1[[#This Row],[DTP Received]:[LPO/ LOA/ SOA Issue Date]])</f>
        <v>39</v>
      </c>
    </row>
    <row r="256" spans="2:20" x14ac:dyDescent="0.25">
      <c r="B256" t="s">
        <v>702</v>
      </c>
      <c r="C256" t="s">
        <v>703</v>
      </c>
      <c r="D256" s="3">
        <v>2</v>
      </c>
      <c r="E256" s="3">
        <v>1</v>
      </c>
      <c r="F256" s="3">
        <v>0</v>
      </c>
      <c r="G256" s="3">
        <v>5</v>
      </c>
      <c r="H256" s="3">
        <v>5</v>
      </c>
      <c r="I256" s="3">
        <v>1</v>
      </c>
      <c r="J256" s="3">
        <v>3</v>
      </c>
      <c r="K256" s="3">
        <v>2</v>
      </c>
      <c r="L256" s="3">
        <v>7</v>
      </c>
      <c r="M256" s="3">
        <v>3</v>
      </c>
      <c r="N256" s="3">
        <v>1</v>
      </c>
      <c r="O256" s="3">
        <v>2</v>
      </c>
      <c r="P256" s="3">
        <v>2</v>
      </c>
      <c r="Q256" s="3">
        <v>5</v>
      </c>
      <c r="R256" s="3">
        <v>0</v>
      </c>
      <c r="T256">
        <f>SUM(Table1[[#This Row],[DTP Received]:[LPO/ LOA/ SOA Issue Date]])</f>
        <v>39</v>
      </c>
    </row>
    <row r="257" spans="2:20" x14ac:dyDescent="0.25">
      <c r="B257" t="s">
        <v>704</v>
      </c>
      <c r="C257" t="s">
        <v>705</v>
      </c>
      <c r="D257" s="3">
        <v>2</v>
      </c>
      <c r="E257" s="3">
        <v>1</v>
      </c>
      <c r="F257" s="3">
        <v>0</v>
      </c>
      <c r="G257" s="3">
        <v>5</v>
      </c>
      <c r="H257" s="3">
        <v>5</v>
      </c>
      <c r="I257" s="3">
        <v>1</v>
      </c>
      <c r="J257" s="3">
        <v>3</v>
      </c>
      <c r="K257" s="3">
        <v>2</v>
      </c>
      <c r="L257" s="3">
        <v>7</v>
      </c>
      <c r="M257" s="3">
        <v>3</v>
      </c>
      <c r="N257" s="3">
        <v>1</v>
      </c>
      <c r="O257" s="3">
        <v>2</v>
      </c>
      <c r="P257" s="3">
        <v>2</v>
      </c>
      <c r="Q257" s="3">
        <v>5</v>
      </c>
      <c r="R257" s="3">
        <v>0</v>
      </c>
      <c r="T257">
        <f>SUM(Table1[[#This Row],[DTP Received]:[LPO/ LOA/ SOA Issue Date]])</f>
        <v>39</v>
      </c>
    </row>
    <row r="258" spans="2:20" x14ac:dyDescent="0.25">
      <c r="B258" t="s">
        <v>706</v>
      </c>
      <c r="C258" t="s">
        <v>371</v>
      </c>
      <c r="D258" s="3">
        <v>2</v>
      </c>
      <c r="E258" s="3">
        <v>1</v>
      </c>
      <c r="F258" s="3">
        <v>0</v>
      </c>
      <c r="G258" s="3">
        <v>5</v>
      </c>
      <c r="H258" s="3">
        <v>5</v>
      </c>
      <c r="I258" s="3">
        <v>1</v>
      </c>
      <c r="J258" s="3">
        <v>3</v>
      </c>
      <c r="K258" s="3">
        <v>2</v>
      </c>
      <c r="L258" s="3">
        <v>7</v>
      </c>
      <c r="M258" s="3">
        <v>3</v>
      </c>
      <c r="N258" s="3">
        <v>1</v>
      </c>
      <c r="O258" s="3">
        <v>2</v>
      </c>
      <c r="P258" s="3">
        <v>2</v>
      </c>
      <c r="Q258" s="3">
        <v>5</v>
      </c>
      <c r="R258" s="3">
        <v>0</v>
      </c>
      <c r="T258">
        <f>SUM(Table1[[#This Row],[DTP Received]:[LPO/ LOA/ SOA Issue Date]])</f>
        <v>39</v>
      </c>
    </row>
    <row r="259" spans="2:20" x14ac:dyDescent="0.25">
      <c r="B259" t="s">
        <v>707</v>
      </c>
      <c r="C259" t="s">
        <v>371</v>
      </c>
      <c r="D259" s="3">
        <v>2</v>
      </c>
      <c r="E259" s="3">
        <v>1</v>
      </c>
      <c r="F259" s="3">
        <v>0</v>
      </c>
      <c r="G259" s="3">
        <v>5</v>
      </c>
      <c r="H259" s="3">
        <v>5</v>
      </c>
      <c r="I259" s="3">
        <v>1</v>
      </c>
      <c r="J259" s="3">
        <v>3</v>
      </c>
      <c r="K259" s="3">
        <v>2</v>
      </c>
      <c r="L259" s="3">
        <v>7</v>
      </c>
      <c r="M259" s="3">
        <v>3</v>
      </c>
      <c r="N259" s="3">
        <v>1</v>
      </c>
      <c r="O259" s="3">
        <v>2</v>
      </c>
      <c r="P259" s="3">
        <v>2</v>
      </c>
      <c r="Q259" s="3">
        <v>5</v>
      </c>
      <c r="R259" s="3">
        <v>0</v>
      </c>
      <c r="T259">
        <f>SUM(Table1[[#This Row],[DTP Received]:[LPO/ LOA/ SOA Issue Date]])</f>
        <v>39</v>
      </c>
    </row>
    <row r="260" spans="2:20" x14ac:dyDescent="0.25">
      <c r="B260" t="s">
        <v>708</v>
      </c>
      <c r="C260" t="s">
        <v>371</v>
      </c>
      <c r="D260" s="3">
        <v>2</v>
      </c>
      <c r="E260" s="3">
        <v>1</v>
      </c>
      <c r="F260" s="3">
        <v>0</v>
      </c>
      <c r="G260" s="3">
        <v>5</v>
      </c>
      <c r="H260" s="3">
        <v>5</v>
      </c>
      <c r="I260" s="3">
        <v>1</v>
      </c>
      <c r="J260" s="3">
        <v>3</v>
      </c>
      <c r="K260" s="3">
        <v>2</v>
      </c>
      <c r="L260" s="3">
        <v>7</v>
      </c>
      <c r="M260" s="3">
        <v>3</v>
      </c>
      <c r="N260" s="3">
        <v>1</v>
      </c>
      <c r="O260" s="3">
        <v>2</v>
      </c>
      <c r="P260" s="3">
        <v>2</v>
      </c>
      <c r="Q260" s="3">
        <v>5</v>
      </c>
      <c r="R260" s="3">
        <v>0</v>
      </c>
      <c r="T260">
        <f>SUM(Table1[[#This Row],[DTP Received]:[LPO/ LOA/ SOA Issue Date]])</f>
        <v>39</v>
      </c>
    </row>
    <row r="261" spans="2:20" x14ac:dyDescent="0.25">
      <c r="B261" t="s">
        <v>709</v>
      </c>
      <c r="C261" t="s">
        <v>371</v>
      </c>
      <c r="D261" s="3">
        <v>2</v>
      </c>
      <c r="E261" s="3">
        <v>1</v>
      </c>
      <c r="F261" s="3">
        <v>0</v>
      </c>
      <c r="G261" s="3">
        <v>5</v>
      </c>
      <c r="H261" s="3">
        <v>5</v>
      </c>
      <c r="I261" s="3">
        <v>1</v>
      </c>
      <c r="J261" s="3">
        <v>3</v>
      </c>
      <c r="K261" s="3">
        <v>2</v>
      </c>
      <c r="L261" s="3">
        <v>7</v>
      </c>
      <c r="M261" s="3">
        <v>3</v>
      </c>
      <c r="N261" s="3">
        <v>1</v>
      </c>
      <c r="O261" s="3">
        <v>2</v>
      </c>
      <c r="P261" s="3">
        <v>2</v>
      </c>
      <c r="Q261" s="3">
        <v>5</v>
      </c>
      <c r="R261" s="3">
        <v>0</v>
      </c>
      <c r="T261">
        <f>SUM(Table1[[#This Row],[DTP Received]:[LPO/ LOA/ SOA Issue Date]])</f>
        <v>39</v>
      </c>
    </row>
    <row r="262" spans="2:20" x14ac:dyDescent="0.25">
      <c r="B262" t="s">
        <v>710</v>
      </c>
      <c r="C262" t="s">
        <v>371</v>
      </c>
      <c r="D262" s="3">
        <v>2</v>
      </c>
      <c r="E262" s="3">
        <v>1</v>
      </c>
      <c r="F262" s="3">
        <v>0</v>
      </c>
      <c r="G262" s="3">
        <v>5</v>
      </c>
      <c r="H262" s="3">
        <v>5</v>
      </c>
      <c r="I262" s="3">
        <v>1</v>
      </c>
      <c r="J262" s="3">
        <v>3</v>
      </c>
      <c r="K262" s="3">
        <v>2</v>
      </c>
      <c r="L262" s="3">
        <v>7</v>
      </c>
      <c r="M262" s="3">
        <v>3</v>
      </c>
      <c r="N262" s="3">
        <v>1</v>
      </c>
      <c r="O262" s="3">
        <v>2</v>
      </c>
      <c r="P262" s="3">
        <v>2</v>
      </c>
      <c r="Q262" s="3">
        <v>5</v>
      </c>
      <c r="R262" s="3">
        <v>0</v>
      </c>
      <c r="T262">
        <f>SUM(Table1[[#This Row],[DTP Received]:[LPO/ LOA/ SOA Issue Date]])</f>
        <v>39</v>
      </c>
    </row>
    <row r="263" spans="2:20" x14ac:dyDescent="0.25">
      <c r="B263" t="s">
        <v>711</v>
      </c>
      <c r="C263" t="s">
        <v>712</v>
      </c>
      <c r="D263" s="3">
        <v>2</v>
      </c>
      <c r="E263" s="3">
        <v>1</v>
      </c>
      <c r="F263" s="3">
        <v>0</v>
      </c>
      <c r="G263" s="3">
        <v>10</v>
      </c>
      <c r="H263" s="3">
        <v>5</v>
      </c>
      <c r="I263" s="3">
        <v>1</v>
      </c>
      <c r="J263" s="3">
        <v>3</v>
      </c>
      <c r="K263" s="3">
        <v>2</v>
      </c>
      <c r="L263" s="3">
        <v>3</v>
      </c>
      <c r="M263" s="3">
        <v>3</v>
      </c>
      <c r="N263" s="3">
        <v>1</v>
      </c>
      <c r="O263" s="3">
        <v>2</v>
      </c>
      <c r="P263" s="3">
        <v>2</v>
      </c>
      <c r="Q263" s="3">
        <v>5</v>
      </c>
      <c r="R263" s="3">
        <v>0</v>
      </c>
      <c r="T263">
        <f>SUM(Table1[[#This Row],[DTP Received]:[LPO/ LOA/ SOA Issue Date]])</f>
        <v>40</v>
      </c>
    </row>
    <row r="264" spans="2:20" x14ac:dyDescent="0.25">
      <c r="B264" t="s">
        <v>713</v>
      </c>
      <c r="C264" t="s">
        <v>714</v>
      </c>
      <c r="D264" s="3">
        <v>2</v>
      </c>
      <c r="E264" s="3">
        <v>1</v>
      </c>
      <c r="F264" s="3">
        <v>0</v>
      </c>
      <c r="G264" s="3">
        <v>7</v>
      </c>
      <c r="H264" s="3">
        <v>5</v>
      </c>
      <c r="I264" s="3">
        <v>1</v>
      </c>
      <c r="J264" s="3">
        <v>3</v>
      </c>
      <c r="K264" s="3">
        <v>2</v>
      </c>
      <c r="L264" s="3">
        <v>3</v>
      </c>
      <c r="M264" s="3">
        <v>3</v>
      </c>
      <c r="N264" s="3">
        <v>1</v>
      </c>
      <c r="O264" s="3">
        <v>2</v>
      </c>
      <c r="P264" s="3">
        <v>2</v>
      </c>
      <c r="Q264" s="3">
        <v>5</v>
      </c>
      <c r="R264" s="3">
        <v>0</v>
      </c>
      <c r="T264">
        <f>SUM(Table1[[#This Row],[DTP Received]:[LPO/ LOA/ SOA Issue Date]])</f>
        <v>37</v>
      </c>
    </row>
    <row r="265" spans="2:20" x14ac:dyDescent="0.25">
      <c r="B265" t="s">
        <v>715</v>
      </c>
      <c r="C265" t="s">
        <v>716</v>
      </c>
      <c r="D265" s="3">
        <v>2</v>
      </c>
      <c r="E265" s="3">
        <v>1</v>
      </c>
      <c r="F265" s="3">
        <v>0</v>
      </c>
      <c r="G265" s="3">
        <v>7</v>
      </c>
      <c r="H265" s="3">
        <v>5</v>
      </c>
      <c r="I265" s="3">
        <v>1</v>
      </c>
      <c r="J265" s="3">
        <v>3</v>
      </c>
      <c r="K265" s="3">
        <v>2</v>
      </c>
      <c r="L265" s="3">
        <v>3</v>
      </c>
      <c r="M265" s="3">
        <v>3</v>
      </c>
      <c r="N265" s="3">
        <v>1</v>
      </c>
      <c r="O265" s="3">
        <v>2</v>
      </c>
      <c r="P265" s="3">
        <v>2</v>
      </c>
      <c r="Q265" s="3">
        <v>5</v>
      </c>
      <c r="R265" s="3">
        <v>0</v>
      </c>
      <c r="T265">
        <f>SUM(Table1[[#This Row],[DTP Received]:[LPO/ LOA/ SOA Issue Date]])</f>
        <v>37</v>
      </c>
    </row>
    <row r="266" spans="2:20" x14ac:dyDescent="0.25">
      <c r="B266" t="s">
        <v>717</v>
      </c>
      <c r="C266" t="s">
        <v>718</v>
      </c>
      <c r="D266" s="3">
        <v>2</v>
      </c>
      <c r="E266" s="3">
        <v>1</v>
      </c>
      <c r="F266" s="3">
        <v>0</v>
      </c>
      <c r="G266" s="3">
        <v>5</v>
      </c>
      <c r="H266" s="3">
        <v>5</v>
      </c>
      <c r="I266" s="3">
        <v>1</v>
      </c>
      <c r="J266" s="3">
        <v>3</v>
      </c>
      <c r="K266" s="3">
        <v>2</v>
      </c>
      <c r="L266" s="3">
        <v>7</v>
      </c>
      <c r="M266" s="3">
        <v>3</v>
      </c>
      <c r="N266" s="3">
        <v>1</v>
      </c>
      <c r="O266" s="3">
        <v>2</v>
      </c>
      <c r="P266" s="3">
        <v>2</v>
      </c>
      <c r="Q266" s="3">
        <v>5</v>
      </c>
      <c r="R266" s="3">
        <v>0</v>
      </c>
      <c r="T266">
        <f>SUM(Table1[[#This Row],[DTP Received]:[LPO/ LOA/ SOA Issue Date]])</f>
        <v>39</v>
      </c>
    </row>
    <row r="267" spans="2:20" x14ac:dyDescent="0.25">
      <c r="B267" t="s">
        <v>719</v>
      </c>
      <c r="C267" t="s">
        <v>371</v>
      </c>
      <c r="D267" s="3">
        <v>2</v>
      </c>
      <c r="E267" s="3">
        <v>1</v>
      </c>
      <c r="F267" s="3">
        <v>0</v>
      </c>
      <c r="G267" s="3">
        <v>5</v>
      </c>
      <c r="H267" s="3">
        <v>5</v>
      </c>
      <c r="I267" s="3">
        <v>1</v>
      </c>
      <c r="J267" s="3">
        <v>3</v>
      </c>
      <c r="K267" s="3">
        <v>2</v>
      </c>
      <c r="L267" s="3">
        <v>7</v>
      </c>
      <c r="M267" s="3">
        <v>3</v>
      </c>
      <c r="N267" s="3">
        <v>1</v>
      </c>
      <c r="O267" s="3">
        <v>2</v>
      </c>
      <c r="P267" s="3">
        <v>2</v>
      </c>
      <c r="Q267" s="3">
        <v>5</v>
      </c>
      <c r="R267" s="3">
        <v>0</v>
      </c>
      <c r="T267">
        <f>SUM(Table1[[#This Row],[DTP Received]:[LPO/ LOA/ SOA Issue Date]])</f>
        <v>39</v>
      </c>
    </row>
    <row r="268" spans="2:20" x14ac:dyDescent="0.25">
      <c r="B268" t="s">
        <v>720</v>
      </c>
      <c r="C268" t="s">
        <v>371</v>
      </c>
      <c r="D268" s="3">
        <v>2</v>
      </c>
      <c r="E268" s="3">
        <v>1</v>
      </c>
      <c r="F268" s="3">
        <v>0</v>
      </c>
      <c r="G268" s="3">
        <v>5</v>
      </c>
      <c r="H268" s="3">
        <v>5</v>
      </c>
      <c r="I268" s="3">
        <v>1</v>
      </c>
      <c r="J268" s="3">
        <v>3</v>
      </c>
      <c r="K268" s="3">
        <v>2</v>
      </c>
      <c r="L268" s="3">
        <v>7</v>
      </c>
      <c r="M268" s="3">
        <v>3</v>
      </c>
      <c r="N268" s="3">
        <v>1</v>
      </c>
      <c r="O268" s="3">
        <v>2</v>
      </c>
      <c r="P268" s="3">
        <v>2</v>
      </c>
      <c r="Q268" s="3">
        <v>5</v>
      </c>
      <c r="R268" s="3">
        <v>0</v>
      </c>
      <c r="T268">
        <f>SUM(Table1[[#This Row],[DTP Received]:[LPO/ LOA/ SOA Issue Date]])</f>
        <v>39</v>
      </c>
    </row>
    <row r="269" spans="2:20" x14ac:dyDescent="0.25">
      <c r="B269" t="s">
        <v>721</v>
      </c>
      <c r="C269" t="s">
        <v>371</v>
      </c>
      <c r="D269" s="3">
        <v>2</v>
      </c>
      <c r="E269" s="3">
        <v>1</v>
      </c>
      <c r="F269" s="3">
        <v>0</v>
      </c>
      <c r="G269" s="3">
        <v>5</v>
      </c>
      <c r="H269" s="3">
        <v>5</v>
      </c>
      <c r="I269" s="3">
        <v>1</v>
      </c>
      <c r="J269" s="3">
        <v>3</v>
      </c>
      <c r="K269" s="3">
        <v>2</v>
      </c>
      <c r="L269" s="3">
        <v>7</v>
      </c>
      <c r="M269" s="3">
        <v>3</v>
      </c>
      <c r="N269" s="3">
        <v>1</v>
      </c>
      <c r="O269" s="3">
        <v>2</v>
      </c>
      <c r="P269" s="3">
        <v>2</v>
      </c>
      <c r="Q269" s="3">
        <v>5</v>
      </c>
      <c r="R269" s="3">
        <v>0</v>
      </c>
      <c r="T269">
        <f>SUM(Table1[[#This Row],[DTP Received]:[LPO/ LOA/ SOA Issue Date]])</f>
        <v>39</v>
      </c>
    </row>
    <row r="270" spans="2:20" x14ac:dyDescent="0.25">
      <c r="B270" t="s">
        <v>722</v>
      </c>
      <c r="C270" t="s">
        <v>371</v>
      </c>
      <c r="D270" s="3">
        <v>2</v>
      </c>
      <c r="E270" s="3">
        <v>1</v>
      </c>
      <c r="F270" s="3">
        <v>0</v>
      </c>
      <c r="G270" s="3">
        <v>5</v>
      </c>
      <c r="H270" s="3">
        <v>5</v>
      </c>
      <c r="I270" s="3">
        <v>1</v>
      </c>
      <c r="J270" s="3">
        <v>3</v>
      </c>
      <c r="K270" s="3">
        <v>2</v>
      </c>
      <c r="L270" s="3">
        <v>7</v>
      </c>
      <c r="M270" s="3">
        <v>3</v>
      </c>
      <c r="N270" s="3">
        <v>1</v>
      </c>
      <c r="O270" s="3">
        <v>2</v>
      </c>
      <c r="P270" s="3">
        <v>2</v>
      </c>
      <c r="Q270" s="3">
        <v>5</v>
      </c>
      <c r="R270" s="3">
        <v>0</v>
      </c>
      <c r="T270">
        <f>SUM(Table1[[#This Row],[DTP Received]:[LPO/ LOA/ SOA Issue Date]])</f>
        <v>39</v>
      </c>
    </row>
    <row r="271" spans="2:20" x14ac:dyDescent="0.25">
      <c r="B271" t="s">
        <v>197</v>
      </c>
      <c r="C271" t="s">
        <v>61</v>
      </c>
      <c r="D271" s="3">
        <v>2</v>
      </c>
      <c r="E271" s="3">
        <v>1</v>
      </c>
      <c r="F271" s="3">
        <v>0</v>
      </c>
      <c r="G271" s="3">
        <v>5</v>
      </c>
      <c r="H271" s="3">
        <v>2</v>
      </c>
      <c r="I271" s="3">
        <v>1</v>
      </c>
      <c r="J271" s="3">
        <v>3</v>
      </c>
      <c r="K271" s="3">
        <v>2</v>
      </c>
      <c r="L271" s="3">
        <v>0</v>
      </c>
      <c r="M271" s="3">
        <v>2</v>
      </c>
      <c r="N271" s="3">
        <v>1</v>
      </c>
      <c r="O271" s="3">
        <v>2</v>
      </c>
      <c r="P271" s="3">
        <v>2</v>
      </c>
      <c r="Q271" s="3">
        <v>5</v>
      </c>
      <c r="R271" s="3">
        <v>0</v>
      </c>
      <c r="T271">
        <f>SUM(Table1[[#This Row],[DTP Received]:[LPO/ LOA/ SOA Issue Date]])</f>
        <v>28</v>
      </c>
    </row>
    <row r="272" spans="2:20" x14ac:dyDescent="0.25">
      <c r="B272" t="s">
        <v>723</v>
      </c>
      <c r="C272" t="s">
        <v>62</v>
      </c>
      <c r="D272" s="3">
        <v>2</v>
      </c>
      <c r="E272" s="3">
        <v>1</v>
      </c>
      <c r="F272" s="3">
        <v>0</v>
      </c>
      <c r="G272" s="3">
        <v>5</v>
      </c>
      <c r="H272" s="3">
        <v>2</v>
      </c>
      <c r="I272" s="3">
        <v>1</v>
      </c>
      <c r="J272" s="3">
        <v>3</v>
      </c>
      <c r="K272" s="3">
        <v>2</v>
      </c>
      <c r="L272" s="3">
        <v>0</v>
      </c>
      <c r="M272" s="3">
        <v>2</v>
      </c>
      <c r="N272" s="3">
        <v>1</v>
      </c>
      <c r="O272" s="3">
        <v>2</v>
      </c>
      <c r="P272" s="3">
        <v>2</v>
      </c>
      <c r="Q272" s="3">
        <v>5</v>
      </c>
      <c r="R272" s="3">
        <v>0</v>
      </c>
      <c r="T272">
        <f>SUM(Table1[[#This Row],[DTP Received]:[LPO/ LOA/ SOA Issue Date]])</f>
        <v>28</v>
      </c>
    </row>
    <row r="273" spans="2:20" x14ac:dyDescent="0.25">
      <c r="B273" t="s">
        <v>724</v>
      </c>
      <c r="C273" t="s">
        <v>725</v>
      </c>
      <c r="D273" s="3">
        <v>2</v>
      </c>
      <c r="E273" s="3">
        <v>1</v>
      </c>
      <c r="F273" s="3">
        <v>0</v>
      </c>
      <c r="G273" s="3">
        <v>5</v>
      </c>
      <c r="H273" s="3">
        <v>2</v>
      </c>
      <c r="I273" s="3">
        <v>1</v>
      </c>
      <c r="J273" s="3">
        <v>3</v>
      </c>
      <c r="K273" s="3">
        <v>2</v>
      </c>
      <c r="L273" s="3">
        <v>0</v>
      </c>
      <c r="M273" s="3">
        <v>2</v>
      </c>
      <c r="N273" s="3">
        <v>1</v>
      </c>
      <c r="O273" s="3">
        <v>2</v>
      </c>
      <c r="P273" s="3">
        <v>2</v>
      </c>
      <c r="Q273" s="3">
        <v>5</v>
      </c>
      <c r="R273" s="3">
        <v>0</v>
      </c>
      <c r="T273">
        <f>SUM(Table1[[#This Row],[DTP Received]:[LPO/ LOA/ SOA Issue Date]])</f>
        <v>28</v>
      </c>
    </row>
    <row r="274" spans="2:20" x14ac:dyDescent="0.25">
      <c r="B274" t="s">
        <v>726</v>
      </c>
      <c r="C274" t="s">
        <v>727</v>
      </c>
      <c r="D274" s="3">
        <v>2</v>
      </c>
      <c r="E274" s="3">
        <v>1</v>
      </c>
      <c r="F274" s="3">
        <v>0</v>
      </c>
      <c r="G274" s="3">
        <v>5</v>
      </c>
      <c r="H274" s="3">
        <v>2</v>
      </c>
      <c r="I274" s="3">
        <v>1</v>
      </c>
      <c r="J274" s="3">
        <v>3</v>
      </c>
      <c r="K274" s="3">
        <v>2</v>
      </c>
      <c r="L274" s="3">
        <v>0</v>
      </c>
      <c r="M274" s="3">
        <v>2</v>
      </c>
      <c r="N274" s="3">
        <v>1</v>
      </c>
      <c r="O274" s="3">
        <v>2</v>
      </c>
      <c r="P274" s="3">
        <v>2</v>
      </c>
      <c r="Q274" s="3">
        <v>5</v>
      </c>
      <c r="R274" s="3">
        <v>0</v>
      </c>
      <c r="T274">
        <f>SUM(Table1[[#This Row],[DTP Received]:[LPO/ LOA/ SOA Issue Date]])</f>
        <v>28</v>
      </c>
    </row>
    <row r="275" spans="2:20" x14ac:dyDescent="0.25">
      <c r="B275" t="s">
        <v>728</v>
      </c>
      <c r="C275" t="s">
        <v>371</v>
      </c>
      <c r="D275" s="3">
        <v>2</v>
      </c>
      <c r="E275" s="3">
        <v>1</v>
      </c>
      <c r="F275" s="3">
        <v>0</v>
      </c>
      <c r="G275" s="3">
        <v>5</v>
      </c>
      <c r="H275" s="3">
        <v>5</v>
      </c>
      <c r="I275" s="3">
        <v>1</v>
      </c>
      <c r="J275" s="3">
        <v>3</v>
      </c>
      <c r="K275" s="3">
        <v>2</v>
      </c>
      <c r="L275" s="3">
        <v>7</v>
      </c>
      <c r="M275" s="3">
        <v>3</v>
      </c>
      <c r="N275" s="3">
        <v>1</v>
      </c>
      <c r="O275" s="3">
        <v>2</v>
      </c>
      <c r="P275" s="3">
        <v>2</v>
      </c>
      <c r="Q275" s="3">
        <v>5</v>
      </c>
      <c r="R275" s="3">
        <v>0</v>
      </c>
      <c r="T275">
        <f>SUM(Table1[[#This Row],[DTP Received]:[LPO/ LOA/ SOA Issue Date]])</f>
        <v>39</v>
      </c>
    </row>
    <row r="276" spans="2:20" x14ac:dyDescent="0.25">
      <c r="B276" t="s">
        <v>729</v>
      </c>
      <c r="C276" t="s">
        <v>371</v>
      </c>
      <c r="D276" s="3">
        <v>2</v>
      </c>
      <c r="E276" s="3">
        <v>1</v>
      </c>
      <c r="F276" s="3">
        <v>0</v>
      </c>
      <c r="G276" s="3">
        <v>5</v>
      </c>
      <c r="H276" s="3">
        <v>5</v>
      </c>
      <c r="I276" s="3">
        <v>1</v>
      </c>
      <c r="J276" s="3">
        <v>3</v>
      </c>
      <c r="K276" s="3">
        <v>2</v>
      </c>
      <c r="L276" s="3">
        <v>7</v>
      </c>
      <c r="M276" s="3">
        <v>3</v>
      </c>
      <c r="N276" s="3">
        <v>1</v>
      </c>
      <c r="O276" s="3">
        <v>2</v>
      </c>
      <c r="P276" s="3">
        <v>2</v>
      </c>
      <c r="Q276" s="3">
        <v>5</v>
      </c>
      <c r="R276" s="3">
        <v>0</v>
      </c>
      <c r="T276">
        <f>SUM(Table1[[#This Row],[DTP Received]:[LPO/ LOA/ SOA Issue Date]])</f>
        <v>39</v>
      </c>
    </row>
    <row r="277" spans="2:20" x14ac:dyDescent="0.25">
      <c r="B277" t="s">
        <v>730</v>
      </c>
      <c r="C277" t="s">
        <v>371</v>
      </c>
      <c r="D277" s="3">
        <v>2</v>
      </c>
      <c r="E277" s="3">
        <v>1</v>
      </c>
      <c r="F277" s="3">
        <v>0</v>
      </c>
      <c r="G277" s="3">
        <v>5</v>
      </c>
      <c r="H277" s="3">
        <v>5</v>
      </c>
      <c r="I277" s="3">
        <v>1</v>
      </c>
      <c r="J277" s="3">
        <v>3</v>
      </c>
      <c r="K277" s="3">
        <v>2</v>
      </c>
      <c r="L277" s="3">
        <v>7</v>
      </c>
      <c r="M277" s="3">
        <v>3</v>
      </c>
      <c r="N277" s="3">
        <v>1</v>
      </c>
      <c r="O277" s="3">
        <v>2</v>
      </c>
      <c r="P277" s="3">
        <v>2</v>
      </c>
      <c r="Q277" s="3">
        <v>5</v>
      </c>
      <c r="R277" s="3">
        <v>0</v>
      </c>
      <c r="T277">
        <f>SUM(Table1[[#This Row],[DTP Received]:[LPO/ LOA/ SOA Issue Date]])</f>
        <v>39</v>
      </c>
    </row>
    <row r="278" spans="2:20" x14ac:dyDescent="0.25">
      <c r="B278" t="s">
        <v>731</v>
      </c>
      <c r="C278" t="s">
        <v>371</v>
      </c>
      <c r="D278" s="3">
        <v>2</v>
      </c>
      <c r="E278" s="3">
        <v>1</v>
      </c>
      <c r="F278" s="3">
        <v>0</v>
      </c>
      <c r="G278" s="3">
        <v>5</v>
      </c>
      <c r="H278" s="3">
        <v>5</v>
      </c>
      <c r="I278" s="3">
        <v>1</v>
      </c>
      <c r="J278" s="3">
        <v>3</v>
      </c>
      <c r="K278" s="3">
        <v>2</v>
      </c>
      <c r="L278" s="3">
        <v>7</v>
      </c>
      <c r="M278" s="3">
        <v>3</v>
      </c>
      <c r="N278" s="3">
        <v>1</v>
      </c>
      <c r="O278" s="3">
        <v>2</v>
      </c>
      <c r="P278" s="3">
        <v>2</v>
      </c>
      <c r="Q278" s="3">
        <v>5</v>
      </c>
      <c r="R278" s="3">
        <v>0</v>
      </c>
      <c r="T278">
        <f>SUM(Table1[[#This Row],[DTP Received]:[LPO/ LOA/ SOA Issue Date]])</f>
        <v>39</v>
      </c>
    </row>
    <row r="279" spans="2:20" x14ac:dyDescent="0.25">
      <c r="B279" t="s">
        <v>732</v>
      </c>
      <c r="C279" t="s">
        <v>371</v>
      </c>
      <c r="D279" s="3">
        <v>2</v>
      </c>
      <c r="E279" s="3">
        <v>1</v>
      </c>
      <c r="F279" s="3">
        <v>0</v>
      </c>
      <c r="G279" s="3">
        <v>5</v>
      </c>
      <c r="H279" s="3">
        <v>5</v>
      </c>
      <c r="I279" s="3">
        <v>1</v>
      </c>
      <c r="J279" s="3">
        <v>3</v>
      </c>
      <c r="K279" s="3">
        <v>2</v>
      </c>
      <c r="L279" s="3">
        <v>7</v>
      </c>
      <c r="M279" s="3">
        <v>3</v>
      </c>
      <c r="N279" s="3">
        <v>1</v>
      </c>
      <c r="O279" s="3">
        <v>2</v>
      </c>
      <c r="P279" s="3">
        <v>2</v>
      </c>
      <c r="Q279" s="3">
        <v>5</v>
      </c>
      <c r="R279" s="3">
        <v>0</v>
      </c>
      <c r="T279">
        <f>SUM(Table1[[#This Row],[DTP Received]:[LPO/ LOA/ SOA Issue Date]])</f>
        <v>39</v>
      </c>
    </row>
    <row r="280" spans="2:20" x14ac:dyDescent="0.25">
      <c r="B280" t="s">
        <v>733</v>
      </c>
      <c r="C280" t="s">
        <v>734</v>
      </c>
      <c r="D280" s="3">
        <v>2</v>
      </c>
      <c r="E280" s="3">
        <v>1</v>
      </c>
      <c r="F280" s="3">
        <v>0</v>
      </c>
      <c r="G280" s="3">
        <v>5</v>
      </c>
      <c r="H280" s="3">
        <v>5</v>
      </c>
      <c r="I280" s="3">
        <v>1</v>
      </c>
      <c r="J280" s="3">
        <v>3</v>
      </c>
      <c r="K280" s="3">
        <v>2</v>
      </c>
      <c r="L280" s="3">
        <v>7</v>
      </c>
      <c r="M280" s="3">
        <v>3</v>
      </c>
      <c r="N280" s="3">
        <v>1</v>
      </c>
      <c r="O280" s="3">
        <v>2</v>
      </c>
      <c r="P280" s="3">
        <v>2</v>
      </c>
      <c r="Q280" s="3">
        <v>5</v>
      </c>
      <c r="R280" s="3">
        <v>0</v>
      </c>
      <c r="T280">
        <f>SUM(Table1[[#This Row],[DTP Received]:[LPO/ LOA/ SOA Issue Date]])</f>
        <v>39</v>
      </c>
    </row>
    <row r="281" spans="2:20" x14ac:dyDescent="0.25">
      <c r="B281" t="s">
        <v>735</v>
      </c>
      <c r="C281" t="s">
        <v>736</v>
      </c>
      <c r="D281" s="3">
        <v>2</v>
      </c>
      <c r="E281" s="3">
        <v>1</v>
      </c>
      <c r="F281" s="3">
        <v>0</v>
      </c>
      <c r="G281" s="3">
        <v>5</v>
      </c>
      <c r="H281" s="3">
        <v>5</v>
      </c>
      <c r="I281" s="3">
        <v>1</v>
      </c>
      <c r="J281" s="3">
        <v>3</v>
      </c>
      <c r="K281" s="3">
        <v>2</v>
      </c>
      <c r="L281" s="3">
        <v>7</v>
      </c>
      <c r="M281" s="3">
        <v>3</v>
      </c>
      <c r="N281" s="3">
        <v>1</v>
      </c>
      <c r="O281" s="3">
        <v>2</v>
      </c>
      <c r="P281" s="3">
        <v>2</v>
      </c>
      <c r="Q281" s="3">
        <v>5</v>
      </c>
      <c r="R281" s="3">
        <v>0</v>
      </c>
      <c r="T281">
        <f>SUM(Table1[[#This Row],[DTP Received]:[LPO/ LOA/ SOA Issue Date]])</f>
        <v>39</v>
      </c>
    </row>
    <row r="282" spans="2:20" x14ac:dyDescent="0.25">
      <c r="B282" t="s">
        <v>737</v>
      </c>
      <c r="C282" t="s">
        <v>738</v>
      </c>
      <c r="D282" s="3">
        <v>2</v>
      </c>
      <c r="E282" s="3">
        <v>1</v>
      </c>
      <c r="F282" s="3">
        <v>0</v>
      </c>
      <c r="G282" s="3">
        <v>5</v>
      </c>
      <c r="H282" s="3">
        <v>5</v>
      </c>
      <c r="I282" s="3">
        <v>1</v>
      </c>
      <c r="J282" s="3">
        <v>3</v>
      </c>
      <c r="K282" s="3">
        <v>2</v>
      </c>
      <c r="L282" s="3">
        <v>7</v>
      </c>
      <c r="M282" s="3">
        <v>3</v>
      </c>
      <c r="N282" s="3">
        <v>1</v>
      </c>
      <c r="O282" s="3">
        <v>2</v>
      </c>
      <c r="P282" s="3">
        <v>2</v>
      </c>
      <c r="Q282" s="3">
        <v>5</v>
      </c>
      <c r="R282" s="3">
        <v>0</v>
      </c>
      <c r="T282">
        <f>SUM(Table1[[#This Row],[DTP Received]:[LPO/ LOA/ SOA Issue Date]])</f>
        <v>39</v>
      </c>
    </row>
    <row r="283" spans="2:20" x14ac:dyDescent="0.25">
      <c r="B283" t="s">
        <v>739</v>
      </c>
      <c r="C283" t="s">
        <v>371</v>
      </c>
      <c r="D283" s="3">
        <v>2</v>
      </c>
      <c r="E283" s="3">
        <v>1</v>
      </c>
      <c r="F283" s="3">
        <v>0</v>
      </c>
      <c r="G283" s="3">
        <v>5</v>
      </c>
      <c r="H283" s="3">
        <v>5</v>
      </c>
      <c r="I283" s="3">
        <v>1</v>
      </c>
      <c r="J283" s="3">
        <v>3</v>
      </c>
      <c r="K283" s="3">
        <v>2</v>
      </c>
      <c r="L283" s="3">
        <v>7</v>
      </c>
      <c r="M283" s="3">
        <v>3</v>
      </c>
      <c r="N283" s="3">
        <v>1</v>
      </c>
      <c r="O283" s="3">
        <v>2</v>
      </c>
      <c r="P283" s="3">
        <v>2</v>
      </c>
      <c r="Q283" s="3">
        <v>5</v>
      </c>
      <c r="R283" s="3">
        <v>0</v>
      </c>
      <c r="T283">
        <f>SUM(Table1[[#This Row],[DTP Received]:[LPO/ LOA/ SOA Issue Date]])</f>
        <v>39</v>
      </c>
    </row>
    <row r="284" spans="2:20" x14ac:dyDescent="0.25">
      <c r="B284" t="s">
        <v>740</v>
      </c>
      <c r="C284" t="s">
        <v>371</v>
      </c>
      <c r="D284" s="3">
        <v>2</v>
      </c>
      <c r="E284" s="3">
        <v>1</v>
      </c>
      <c r="F284" s="3">
        <v>0</v>
      </c>
      <c r="G284" s="3">
        <v>5</v>
      </c>
      <c r="H284" s="3">
        <v>5</v>
      </c>
      <c r="I284" s="3">
        <v>1</v>
      </c>
      <c r="J284" s="3">
        <v>3</v>
      </c>
      <c r="K284" s="3">
        <v>2</v>
      </c>
      <c r="L284" s="3">
        <v>7</v>
      </c>
      <c r="M284" s="3">
        <v>3</v>
      </c>
      <c r="N284" s="3">
        <v>1</v>
      </c>
      <c r="O284" s="3">
        <v>2</v>
      </c>
      <c r="P284" s="3">
        <v>2</v>
      </c>
      <c r="Q284" s="3">
        <v>5</v>
      </c>
      <c r="R284" s="3">
        <v>0</v>
      </c>
      <c r="T284">
        <f>SUM(Table1[[#This Row],[DTP Received]:[LPO/ LOA/ SOA Issue Date]])</f>
        <v>39</v>
      </c>
    </row>
    <row r="285" spans="2:20" x14ac:dyDescent="0.25">
      <c r="B285" t="s">
        <v>741</v>
      </c>
      <c r="C285" t="s">
        <v>371</v>
      </c>
      <c r="D285" s="3">
        <v>2</v>
      </c>
      <c r="E285" s="3">
        <v>1</v>
      </c>
      <c r="F285" s="3">
        <v>0</v>
      </c>
      <c r="G285" s="3">
        <v>5</v>
      </c>
      <c r="H285" s="3">
        <v>5</v>
      </c>
      <c r="I285" s="3">
        <v>1</v>
      </c>
      <c r="J285" s="3">
        <v>3</v>
      </c>
      <c r="K285" s="3">
        <v>2</v>
      </c>
      <c r="L285" s="3">
        <v>7</v>
      </c>
      <c r="M285" s="3">
        <v>3</v>
      </c>
      <c r="N285" s="3">
        <v>1</v>
      </c>
      <c r="O285" s="3">
        <v>2</v>
      </c>
      <c r="P285" s="3">
        <v>2</v>
      </c>
      <c r="Q285" s="3">
        <v>5</v>
      </c>
      <c r="R285" s="3">
        <v>0</v>
      </c>
      <c r="T285">
        <f>SUM(Table1[[#This Row],[DTP Received]:[LPO/ LOA/ SOA Issue Date]])</f>
        <v>39</v>
      </c>
    </row>
    <row r="286" spans="2:20" x14ac:dyDescent="0.25">
      <c r="B286" t="s">
        <v>742</v>
      </c>
      <c r="C286" t="s">
        <v>371</v>
      </c>
      <c r="D286" s="3">
        <v>2</v>
      </c>
      <c r="E286" s="3">
        <v>1</v>
      </c>
      <c r="F286" s="3">
        <v>0</v>
      </c>
      <c r="G286" s="3">
        <v>5</v>
      </c>
      <c r="H286" s="3">
        <v>5</v>
      </c>
      <c r="I286" s="3">
        <v>1</v>
      </c>
      <c r="J286" s="3">
        <v>3</v>
      </c>
      <c r="K286" s="3">
        <v>2</v>
      </c>
      <c r="L286" s="3">
        <v>7</v>
      </c>
      <c r="M286" s="3">
        <v>3</v>
      </c>
      <c r="N286" s="3">
        <v>1</v>
      </c>
      <c r="O286" s="3">
        <v>2</v>
      </c>
      <c r="P286" s="3">
        <v>2</v>
      </c>
      <c r="Q286" s="3">
        <v>5</v>
      </c>
      <c r="R286" s="3">
        <v>0</v>
      </c>
      <c r="T286">
        <f>SUM(Table1[[#This Row],[DTP Received]:[LPO/ LOA/ SOA Issue Date]])</f>
        <v>39</v>
      </c>
    </row>
    <row r="287" spans="2:20" x14ac:dyDescent="0.25">
      <c r="B287" t="s">
        <v>743</v>
      </c>
      <c r="C287" t="s">
        <v>371</v>
      </c>
      <c r="D287" s="3">
        <v>2</v>
      </c>
      <c r="E287" s="3">
        <v>1</v>
      </c>
      <c r="F287" s="3">
        <v>0</v>
      </c>
      <c r="G287" s="3">
        <v>5</v>
      </c>
      <c r="H287" s="3">
        <v>5</v>
      </c>
      <c r="I287" s="3">
        <v>1</v>
      </c>
      <c r="J287" s="3">
        <v>3</v>
      </c>
      <c r="K287" s="3">
        <v>2</v>
      </c>
      <c r="L287" s="3">
        <v>7</v>
      </c>
      <c r="M287" s="3">
        <v>3</v>
      </c>
      <c r="N287" s="3">
        <v>1</v>
      </c>
      <c r="O287" s="3">
        <v>2</v>
      </c>
      <c r="P287" s="3">
        <v>2</v>
      </c>
      <c r="Q287" s="3">
        <v>5</v>
      </c>
      <c r="R287" s="3">
        <v>0</v>
      </c>
      <c r="T287">
        <f>SUM(Table1[[#This Row],[DTP Received]:[LPO/ LOA/ SOA Issue Date]])</f>
        <v>39</v>
      </c>
    </row>
    <row r="288" spans="2:20" x14ac:dyDescent="0.25">
      <c r="B288" t="s">
        <v>201</v>
      </c>
      <c r="C288" t="s">
        <v>323</v>
      </c>
      <c r="D288" s="3">
        <v>2</v>
      </c>
      <c r="E288" s="3">
        <v>1</v>
      </c>
      <c r="F288" s="3">
        <v>0</v>
      </c>
      <c r="G288" s="3">
        <v>5</v>
      </c>
      <c r="H288" s="3">
        <v>2</v>
      </c>
      <c r="I288" s="3">
        <v>1</v>
      </c>
      <c r="J288" s="3">
        <v>3</v>
      </c>
      <c r="K288" s="3">
        <v>2</v>
      </c>
      <c r="L288" s="3">
        <v>0</v>
      </c>
      <c r="M288" s="3">
        <v>2</v>
      </c>
      <c r="N288" s="3">
        <v>1</v>
      </c>
      <c r="O288" s="3">
        <v>2</v>
      </c>
      <c r="P288" s="3">
        <v>2</v>
      </c>
      <c r="Q288" s="3">
        <v>5</v>
      </c>
      <c r="R288" s="3">
        <v>0</v>
      </c>
      <c r="T288">
        <f>SUM(Table1[[#This Row],[DTP Received]:[LPO/ LOA/ SOA Issue Date]])</f>
        <v>28</v>
      </c>
    </row>
    <row r="289" spans="2:20" x14ac:dyDescent="0.25">
      <c r="B289" t="s">
        <v>744</v>
      </c>
      <c r="C289" t="s">
        <v>745</v>
      </c>
      <c r="D289" s="3">
        <v>2</v>
      </c>
      <c r="E289" s="3">
        <v>1</v>
      </c>
      <c r="F289" s="3">
        <v>0</v>
      </c>
      <c r="G289" s="3">
        <v>5</v>
      </c>
      <c r="H289" s="3">
        <v>2</v>
      </c>
      <c r="I289" s="3">
        <v>1</v>
      </c>
      <c r="J289" s="3">
        <v>3</v>
      </c>
      <c r="K289" s="3">
        <v>2</v>
      </c>
      <c r="L289" s="3">
        <v>0</v>
      </c>
      <c r="M289" s="3">
        <v>2</v>
      </c>
      <c r="N289" s="3">
        <v>1</v>
      </c>
      <c r="O289" s="3">
        <v>2</v>
      </c>
      <c r="P289" s="3">
        <v>2</v>
      </c>
      <c r="Q289" s="3">
        <v>5</v>
      </c>
      <c r="R289" s="3">
        <v>0</v>
      </c>
      <c r="T289">
        <f>SUM(Table1[[#This Row],[DTP Received]:[LPO/ LOA/ SOA Issue Date]])</f>
        <v>28</v>
      </c>
    </row>
    <row r="290" spans="2:20" x14ac:dyDescent="0.25">
      <c r="B290" t="s">
        <v>746</v>
      </c>
      <c r="C290" t="s">
        <v>747</v>
      </c>
      <c r="D290" s="3">
        <v>2</v>
      </c>
      <c r="E290" s="3">
        <v>1</v>
      </c>
      <c r="F290" s="3">
        <v>0</v>
      </c>
      <c r="G290" s="3">
        <v>5</v>
      </c>
      <c r="H290" s="3">
        <v>2</v>
      </c>
      <c r="I290" s="3">
        <v>1</v>
      </c>
      <c r="J290" s="3">
        <v>3</v>
      </c>
      <c r="K290" s="3">
        <v>2</v>
      </c>
      <c r="L290" s="3">
        <v>0</v>
      </c>
      <c r="M290" s="3">
        <v>2</v>
      </c>
      <c r="N290" s="3">
        <v>1</v>
      </c>
      <c r="O290" s="3">
        <v>2</v>
      </c>
      <c r="P290" s="3">
        <v>2</v>
      </c>
      <c r="Q290" s="3">
        <v>5</v>
      </c>
      <c r="R290" s="3">
        <v>0</v>
      </c>
      <c r="T290">
        <f>SUM(Table1[[#This Row],[DTP Received]:[LPO/ LOA/ SOA Issue Date]])</f>
        <v>28</v>
      </c>
    </row>
    <row r="291" spans="2:20" x14ac:dyDescent="0.25">
      <c r="B291" t="s">
        <v>748</v>
      </c>
      <c r="C291" t="s">
        <v>749</v>
      </c>
      <c r="D291" s="3">
        <v>2</v>
      </c>
      <c r="E291" s="3">
        <v>1</v>
      </c>
      <c r="F291" s="3">
        <v>0</v>
      </c>
      <c r="G291" s="3">
        <v>5</v>
      </c>
      <c r="H291" s="3">
        <v>2</v>
      </c>
      <c r="I291" s="3">
        <v>1</v>
      </c>
      <c r="J291" s="3">
        <v>3</v>
      </c>
      <c r="K291" s="3">
        <v>2</v>
      </c>
      <c r="L291" s="3">
        <v>0</v>
      </c>
      <c r="M291" s="3">
        <v>2</v>
      </c>
      <c r="N291" s="3">
        <v>1</v>
      </c>
      <c r="O291" s="3">
        <v>2</v>
      </c>
      <c r="P291" s="3">
        <v>2</v>
      </c>
      <c r="Q291" s="3">
        <v>5</v>
      </c>
      <c r="R291" s="3">
        <v>0</v>
      </c>
      <c r="T291">
        <f>SUM(Table1[[#This Row],[DTP Received]:[LPO/ LOA/ SOA Issue Date]])</f>
        <v>28</v>
      </c>
    </row>
    <row r="292" spans="2:20" x14ac:dyDescent="0.25">
      <c r="B292" t="s">
        <v>750</v>
      </c>
      <c r="C292" t="s">
        <v>371</v>
      </c>
      <c r="D292" s="3">
        <v>2</v>
      </c>
      <c r="E292" s="3">
        <v>1</v>
      </c>
      <c r="F292" s="3">
        <v>0</v>
      </c>
      <c r="G292" s="3">
        <v>5</v>
      </c>
      <c r="H292" s="3">
        <v>5</v>
      </c>
      <c r="I292" s="3">
        <v>1</v>
      </c>
      <c r="J292" s="3">
        <v>3</v>
      </c>
      <c r="K292" s="3">
        <v>2</v>
      </c>
      <c r="L292" s="3">
        <v>7</v>
      </c>
      <c r="M292" s="3">
        <v>3</v>
      </c>
      <c r="N292" s="3">
        <v>1</v>
      </c>
      <c r="O292" s="3">
        <v>2</v>
      </c>
      <c r="P292" s="3">
        <v>2</v>
      </c>
      <c r="Q292" s="3">
        <v>5</v>
      </c>
      <c r="R292" s="3">
        <v>0</v>
      </c>
      <c r="T292">
        <f>SUM(Table1[[#This Row],[DTP Received]:[LPO/ LOA/ SOA Issue Date]])</f>
        <v>39</v>
      </c>
    </row>
    <row r="293" spans="2:20" x14ac:dyDescent="0.25">
      <c r="B293" t="s">
        <v>751</v>
      </c>
      <c r="C293" t="s">
        <v>371</v>
      </c>
      <c r="D293" s="3">
        <v>2</v>
      </c>
      <c r="E293" s="3">
        <v>1</v>
      </c>
      <c r="F293" s="3">
        <v>0</v>
      </c>
      <c r="G293" s="3">
        <v>5</v>
      </c>
      <c r="H293" s="3">
        <v>5</v>
      </c>
      <c r="I293" s="3">
        <v>1</v>
      </c>
      <c r="J293" s="3">
        <v>3</v>
      </c>
      <c r="K293" s="3">
        <v>2</v>
      </c>
      <c r="L293" s="3">
        <v>7</v>
      </c>
      <c r="M293" s="3">
        <v>3</v>
      </c>
      <c r="N293" s="3">
        <v>1</v>
      </c>
      <c r="O293" s="3">
        <v>2</v>
      </c>
      <c r="P293" s="3">
        <v>2</v>
      </c>
      <c r="Q293" s="3">
        <v>5</v>
      </c>
      <c r="R293" s="3">
        <v>0</v>
      </c>
      <c r="T293">
        <f>SUM(Table1[[#This Row],[DTP Received]:[LPO/ LOA/ SOA Issue Date]])</f>
        <v>39</v>
      </c>
    </row>
    <row r="294" spans="2:20" x14ac:dyDescent="0.25">
      <c r="B294" t="s">
        <v>752</v>
      </c>
      <c r="C294" t="s">
        <v>371</v>
      </c>
      <c r="D294" s="3">
        <v>2</v>
      </c>
      <c r="E294" s="3">
        <v>1</v>
      </c>
      <c r="F294" s="3">
        <v>0</v>
      </c>
      <c r="G294" s="3">
        <v>5</v>
      </c>
      <c r="H294" s="3">
        <v>5</v>
      </c>
      <c r="I294" s="3">
        <v>1</v>
      </c>
      <c r="J294" s="3">
        <v>3</v>
      </c>
      <c r="K294" s="3">
        <v>2</v>
      </c>
      <c r="L294" s="3">
        <v>7</v>
      </c>
      <c r="M294" s="3">
        <v>3</v>
      </c>
      <c r="N294" s="3">
        <v>1</v>
      </c>
      <c r="O294" s="3">
        <v>2</v>
      </c>
      <c r="P294" s="3">
        <v>2</v>
      </c>
      <c r="Q294" s="3">
        <v>5</v>
      </c>
      <c r="R294" s="3">
        <v>0</v>
      </c>
      <c r="T294">
        <f>SUM(Table1[[#This Row],[DTP Received]:[LPO/ LOA/ SOA Issue Date]])</f>
        <v>39</v>
      </c>
    </row>
    <row r="295" spans="2:20" x14ac:dyDescent="0.25">
      <c r="B295" t="s">
        <v>753</v>
      </c>
      <c r="C295" t="s">
        <v>371</v>
      </c>
      <c r="D295" s="3">
        <v>2</v>
      </c>
      <c r="E295" s="3">
        <v>1</v>
      </c>
      <c r="F295" s="3">
        <v>0</v>
      </c>
      <c r="G295" s="3">
        <v>5</v>
      </c>
      <c r="H295" s="3">
        <v>5</v>
      </c>
      <c r="I295" s="3">
        <v>1</v>
      </c>
      <c r="J295" s="3">
        <v>3</v>
      </c>
      <c r="K295" s="3">
        <v>2</v>
      </c>
      <c r="L295" s="3">
        <v>7</v>
      </c>
      <c r="M295" s="3">
        <v>3</v>
      </c>
      <c r="N295" s="3">
        <v>1</v>
      </c>
      <c r="O295" s="3">
        <v>2</v>
      </c>
      <c r="P295" s="3">
        <v>2</v>
      </c>
      <c r="Q295" s="3">
        <v>5</v>
      </c>
      <c r="R295" s="3">
        <v>0</v>
      </c>
      <c r="T295">
        <f>SUM(Table1[[#This Row],[DTP Received]:[LPO/ LOA/ SOA Issue Date]])</f>
        <v>39</v>
      </c>
    </row>
    <row r="296" spans="2:20" x14ac:dyDescent="0.25">
      <c r="B296" t="s">
        <v>754</v>
      </c>
      <c r="C296" t="s">
        <v>371</v>
      </c>
      <c r="D296" s="3">
        <v>2</v>
      </c>
      <c r="E296" s="3">
        <v>1</v>
      </c>
      <c r="F296" s="3">
        <v>0</v>
      </c>
      <c r="G296" s="3">
        <v>5</v>
      </c>
      <c r="H296" s="3">
        <v>5</v>
      </c>
      <c r="I296" s="3">
        <v>1</v>
      </c>
      <c r="J296" s="3">
        <v>3</v>
      </c>
      <c r="K296" s="3">
        <v>2</v>
      </c>
      <c r="L296" s="3">
        <v>7</v>
      </c>
      <c r="M296" s="3">
        <v>3</v>
      </c>
      <c r="N296" s="3">
        <v>1</v>
      </c>
      <c r="O296" s="3">
        <v>2</v>
      </c>
      <c r="P296" s="3">
        <v>2</v>
      </c>
      <c r="Q296" s="3">
        <v>5</v>
      </c>
      <c r="R296" s="3">
        <v>0</v>
      </c>
      <c r="T296">
        <f>SUM(Table1[[#This Row],[DTP Received]:[LPO/ LOA/ SOA Issue Date]])</f>
        <v>39</v>
      </c>
    </row>
    <row r="297" spans="2:20" x14ac:dyDescent="0.25">
      <c r="B297" t="s">
        <v>755</v>
      </c>
      <c r="C297" t="s">
        <v>756</v>
      </c>
      <c r="D297" s="3">
        <v>2</v>
      </c>
      <c r="E297" s="3">
        <v>1</v>
      </c>
      <c r="F297" s="3">
        <v>0</v>
      </c>
      <c r="G297" s="3">
        <v>5</v>
      </c>
      <c r="H297" s="3">
        <v>5</v>
      </c>
      <c r="I297" s="3">
        <v>1</v>
      </c>
      <c r="J297" s="3">
        <v>3</v>
      </c>
      <c r="K297" s="3">
        <v>2</v>
      </c>
      <c r="L297" s="3">
        <v>7</v>
      </c>
      <c r="M297" s="3">
        <v>3</v>
      </c>
      <c r="N297" s="3">
        <v>1</v>
      </c>
      <c r="O297" s="3">
        <v>2</v>
      </c>
      <c r="P297" s="3">
        <v>2</v>
      </c>
      <c r="Q297" s="3">
        <v>5</v>
      </c>
      <c r="R297" s="3">
        <v>0</v>
      </c>
      <c r="T297">
        <f>SUM(Table1[[#This Row],[DTP Received]:[LPO/ LOA/ SOA Issue Date]])</f>
        <v>39</v>
      </c>
    </row>
    <row r="298" spans="2:20" x14ac:dyDescent="0.25">
      <c r="B298" t="s">
        <v>757</v>
      </c>
      <c r="C298" t="s">
        <v>758</v>
      </c>
      <c r="D298" s="3">
        <v>2</v>
      </c>
      <c r="E298" s="3">
        <v>1</v>
      </c>
      <c r="F298" s="3">
        <v>0</v>
      </c>
      <c r="G298" s="3">
        <v>5</v>
      </c>
      <c r="H298" s="3">
        <v>5</v>
      </c>
      <c r="I298" s="3">
        <v>1</v>
      </c>
      <c r="J298" s="3">
        <v>3</v>
      </c>
      <c r="K298" s="3">
        <v>2</v>
      </c>
      <c r="L298" s="3">
        <v>7</v>
      </c>
      <c r="M298" s="3">
        <v>3</v>
      </c>
      <c r="N298" s="3">
        <v>1</v>
      </c>
      <c r="O298" s="3">
        <v>2</v>
      </c>
      <c r="P298" s="3">
        <v>2</v>
      </c>
      <c r="Q298" s="3">
        <v>5</v>
      </c>
      <c r="R298" s="3">
        <v>0</v>
      </c>
      <c r="T298">
        <f>SUM(Table1[[#This Row],[DTP Received]:[LPO/ LOA/ SOA Issue Date]])</f>
        <v>39</v>
      </c>
    </row>
    <row r="299" spans="2:20" x14ac:dyDescent="0.25">
      <c r="B299" t="s">
        <v>759</v>
      </c>
      <c r="C299" t="s">
        <v>760</v>
      </c>
      <c r="D299" s="3">
        <v>2</v>
      </c>
      <c r="E299" s="3">
        <v>1</v>
      </c>
      <c r="F299" s="3">
        <v>0</v>
      </c>
      <c r="G299" s="3">
        <v>5</v>
      </c>
      <c r="H299" s="3">
        <v>5</v>
      </c>
      <c r="I299" s="3">
        <v>1</v>
      </c>
      <c r="J299" s="3">
        <v>3</v>
      </c>
      <c r="K299" s="3">
        <v>2</v>
      </c>
      <c r="L299" s="3">
        <v>7</v>
      </c>
      <c r="M299" s="3">
        <v>3</v>
      </c>
      <c r="N299" s="3">
        <v>1</v>
      </c>
      <c r="O299" s="3">
        <v>2</v>
      </c>
      <c r="P299" s="3">
        <v>2</v>
      </c>
      <c r="Q299" s="3">
        <v>5</v>
      </c>
      <c r="R299" s="3">
        <v>0</v>
      </c>
      <c r="T299">
        <f>SUM(Table1[[#This Row],[DTP Received]:[LPO/ LOA/ SOA Issue Date]])</f>
        <v>39</v>
      </c>
    </row>
    <row r="300" spans="2:20" x14ac:dyDescent="0.25">
      <c r="B300" t="s">
        <v>761</v>
      </c>
      <c r="C300" t="s">
        <v>371</v>
      </c>
      <c r="D300" s="3">
        <v>2</v>
      </c>
      <c r="E300" s="3">
        <v>1</v>
      </c>
      <c r="F300" s="3">
        <v>0</v>
      </c>
      <c r="G300" s="3">
        <v>5</v>
      </c>
      <c r="H300" s="3">
        <v>5</v>
      </c>
      <c r="I300" s="3">
        <v>1</v>
      </c>
      <c r="J300" s="3">
        <v>3</v>
      </c>
      <c r="K300" s="3">
        <v>2</v>
      </c>
      <c r="L300" s="3">
        <v>7</v>
      </c>
      <c r="M300" s="3">
        <v>3</v>
      </c>
      <c r="N300" s="3">
        <v>1</v>
      </c>
      <c r="O300" s="3">
        <v>2</v>
      </c>
      <c r="P300" s="3">
        <v>2</v>
      </c>
      <c r="Q300" s="3">
        <v>5</v>
      </c>
      <c r="R300" s="3">
        <v>0</v>
      </c>
      <c r="T300">
        <f>SUM(Table1[[#This Row],[DTP Received]:[LPO/ LOA/ SOA Issue Date]])</f>
        <v>39</v>
      </c>
    </row>
    <row r="301" spans="2:20" x14ac:dyDescent="0.25">
      <c r="B301" t="s">
        <v>762</v>
      </c>
      <c r="C301" t="s">
        <v>371</v>
      </c>
      <c r="D301" s="3">
        <v>2</v>
      </c>
      <c r="E301" s="3">
        <v>1</v>
      </c>
      <c r="F301" s="3">
        <v>0</v>
      </c>
      <c r="G301" s="3">
        <v>5</v>
      </c>
      <c r="H301" s="3">
        <v>5</v>
      </c>
      <c r="I301" s="3">
        <v>1</v>
      </c>
      <c r="J301" s="3">
        <v>3</v>
      </c>
      <c r="K301" s="3">
        <v>2</v>
      </c>
      <c r="L301" s="3">
        <v>7</v>
      </c>
      <c r="M301" s="3">
        <v>3</v>
      </c>
      <c r="N301" s="3">
        <v>1</v>
      </c>
      <c r="O301" s="3">
        <v>2</v>
      </c>
      <c r="P301" s="3">
        <v>2</v>
      </c>
      <c r="Q301" s="3">
        <v>5</v>
      </c>
      <c r="R301" s="3">
        <v>0</v>
      </c>
      <c r="T301">
        <f>SUM(Table1[[#This Row],[DTP Received]:[LPO/ LOA/ SOA Issue Date]])</f>
        <v>39</v>
      </c>
    </row>
    <row r="302" spans="2:20" x14ac:dyDescent="0.25">
      <c r="B302" t="s">
        <v>763</v>
      </c>
      <c r="C302" t="s">
        <v>371</v>
      </c>
      <c r="D302" s="3">
        <v>2</v>
      </c>
      <c r="E302" s="3">
        <v>1</v>
      </c>
      <c r="F302" s="3">
        <v>0</v>
      </c>
      <c r="G302" s="3">
        <v>5</v>
      </c>
      <c r="H302" s="3">
        <v>5</v>
      </c>
      <c r="I302" s="3">
        <v>1</v>
      </c>
      <c r="J302" s="3">
        <v>3</v>
      </c>
      <c r="K302" s="3">
        <v>2</v>
      </c>
      <c r="L302" s="3">
        <v>7</v>
      </c>
      <c r="M302" s="3">
        <v>3</v>
      </c>
      <c r="N302" s="3">
        <v>1</v>
      </c>
      <c r="O302" s="3">
        <v>2</v>
      </c>
      <c r="P302" s="3">
        <v>2</v>
      </c>
      <c r="Q302" s="3">
        <v>5</v>
      </c>
      <c r="R302" s="3">
        <v>0</v>
      </c>
      <c r="T302">
        <f>SUM(Table1[[#This Row],[DTP Received]:[LPO/ LOA/ SOA Issue Date]])</f>
        <v>39</v>
      </c>
    </row>
    <row r="303" spans="2:20" x14ac:dyDescent="0.25">
      <c r="B303" t="s">
        <v>764</v>
      </c>
      <c r="C303" t="s">
        <v>371</v>
      </c>
      <c r="D303" s="3">
        <v>2</v>
      </c>
      <c r="E303" s="3">
        <v>1</v>
      </c>
      <c r="F303" s="3">
        <v>0</v>
      </c>
      <c r="G303" s="3">
        <v>5</v>
      </c>
      <c r="H303" s="3">
        <v>5</v>
      </c>
      <c r="I303" s="3">
        <v>1</v>
      </c>
      <c r="J303" s="3">
        <v>3</v>
      </c>
      <c r="K303" s="3">
        <v>2</v>
      </c>
      <c r="L303" s="3">
        <v>7</v>
      </c>
      <c r="M303" s="3">
        <v>3</v>
      </c>
      <c r="N303" s="3">
        <v>1</v>
      </c>
      <c r="O303" s="3">
        <v>2</v>
      </c>
      <c r="P303" s="3">
        <v>2</v>
      </c>
      <c r="Q303" s="3">
        <v>5</v>
      </c>
      <c r="R303" s="3">
        <v>0</v>
      </c>
      <c r="T303">
        <f>SUM(Table1[[#This Row],[DTP Received]:[LPO/ LOA/ SOA Issue Date]])</f>
        <v>39</v>
      </c>
    </row>
    <row r="304" spans="2:20" x14ac:dyDescent="0.25">
      <c r="B304" t="s">
        <v>765</v>
      </c>
      <c r="C304" t="s">
        <v>371</v>
      </c>
      <c r="D304" s="3">
        <v>2</v>
      </c>
      <c r="E304" s="3">
        <v>1</v>
      </c>
      <c r="F304" s="3">
        <v>0</v>
      </c>
      <c r="G304" s="3">
        <v>5</v>
      </c>
      <c r="H304" s="3">
        <v>5</v>
      </c>
      <c r="I304" s="3">
        <v>1</v>
      </c>
      <c r="J304" s="3">
        <v>3</v>
      </c>
      <c r="K304" s="3">
        <v>2</v>
      </c>
      <c r="L304" s="3">
        <v>7</v>
      </c>
      <c r="M304" s="3">
        <v>3</v>
      </c>
      <c r="N304" s="3">
        <v>1</v>
      </c>
      <c r="O304" s="3">
        <v>2</v>
      </c>
      <c r="P304" s="3">
        <v>2</v>
      </c>
      <c r="Q304" s="3">
        <v>5</v>
      </c>
      <c r="R304" s="3">
        <v>0</v>
      </c>
      <c r="T304">
        <f>SUM(Table1[[#This Row],[DTP Received]:[LPO/ LOA/ SOA Issue Date]])</f>
        <v>39</v>
      </c>
    </row>
    <row r="305" spans="2:20" x14ac:dyDescent="0.25">
      <c r="B305" t="s">
        <v>206</v>
      </c>
      <c r="C305" t="s">
        <v>66</v>
      </c>
      <c r="D305" s="3">
        <v>2</v>
      </c>
      <c r="E305" s="3">
        <v>1</v>
      </c>
      <c r="F305" s="3">
        <v>0</v>
      </c>
      <c r="G305" s="3">
        <v>7</v>
      </c>
      <c r="H305" s="3">
        <v>5</v>
      </c>
      <c r="I305" s="3">
        <v>1</v>
      </c>
      <c r="J305" s="3">
        <v>3</v>
      </c>
      <c r="K305" s="3">
        <v>2</v>
      </c>
      <c r="L305" s="3">
        <v>3</v>
      </c>
      <c r="M305" s="3">
        <v>3</v>
      </c>
      <c r="N305" s="3">
        <v>1</v>
      </c>
      <c r="O305" s="3">
        <v>2</v>
      </c>
      <c r="P305" s="3">
        <v>2</v>
      </c>
      <c r="Q305" s="3">
        <v>5</v>
      </c>
      <c r="R305" s="3">
        <v>0</v>
      </c>
      <c r="T305">
        <f>SUM(Table1[[#This Row],[DTP Received]:[LPO/ LOA/ SOA Issue Date]])</f>
        <v>37</v>
      </c>
    </row>
    <row r="306" spans="2:20" x14ac:dyDescent="0.25">
      <c r="B306" t="s">
        <v>208</v>
      </c>
      <c r="C306" t="s">
        <v>67</v>
      </c>
      <c r="D306" s="3">
        <v>2</v>
      </c>
      <c r="E306" s="3">
        <v>1</v>
      </c>
      <c r="F306" s="3">
        <v>0</v>
      </c>
      <c r="G306" s="3">
        <v>7</v>
      </c>
      <c r="H306" s="3">
        <v>5</v>
      </c>
      <c r="I306" s="3">
        <v>1</v>
      </c>
      <c r="J306" s="3">
        <v>3</v>
      </c>
      <c r="K306" s="3">
        <v>2</v>
      </c>
      <c r="L306" s="3">
        <v>3</v>
      </c>
      <c r="M306" s="3">
        <v>3</v>
      </c>
      <c r="N306" s="3">
        <v>1</v>
      </c>
      <c r="O306" s="3">
        <v>2</v>
      </c>
      <c r="P306" s="3">
        <v>2</v>
      </c>
      <c r="Q306" s="3">
        <v>5</v>
      </c>
      <c r="R306" s="3">
        <v>0</v>
      </c>
      <c r="T306">
        <f>SUM(Table1[[#This Row],[DTP Received]:[LPO/ LOA/ SOA Issue Date]])</f>
        <v>37</v>
      </c>
    </row>
    <row r="307" spans="2:20" x14ac:dyDescent="0.25">
      <c r="B307" t="s">
        <v>766</v>
      </c>
      <c r="C307" t="s">
        <v>767</v>
      </c>
      <c r="D307" s="3">
        <v>2</v>
      </c>
      <c r="E307" s="3">
        <v>1</v>
      </c>
      <c r="F307" s="3">
        <v>0</v>
      </c>
      <c r="G307" s="3">
        <v>7</v>
      </c>
      <c r="H307" s="3">
        <v>5</v>
      </c>
      <c r="I307" s="3">
        <v>1</v>
      </c>
      <c r="J307" s="3">
        <v>3</v>
      </c>
      <c r="K307" s="3">
        <v>2</v>
      </c>
      <c r="L307" s="3">
        <v>3</v>
      </c>
      <c r="M307" s="3">
        <v>3</v>
      </c>
      <c r="N307" s="3">
        <v>1</v>
      </c>
      <c r="O307" s="3">
        <v>2</v>
      </c>
      <c r="P307" s="3">
        <v>2</v>
      </c>
      <c r="Q307" s="3">
        <v>5</v>
      </c>
      <c r="R307" s="3">
        <v>0</v>
      </c>
      <c r="T307">
        <f>SUM(Table1[[#This Row],[DTP Received]:[LPO/ LOA/ SOA Issue Date]])</f>
        <v>37</v>
      </c>
    </row>
    <row r="308" spans="2:20" x14ac:dyDescent="0.25">
      <c r="B308" t="s">
        <v>768</v>
      </c>
      <c r="C308" t="s">
        <v>769</v>
      </c>
      <c r="D308" s="3">
        <v>2</v>
      </c>
      <c r="E308" s="3">
        <v>1</v>
      </c>
      <c r="F308" s="3">
        <v>0</v>
      </c>
      <c r="G308" s="3">
        <v>7</v>
      </c>
      <c r="H308" s="3">
        <v>5</v>
      </c>
      <c r="I308" s="3">
        <v>1</v>
      </c>
      <c r="J308" s="3">
        <v>3</v>
      </c>
      <c r="K308" s="3">
        <v>2</v>
      </c>
      <c r="L308" s="3">
        <v>3</v>
      </c>
      <c r="M308" s="3">
        <v>3</v>
      </c>
      <c r="N308" s="3">
        <v>1</v>
      </c>
      <c r="O308" s="3">
        <v>2</v>
      </c>
      <c r="P308" s="3">
        <v>2</v>
      </c>
      <c r="Q308" s="3">
        <v>5</v>
      </c>
      <c r="R308" s="3">
        <v>0</v>
      </c>
      <c r="T308">
        <f>SUM(Table1[[#This Row],[DTP Received]:[LPO/ LOA/ SOA Issue Date]])</f>
        <v>37</v>
      </c>
    </row>
    <row r="309" spans="2:20" x14ac:dyDescent="0.25">
      <c r="B309" t="s">
        <v>770</v>
      </c>
      <c r="C309" t="s">
        <v>771</v>
      </c>
      <c r="D309" s="3">
        <v>2</v>
      </c>
      <c r="E309" s="3">
        <v>1</v>
      </c>
      <c r="F309" s="3">
        <v>0</v>
      </c>
      <c r="G309" s="3">
        <v>7</v>
      </c>
      <c r="H309" s="3">
        <v>5</v>
      </c>
      <c r="I309" s="3">
        <v>1</v>
      </c>
      <c r="J309" s="3">
        <v>3</v>
      </c>
      <c r="K309" s="3">
        <v>2</v>
      </c>
      <c r="L309" s="3">
        <v>3</v>
      </c>
      <c r="M309" s="3">
        <v>3</v>
      </c>
      <c r="N309" s="3">
        <v>1</v>
      </c>
      <c r="O309" s="3">
        <v>2</v>
      </c>
      <c r="P309" s="3">
        <v>2</v>
      </c>
      <c r="Q309" s="3">
        <v>5</v>
      </c>
      <c r="R309" s="3">
        <v>0</v>
      </c>
      <c r="T309">
        <f>SUM(Table1[[#This Row],[DTP Received]:[LPO/ LOA/ SOA Issue Date]])</f>
        <v>37</v>
      </c>
    </row>
    <row r="310" spans="2:20" x14ac:dyDescent="0.25">
      <c r="B310" t="s">
        <v>772</v>
      </c>
      <c r="C310" t="s">
        <v>773</v>
      </c>
      <c r="D310" s="3">
        <v>2</v>
      </c>
      <c r="E310" s="3">
        <v>1</v>
      </c>
      <c r="F310" s="3">
        <v>0</v>
      </c>
      <c r="G310" s="3">
        <v>7</v>
      </c>
      <c r="H310" s="3">
        <v>5</v>
      </c>
      <c r="I310" s="3">
        <v>1</v>
      </c>
      <c r="J310" s="3">
        <v>3</v>
      </c>
      <c r="K310" s="3">
        <v>2</v>
      </c>
      <c r="L310" s="3">
        <v>3</v>
      </c>
      <c r="M310" s="3">
        <v>3</v>
      </c>
      <c r="N310" s="3">
        <v>1</v>
      </c>
      <c r="O310" s="3">
        <v>2</v>
      </c>
      <c r="P310" s="3">
        <v>2</v>
      </c>
      <c r="Q310" s="3">
        <v>5</v>
      </c>
      <c r="R310" s="3">
        <v>0</v>
      </c>
      <c r="T310">
        <f>SUM(Table1[[#This Row],[DTP Received]:[LPO/ LOA/ SOA Issue Date]])</f>
        <v>37</v>
      </c>
    </row>
    <row r="311" spans="2:20" x14ac:dyDescent="0.25">
      <c r="B311" t="s">
        <v>774</v>
      </c>
      <c r="C311" t="s">
        <v>775</v>
      </c>
      <c r="D311" s="3">
        <v>2</v>
      </c>
      <c r="E311" s="3">
        <v>1</v>
      </c>
      <c r="F311" s="3">
        <v>0</v>
      </c>
      <c r="G311" s="3">
        <v>7</v>
      </c>
      <c r="H311" s="3">
        <v>5</v>
      </c>
      <c r="I311" s="3">
        <v>1</v>
      </c>
      <c r="J311" s="3">
        <v>3</v>
      </c>
      <c r="K311" s="3">
        <v>2</v>
      </c>
      <c r="L311" s="3">
        <v>3</v>
      </c>
      <c r="M311" s="3">
        <v>3</v>
      </c>
      <c r="N311" s="3">
        <v>1</v>
      </c>
      <c r="O311" s="3">
        <v>2</v>
      </c>
      <c r="P311" s="3">
        <v>2</v>
      </c>
      <c r="Q311" s="3">
        <v>5</v>
      </c>
      <c r="R311" s="3">
        <v>0</v>
      </c>
      <c r="T311">
        <f>SUM(Table1[[#This Row],[DTP Received]:[LPO/ LOA/ SOA Issue Date]])</f>
        <v>37</v>
      </c>
    </row>
    <row r="312" spans="2:20" x14ac:dyDescent="0.25">
      <c r="B312" t="s">
        <v>776</v>
      </c>
      <c r="C312" t="s">
        <v>777</v>
      </c>
      <c r="D312" s="3">
        <v>2</v>
      </c>
      <c r="E312" s="3">
        <v>1</v>
      </c>
      <c r="F312" s="3">
        <v>0</v>
      </c>
      <c r="G312" s="3">
        <v>7</v>
      </c>
      <c r="H312" s="3">
        <v>5</v>
      </c>
      <c r="I312" s="3">
        <v>1</v>
      </c>
      <c r="J312" s="3">
        <v>3</v>
      </c>
      <c r="K312" s="3">
        <v>2</v>
      </c>
      <c r="L312" s="3">
        <v>3</v>
      </c>
      <c r="M312" s="3">
        <v>3</v>
      </c>
      <c r="N312" s="3">
        <v>1</v>
      </c>
      <c r="O312" s="3">
        <v>2</v>
      </c>
      <c r="P312" s="3">
        <v>2</v>
      </c>
      <c r="Q312" s="3">
        <v>5</v>
      </c>
      <c r="R312" s="3">
        <v>0</v>
      </c>
      <c r="T312">
        <f>SUM(Table1[[#This Row],[DTP Received]:[LPO/ LOA/ SOA Issue Date]])</f>
        <v>37</v>
      </c>
    </row>
    <row r="313" spans="2:20" x14ac:dyDescent="0.25">
      <c r="B313" t="s">
        <v>778</v>
      </c>
      <c r="C313" t="s">
        <v>371</v>
      </c>
      <c r="D313" s="3">
        <v>2</v>
      </c>
      <c r="E313" s="3">
        <v>1</v>
      </c>
      <c r="F313" s="3">
        <v>0</v>
      </c>
      <c r="G313" s="3">
        <v>5</v>
      </c>
      <c r="H313" s="3">
        <v>5</v>
      </c>
      <c r="I313" s="3">
        <v>1</v>
      </c>
      <c r="J313" s="3">
        <v>3</v>
      </c>
      <c r="K313" s="3">
        <v>2</v>
      </c>
      <c r="L313" s="3">
        <v>7</v>
      </c>
      <c r="M313" s="3">
        <v>3</v>
      </c>
      <c r="N313" s="3">
        <v>1</v>
      </c>
      <c r="O313" s="3">
        <v>2</v>
      </c>
      <c r="P313" s="3">
        <v>2</v>
      </c>
      <c r="Q313" s="3">
        <v>5</v>
      </c>
      <c r="R313" s="3">
        <v>0</v>
      </c>
      <c r="T313">
        <f>SUM(Table1[[#This Row],[DTP Received]:[LPO/ LOA/ SOA Issue Date]])</f>
        <v>39</v>
      </c>
    </row>
    <row r="314" spans="2:20" x14ac:dyDescent="0.25">
      <c r="B314" t="s">
        <v>779</v>
      </c>
      <c r="C314" t="s">
        <v>371</v>
      </c>
      <c r="D314" s="3">
        <v>2</v>
      </c>
      <c r="E314" s="3">
        <v>1</v>
      </c>
      <c r="F314" s="3">
        <v>0</v>
      </c>
      <c r="G314" s="3">
        <v>5</v>
      </c>
      <c r="H314" s="3">
        <v>5</v>
      </c>
      <c r="I314" s="3">
        <v>1</v>
      </c>
      <c r="J314" s="3">
        <v>3</v>
      </c>
      <c r="K314" s="3">
        <v>2</v>
      </c>
      <c r="L314" s="3">
        <v>7</v>
      </c>
      <c r="M314" s="3">
        <v>3</v>
      </c>
      <c r="N314" s="3">
        <v>1</v>
      </c>
      <c r="O314" s="3">
        <v>2</v>
      </c>
      <c r="P314" s="3">
        <v>2</v>
      </c>
      <c r="Q314" s="3">
        <v>5</v>
      </c>
      <c r="R314" s="3">
        <v>0</v>
      </c>
      <c r="T314">
        <f>SUM(Table1[[#This Row],[DTP Received]:[LPO/ LOA/ SOA Issue Date]])</f>
        <v>39</v>
      </c>
    </row>
    <row r="315" spans="2:20" x14ac:dyDescent="0.25">
      <c r="B315" t="s">
        <v>780</v>
      </c>
      <c r="C315" t="s">
        <v>371</v>
      </c>
      <c r="D315" s="3">
        <v>2</v>
      </c>
      <c r="E315" s="3">
        <v>1</v>
      </c>
      <c r="F315" s="3">
        <v>0</v>
      </c>
      <c r="G315" s="3">
        <v>5</v>
      </c>
      <c r="H315" s="3">
        <v>5</v>
      </c>
      <c r="I315" s="3">
        <v>1</v>
      </c>
      <c r="J315" s="3">
        <v>3</v>
      </c>
      <c r="K315" s="3">
        <v>2</v>
      </c>
      <c r="L315" s="3">
        <v>7</v>
      </c>
      <c r="M315" s="3">
        <v>3</v>
      </c>
      <c r="N315" s="3">
        <v>1</v>
      </c>
      <c r="O315" s="3">
        <v>2</v>
      </c>
      <c r="P315" s="3">
        <v>2</v>
      </c>
      <c r="Q315" s="3">
        <v>5</v>
      </c>
      <c r="R315" s="3">
        <v>0</v>
      </c>
      <c r="T315">
        <f>SUM(Table1[[#This Row],[DTP Received]:[LPO/ LOA/ SOA Issue Date]])</f>
        <v>39</v>
      </c>
    </row>
    <row r="316" spans="2:20" x14ac:dyDescent="0.25">
      <c r="B316" t="s">
        <v>781</v>
      </c>
      <c r="C316" t="s">
        <v>371</v>
      </c>
      <c r="D316" s="3">
        <v>2</v>
      </c>
      <c r="E316" s="3">
        <v>1</v>
      </c>
      <c r="F316" s="3">
        <v>0</v>
      </c>
      <c r="G316" s="3">
        <v>5</v>
      </c>
      <c r="H316" s="3">
        <v>5</v>
      </c>
      <c r="I316" s="3">
        <v>1</v>
      </c>
      <c r="J316" s="3">
        <v>3</v>
      </c>
      <c r="K316" s="3">
        <v>2</v>
      </c>
      <c r="L316" s="3">
        <v>7</v>
      </c>
      <c r="M316" s="3">
        <v>3</v>
      </c>
      <c r="N316" s="3">
        <v>1</v>
      </c>
      <c r="O316" s="3">
        <v>2</v>
      </c>
      <c r="P316" s="3">
        <v>2</v>
      </c>
      <c r="Q316" s="3">
        <v>5</v>
      </c>
      <c r="R316" s="3">
        <v>0</v>
      </c>
      <c r="T316">
        <f>SUM(Table1[[#This Row],[DTP Received]:[LPO/ LOA/ SOA Issue Date]])</f>
        <v>39</v>
      </c>
    </row>
    <row r="317" spans="2:20" x14ac:dyDescent="0.25">
      <c r="B317" t="s">
        <v>782</v>
      </c>
      <c r="C317" t="s">
        <v>371</v>
      </c>
      <c r="D317" s="3">
        <v>2</v>
      </c>
      <c r="E317" s="3">
        <v>1</v>
      </c>
      <c r="F317" s="3">
        <v>0</v>
      </c>
      <c r="G317" s="3">
        <v>5</v>
      </c>
      <c r="H317" s="3">
        <v>5</v>
      </c>
      <c r="I317" s="3">
        <v>1</v>
      </c>
      <c r="J317" s="3">
        <v>3</v>
      </c>
      <c r="K317" s="3">
        <v>2</v>
      </c>
      <c r="L317" s="3">
        <v>7</v>
      </c>
      <c r="M317" s="3">
        <v>3</v>
      </c>
      <c r="N317" s="3">
        <v>1</v>
      </c>
      <c r="O317" s="3">
        <v>2</v>
      </c>
      <c r="P317" s="3">
        <v>2</v>
      </c>
      <c r="Q317" s="3">
        <v>5</v>
      </c>
      <c r="R317" s="3">
        <v>0</v>
      </c>
      <c r="T317">
        <f>SUM(Table1[[#This Row],[DTP Received]:[LPO/ LOA/ SOA Issue Date]])</f>
        <v>39</v>
      </c>
    </row>
    <row r="318" spans="2:20" x14ac:dyDescent="0.25">
      <c r="B318" t="s">
        <v>783</v>
      </c>
      <c r="C318" t="s">
        <v>784</v>
      </c>
      <c r="D318" s="3">
        <v>2</v>
      </c>
      <c r="E318" s="3">
        <v>1</v>
      </c>
      <c r="F318" s="3">
        <v>0</v>
      </c>
      <c r="G318" s="3">
        <v>3</v>
      </c>
      <c r="H318" s="3">
        <v>2</v>
      </c>
      <c r="I318" s="3">
        <v>1</v>
      </c>
      <c r="J318" s="3">
        <v>3</v>
      </c>
      <c r="K318" s="3">
        <v>2</v>
      </c>
      <c r="L318" s="3">
        <v>0</v>
      </c>
      <c r="M318" s="3">
        <v>2</v>
      </c>
      <c r="N318" s="3">
        <v>1</v>
      </c>
      <c r="O318" s="3">
        <v>2</v>
      </c>
      <c r="P318" s="3">
        <v>2</v>
      </c>
      <c r="Q318" s="3">
        <v>5</v>
      </c>
      <c r="R318" s="3">
        <v>0</v>
      </c>
      <c r="T318">
        <f>SUM(Table1[[#This Row],[DTP Received]:[LPO/ LOA/ SOA Issue Date]])</f>
        <v>26</v>
      </c>
    </row>
    <row r="319" spans="2:20" x14ac:dyDescent="0.25">
      <c r="B319" t="s">
        <v>785</v>
      </c>
      <c r="C319" t="s">
        <v>786</v>
      </c>
      <c r="D319" s="3">
        <v>2</v>
      </c>
      <c r="E319" s="3">
        <v>1</v>
      </c>
      <c r="F319" s="3">
        <v>0</v>
      </c>
      <c r="G319" s="3">
        <v>14</v>
      </c>
      <c r="H319" s="3">
        <v>10</v>
      </c>
      <c r="I319" s="3">
        <v>1</v>
      </c>
      <c r="J319" s="3">
        <v>3</v>
      </c>
      <c r="K319" s="3">
        <v>2</v>
      </c>
      <c r="L319" s="3">
        <v>5</v>
      </c>
      <c r="M319" s="3">
        <v>5</v>
      </c>
      <c r="N319" s="3">
        <v>1</v>
      </c>
      <c r="O319" s="3">
        <v>2</v>
      </c>
      <c r="P319" s="3">
        <v>2</v>
      </c>
      <c r="Q319" s="3">
        <v>5</v>
      </c>
      <c r="R319" s="3">
        <v>0</v>
      </c>
      <c r="T319">
        <f>SUM(Table1[[#This Row],[DTP Received]:[LPO/ LOA/ SOA Issue Date]])</f>
        <v>53</v>
      </c>
    </row>
    <row r="320" spans="2:20" x14ac:dyDescent="0.25">
      <c r="B320" t="s">
        <v>787</v>
      </c>
      <c r="C320" t="s">
        <v>788</v>
      </c>
      <c r="D320" s="3">
        <v>2</v>
      </c>
      <c r="E320" s="3">
        <v>1</v>
      </c>
      <c r="F320" s="3">
        <v>0</v>
      </c>
      <c r="G320" s="3">
        <v>5</v>
      </c>
      <c r="H320" s="3">
        <v>5</v>
      </c>
      <c r="I320" s="3">
        <v>1</v>
      </c>
      <c r="J320" s="3">
        <v>3</v>
      </c>
      <c r="K320" s="3">
        <v>2</v>
      </c>
      <c r="L320" s="3">
        <v>7</v>
      </c>
      <c r="M320" s="3">
        <v>3</v>
      </c>
      <c r="N320" s="3">
        <v>1</v>
      </c>
      <c r="O320" s="3">
        <v>2</v>
      </c>
      <c r="P320" s="3">
        <v>2</v>
      </c>
      <c r="Q320" s="3">
        <v>5</v>
      </c>
      <c r="R320" s="3">
        <v>0</v>
      </c>
      <c r="T320">
        <f>SUM(Table1[[#This Row],[DTP Received]:[LPO/ LOA/ SOA Issue Date]])</f>
        <v>39</v>
      </c>
    </row>
    <row r="321" spans="2:20" x14ac:dyDescent="0.25">
      <c r="B321" t="s">
        <v>789</v>
      </c>
      <c r="C321" t="s">
        <v>371</v>
      </c>
      <c r="D321" s="3">
        <v>2</v>
      </c>
      <c r="E321" s="3">
        <v>1</v>
      </c>
      <c r="F321" s="3">
        <v>0</v>
      </c>
      <c r="G321" s="3">
        <v>5</v>
      </c>
      <c r="H321" s="3">
        <v>5</v>
      </c>
      <c r="I321" s="3">
        <v>1</v>
      </c>
      <c r="J321" s="3">
        <v>3</v>
      </c>
      <c r="K321" s="3">
        <v>2</v>
      </c>
      <c r="L321" s="3">
        <v>7</v>
      </c>
      <c r="M321" s="3">
        <v>3</v>
      </c>
      <c r="N321" s="3">
        <v>1</v>
      </c>
      <c r="O321" s="3">
        <v>2</v>
      </c>
      <c r="P321" s="3">
        <v>2</v>
      </c>
      <c r="Q321" s="3">
        <v>5</v>
      </c>
      <c r="R321" s="3">
        <v>0</v>
      </c>
      <c r="T321">
        <f>SUM(Table1[[#This Row],[DTP Received]:[LPO/ LOA/ SOA Issue Date]])</f>
        <v>39</v>
      </c>
    </row>
    <row r="322" spans="2:20" x14ac:dyDescent="0.25">
      <c r="B322" t="s">
        <v>790</v>
      </c>
      <c r="C322" t="s">
        <v>371</v>
      </c>
      <c r="D322" s="3">
        <v>2</v>
      </c>
      <c r="E322" s="3">
        <v>1</v>
      </c>
      <c r="F322" s="3">
        <v>0</v>
      </c>
      <c r="G322" s="3">
        <v>5</v>
      </c>
      <c r="H322" s="3">
        <v>5</v>
      </c>
      <c r="I322" s="3">
        <v>1</v>
      </c>
      <c r="J322" s="3">
        <v>3</v>
      </c>
      <c r="K322" s="3">
        <v>2</v>
      </c>
      <c r="L322" s="3">
        <v>7</v>
      </c>
      <c r="M322" s="3">
        <v>3</v>
      </c>
      <c r="N322" s="3">
        <v>1</v>
      </c>
      <c r="O322" s="3">
        <v>2</v>
      </c>
      <c r="P322" s="3">
        <v>2</v>
      </c>
      <c r="Q322" s="3">
        <v>5</v>
      </c>
      <c r="R322" s="3">
        <v>0</v>
      </c>
      <c r="T322">
        <f>SUM(Table1[[#This Row],[DTP Received]:[LPO/ LOA/ SOA Issue Date]])</f>
        <v>39</v>
      </c>
    </row>
    <row r="323" spans="2:20" x14ac:dyDescent="0.25">
      <c r="B323" t="s">
        <v>791</v>
      </c>
      <c r="C323" t="s">
        <v>371</v>
      </c>
      <c r="D323" s="3">
        <v>2</v>
      </c>
      <c r="E323" s="3">
        <v>1</v>
      </c>
      <c r="F323" s="3">
        <v>0</v>
      </c>
      <c r="G323" s="3">
        <v>5</v>
      </c>
      <c r="H323" s="3">
        <v>5</v>
      </c>
      <c r="I323" s="3">
        <v>1</v>
      </c>
      <c r="J323" s="3">
        <v>3</v>
      </c>
      <c r="K323" s="3">
        <v>2</v>
      </c>
      <c r="L323" s="3">
        <v>7</v>
      </c>
      <c r="M323" s="3">
        <v>3</v>
      </c>
      <c r="N323" s="3">
        <v>1</v>
      </c>
      <c r="O323" s="3">
        <v>2</v>
      </c>
      <c r="P323" s="3">
        <v>2</v>
      </c>
      <c r="Q323" s="3">
        <v>5</v>
      </c>
      <c r="R323" s="3">
        <v>0</v>
      </c>
      <c r="T323">
        <f>SUM(Table1[[#This Row],[DTP Received]:[LPO/ LOA/ SOA Issue Date]])</f>
        <v>39</v>
      </c>
    </row>
    <row r="324" spans="2:20" x14ac:dyDescent="0.25">
      <c r="B324" t="s">
        <v>792</v>
      </c>
      <c r="C324" t="s">
        <v>371</v>
      </c>
      <c r="D324" s="3">
        <v>2</v>
      </c>
      <c r="E324" s="3">
        <v>1</v>
      </c>
      <c r="F324" s="3">
        <v>0</v>
      </c>
      <c r="G324" s="3">
        <v>5</v>
      </c>
      <c r="H324" s="3">
        <v>5</v>
      </c>
      <c r="I324" s="3">
        <v>1</v>
      </c>
      <c r="J324" s="3">
        <v>3</v>
      </c>
      <c r="K324" s="3">
        <v>2</v>
      </c>
      <c r="L324" s="3">
        <v>7</v>
      </c>
      <c r="M324" s="3">
        <v>3</v>
      </c>
      <c r="N324" s="3">
        <v>1</v>
      </c>
      <c r="O324" s="3">
        <v>2</v>
      </c>
      <c r="P324" s="3">
        <v>2</v>
      </c>
      <c r="Q324" s="3">
        <v>5</v>
      </c>
      <c r="R324" s="3">
        <v>0</v>
      </c>
      <c r="T324">
        <f>SUM(Table1[[#This Row],[DTP Received]:[LPO/ LOA/ SOA Issue Date]])</f>
        <v>39</v>
      </c>
    </row>
    <row r="325" spans="2:20" x14ac:dyDescent="0.25">
      <c r="B325" t="s">
        <v>793</v>
      </c>
      <c r="C325" t="s">
        <v>371</v>
      </c>
      <c r="D325" s="3">
        <v>2</v>
      </c>
      <c r="E325" s="3">
        <v>1</v>
      </c>
      <c r="F325" s="3">
        <v>0</v>
      </c>
      <c r="G325" s="3">
        <v>5</v>
      </c>
      <c r="H325" s="3">
        <v>5</v>
      </c>
      <c r="I325" s="3">
        <v>1</v>
      </c>
      <c r="J325" s="3">
        <v>3</v>
      </c>
      <c r="K325" s="3">
        <v>2</v>
      </c>
      <c r="L325" s="3">
        <v>7</v>
      </c>
      <c r="M325" s="3">
        <v>3</v>
      </c>
      <c r="N325" s="3">
        <v>1</v>
      </c>
      <c r="O325" s="3">
        <v>2</v>
      </c>
      <c r="P325" s="3">
        <v>2</v>
      </c>
      <c r="Q325" s="3">
        <v>5</v>
      </c>
      <c r="R325" s="3">
        <v>0</v>
      </c>
      <c r="T325">
        <f>SUM(Table1[[#This Row],[DTP Received]:[LPO/ LOA/ SOA Issue Date]])</f>
        <v>39</v>
      </c>
    </row>
    <row r="326" spans="2:20" x14ac:dyDescent="0.25">
      <c r="B326" t="s">
        <v>188</v>
      </c>
      <c r="C326" t="s">
        <v>57</v>
      </c>
      <c r="D326" s="3">
        <v>2</v>
      </c>
      <c r="E326" s="3">
        <v>1</v>
      </c>
      <c r="F326" s="3">
        <v>0</v>
      </c>
      <c r="G326" s="3">
        <v>10</v>
      </c>
      <c r="H326" s="3">
        <v>5</v>
      </c>
      <c r="I326" s="3">
        <v>1</v>
      </c>
      <c r="J326" s="3">
        <v>3</v>
      </c>
      <c r="K326" s="3">
        <v>2</v>
      </c>
      <c r="L326" s="3">
        <v>3</v>
      </c>
      <c r="M326" s="3">
        <v>3</v>
      </c>
      <c r="N326" s="3">
        <v>1</v>
      </c>
      <c r="O326" s="3">
        <v>2</v>
      </c>
      <c r="P326" s="3">
        <v>2</v>
      </c>
      <c r="Q326" s="3">
        <v>5</v>
      </c>
      <c r="R326" s="3">
        <v>0</v>
      </c>
      <c r="T326">
        <f>SUM(Table1[[#This Row],[DTP Received]:[LPO/ LOA/ SOA Issue Date]])</f>
        <v>40</v>
      </c>
    </row>
    <row r="327" spans="2:20" x14ac:dyDescent="0.25">
      <c r="B327" t="s">
        <v>794</v>
      </c>
      <c r="C327" t="s">
        <v>795</v>
      </c>
      <c r="D327" s="3">
        <v>2</v>
      </c>
      <c r="E327" s="3">
        <v>1</v>
      </c>
      <c r="F327" s="3">
        <v>0</v>
      </c>
      <c r="G327" s="3">
        <v>10</v>
      </c>
      <c r="H327" s="3">
        <v>5</v>
      </c>
      <c r="I327" s="3">
        <v>1</v>
      </c>
      <c r="J327" s="3">
        <v>3</v>
      </c>
      <c r="K327" s="3">
        <v>2</v>
      </c>
      <c r="L327" s="3">
        <v>3</v>
      </c>
      <c r="M327" s="3">
        <v>3</v>
      </c>
      <c r="N327" s="3">
        <v>1</v>
      </c>
      <c r="O327" s="3">
        <v>2</v>
      </c>
      <c r="P327" s="3">
        <v>2</v>
      </c>
      <c r="Q327" s="3">
        <v>5</v>
      </c>
      <c r="R327" s="3">
        <v>0</v>
      </c>
      <c r="T327">
        <f>SUM(Table1[[#This Row],[DTP Received]:[LPO/ LOA/ SOA Issue Date]])</f>
        <v>40</v>
      </c>
    </row>
    <row r="328" spans="2:20" x14ac:dyDescent="0.25">
      <c r="B328" t="s">
        <v>796</v>
      </c>
      <c r="C328" t="s">
        <v>371</v>
      </c>
      <c r="D328" s="3">
        <v>2</v>
      </c>
      <c r="E328" s="3">
        <v>1</v>
      </c>
      <c r="F328" s="3">
        <v>0</v>
      </c>
      <c r="G328" s="3">
        <v>5</v>
      </c>
      <c r="H328" s="3">
        <v>5</v>
      </c>
      <c r="I328" s="3">
        <v>1</v>
      </c>
      <c r="J328" s="3">
        <v>3</v>
      </c>
      <c r="K328" s="3">
        <v>2</v>
      </c>
      <c r="L328" s="3">
        <v>7</v>
      </c>
      <c r="M328" s="3">
        <v>3</v>
      </c>
      <c r="N328" s="3">
        <v>1</v>
      </c>
      <c r="O328" s="3">
        <v>2</v>
      </c>
      <c r="P328" s="3">
        <v>2</v>
      </c>
      <c r="Q328" s="3">
        <v>5</v>
      </c>
      <c r="R328" s="3">
        <v>0</v>
      </c>
      <c r="T328">
        <f>SUM(Table1[[#This Row],[DTP Received]:[LPO/ LOA/ SOA Issue Date]])</f>
        <v>39</v>
      </c>
    </row>
    <row r="329" spans="2:20" x14ac:dyDescent="0.25">
      <c r="B329" t="s">
        <v>797</v>
      </c>
      <c r="C329" t="s">
        <v>371</v>
      </c>
      <c r="D329" s="3">
        <v>2</v>
      </c>
      <c r="E329" s="3">
        <v>1</v>
      </c>
      <c r="F329" s="3">
        <v>0</v>
      </c>
      <c r="G329" s="3">
        <v>5</v>
      </c>
      <c r="H329" s="3">
        <v>5</v>
      </c>
      <c r="I329" s="3">
        <v>1</v>
      </c>
      <c r="J329" s="3">
        <v>3</v>
      </c>
      <c r="K329" s="3">
        <v>2</v>
      </c>
      <c r="L329" s="3">
        <v>7</v>
      </c>
      <c r="M329" s="3">
        <v>3</v>
      </c>
      <c r="N329" s="3">
        <v>1</v>
      </c>
      <c r="O329" s="3">
        <v>2</v>
      </c>
      <c r="P329" s="3">
        <v>2</v>
      </c>
      <c r="Q329" s="3">
        <v>5</v>
      </c>
      <c r="R329" s="3">
        <v>0</v>
      </c>
      <c r="T329">
        <f>SUM(Table1[[#This Row],[DTP Received]:[LPO/ LOA/ SOA Issue Date]])</f>
        <v>39</v>
      </c>
    </row>
    <row r="330" spans="2:20" x14ac:dyDescent="0.25">
      <c r="B330" t="s">
        <v>798</v>
      </c>
      <c r="C330" t="s">
        <v>371</v>
      </c>
      <c r="D330" s="3">
        <v>2</v>
      </c>
      <c r="E330" s="3">
        <v>1</v>
      </c>
      <c r="F330" s="3">
        <v>0</v>
      </c>
      <c r="G330" s="3">
        <v>5</v>
      </c>
      <c r="H330" s="3">
        <v>5</v>
      </c>
      <c r="I330" s="3">
        <v>1</v>
      </c>
      <c r="J330" s="3">
        <v>3</v>
      </c>
      <c r="K330" s="3">
        <v>2</v>
      </c>
      <c r="L330" s="3">
        <v>7</v>
      </c>
      <c r="M330" s="3">
        <v>3</v>
      </c>
      <c r="N330" s="3">
        <v>1</v>
      </c>
      <c r="O330" s="3">
        <v>2</v>
      </c>
      <c r="P330" s="3">
        <v>2</v>
      </c>
      <c r="Q330" s="3">
        <v>5</v>
      </c>
      <c r="R330" s="3">
        <v>0</v>
      </c>
      <c r="T330">
        <f>SUM(Table1[[#This Row],[DTP Received]:[LPO/ LOA/ SOA Issue Date]])</f>
        <v>39</v>
      </c>
    </row>
    <row r="331" spans="2:20" x14ac:dyDescent="0.25">
      <c r="B331" t="s">
        <v>799</v>
      </c>
      <c r="C331" t="s">
        <v>371</v>
      </c>
      <c r="D331" s="3">
        <v>2</v>
      </c>
      <c r="E331" s="3">
        <v>1</v>
      </c>
      <c r="F331" s="3">
        <v>0</v>
      </c>
      <c r="G331" s="3">
        <v>5</v>
      </c>
      <c r="H331" s="3">
        <v>5</v>
      </c>
      <c r="I331" s="3">
        <v>1</v>
      </c>
      <c r="J331" s="3">
        <v>3</v>
      </c>
      <c r="K331" s="3">
        <v>2</v>
      </c>
      <c r="L331" s="3">
        <v>7</v>
      </c>
      <c r="M331" s="3">
        <v>3</v>
      </c>
      <c r="N331" s="3">
        <v>1</v>
      </c>
      <c r="O331" s="3">
        <v>2</v>
      </c>
      <c r="P331" s="3">
        <v>2</v>
      </c>
      <c r="Q331" s="3">
        <v>5</v>
      </c>
      <c r="R331" s="3">
        <v>0</v>
      </c>
      <c r="T331">
        <f>SUM(Table1[[#This Row],[DTP Received]:[LPO/ LOA/ SOA Issue Date]])</f>
        <v>39</v>
      </c>
    </row>
    <row r="332" spans="2:20" x14ac:dyDescent="0.25">
      <c r="B332" t="s">
        <v>800</v>
      </c>
      <c r="C332" t="s">
        <v>371</v>
      </c>
      <c r="D332" s="3">
        <v>2</v>
      </c>
      <c r="E332" s="3">
        <v>1</v>
      </c>
      <c r="F332" s="3">
        <v>0</v>
      </c>
      <c r="G332" s="3">
        <v>5</v>
      </c>
      <c r="H332" s="3">
        <v>5</v>
      </c>
      <c r="I332" s="3">
        <v>1</v>
      </c>
      <c r="J332" s="3">
        <v>3</v>
      </c>
      <c r="K332" s="3">
        <v>2</v>
      </c>
      <c r="L332" s="3">
        <v>7</v>
      </c>
      <c r="M332" s="3">
        <v>3</v>
      </c>
      <c r="N332" s="3">
        <v>1</v>
      </c>
      <c r="O332" s="3">
        <v>2</v>
      </c>
      <c r="P332" s="3">
        <v>2</v>
      </c>
      <c r="Q332" s="3">
        <v>5</v>
      </c>
      <c r="R332" s="3">
        <v>0</v>
      </c>
      <c r="T332">
        <f>SUM(Table1[[#This Row],[DTP Received]:[LPO/ LOA/ SOA Issue Date]])</f>
        <v>39</v>
      </c>
    </row>
    <row r="333" spans="2:20" x14ac:dyDescent="0.25">
      <c r="B333" t="s">
        <v>192</v>
      </c>
      <c r="C333" t="s">
        <v>59</v>
      </c>
      <c r="D333" s="3">
        <v>2</v>
      </c>
      <c r="E333" s="3">
        <v>1</v>
      </c>
      <c r="F333" s="3">
        <v>0</v>
      </c>
      <c r="G333" s="3">
        <v>14</v>
      </c>
      <c r="H333" s="3">
        <v>10</v>
      </c>
      <c r="I333" s="3">
        <v>1</v>
      </c>
      <c r="J333" s="3">
        <v>3</v>
      </c>
      <c r="K333" s="3">
        <v>2</v>
      </c>
      <c r="L333" s="3">
        <v>5</v>
      </c>
      <c r="M333" s="3">
        <v>5</v>
      </c>
      <c r="N333" s="3">
        <v>1</v>
      </c>
      <c r="O333" s="3">
        <v>2</v>
      </c>
      <c r="P333" s="3">
        <v>2</v>
      </c>
      <c r="Q333" s="3">
        <v>5</v>
      </c>
      <c r="R333" s="3">
        <v>0</v>
      </c>
      <c r="T333">
        <f>SUM(Table1[[#This Row],[DTP Received]:[LPO/ LOA/ SOA Issue Date]])</f>
        <v>53</v>
      </c>
    </row>
    <row r="334" spans="2:20" x14ac:dyDescent="0.25">
      <c r="B334" t="s">
        <v>801</v>
      </c>
      <c r="C334" t="s">
        <v>371</v>
      </c>
      <c r="D334" s="3">
        <v>2</v>
      </c>
      <c r="E334" s="3">
        <v>1</v>
      </c>
      <c r="F334" s="3">
        <v>0</v>
      </c>
      <c r="G334" s="3">
        <v>5</v>
      </c>
      <c r="H334" s="3">
        <v>5</v>
      </c>
      <c r="I334" s="3">
        <v>1</v>
      </c>
      <c r="J334" s="3">
        <v>3</v>
      </c>
      <c r="K334" s="3">
        <v>2</v>
      </c>
      <c r="L334" s="3">
        <v>7</v>
      </c>
      <c r="M334" s="3">
        <v>3</v>
      </c>
      <c r="N334" s="3">
        <v>1</v>
      </c>
      <c r="O334" s="3">
        <v>2</v>
      </c>
      <c r="P334" s="3">
        <v>2</v>
      </c>
      <c r="Q334" s="3">
        <v>5</v>
      </c>
      <c r="R334" s="3">
        <v>0</v>
      </c>
      <c r="T334">
        <f>SUM(Table1[[#This Row],[DTP Received]:[LPO/ LOA/ SOA Issue Date]])</f>
        <v>39</v>
      </c>
    </row>
    <row r="335" spans="2:20" x14ac:dyDescent="0.25">
      <c r="B335" t="s">
        <v>802</v>
      </c>
      <c r="C335" t="s">
        <v>371</v>
      </c>
      <c r="D335" s="3">
        <v>2</v>
      </c>
      <c r="E335" s="3">
        <v>1</v>
      </c>
      <c r="F335" s="3">
        <v>0</v>
      </c>
      <c r="G335" s="3">
        <v>5</v>
      </c>
      <c r="H335" s="3">
        <v>5</v>
      </c>
      <c r="I335" s="3">
        <v>1</v>
      </c>
      <c r="J335" s="3">
        <v>3</v>
      </c>
      <c r="K335" s="3">
        <v>2</v>
      </c>
      <c r="L335" s="3">
        <v>7</v>
      </c>
      <c r="M335" s="3">
        <v>3</v>
      </c>
      <c r="N335" s="3">
        <v>1</v>
      </c>
      <c r="O335" s="3">
        <v>2</v>
      </c>
      <c r="P335" s="3">
        <v>2</v>
      </c>
      <c r="Q335" s="3">
        <v>5</v>
      </c>
      <c r="R335" s="3">
        <v>0</v>
      </c>
      <c r="T335">
        <f>SUM(Table1[[#This Row],[DTP Received]:[LPO/ LOA/ SOA Issue Date]])</f>
        <v>39</v>
      </c>
    </row>
    <row r="336" spans="2:20" x14ac:dyDescent="0.25">
      <c r="B336" t="s">
        <v>803</v>
      </c>
      <c r="C336" t="s">
        <v>371</v>
      </c>
      <c r="D336" s="3">
        <v>2</v>
      </c>
      <c r="E336" s="3">
        <v>1</v>
      </c>
      <c r="F336" s="3">
        <v>0</v>
      </c>
      <c r="G336" s="3">
        <v>5</v>
      </c>
      <c r="H336" s="3">
        <v>5</v>
      </c>
      <c r="I336" s="3">
        <v>1</v>
      </c>
      <c r="J336" s="3">
        <v>3</v>
      </c>
      <c r="K336" s="3">
        <v>2</v>
      </c>
      <c r="L336" s="3">
        <v>7</v>
      </c>
      <c r="M336" s="3">
        <v>3</v>
      </c>
      <c r="N336" s="3">
        <v>1</v>
      </c>
      <c r="O336" s="3">
        <v>2</v>
      </c>
      <c r="P336" s="3">
        <v>2</v>
      </c>
      <c r="Q336" s="3">
        <v>5</v>
      </c>
      <c r="R336" s="3">
        <v>0</v>
      </c>
      <c r="T336">
        <f>SUM(Table1[[#This Row],[DTP Received]:[LPO/ LOA/ SOA Issue Date]])</f>
        <v>39</v>
      </c>
    </row>
    <row r="337" spans="2:20" x14ac:dyDescent="0.25">
      <c r="B337" t="s">
        <v>804</v>
      </c>
      <c r="C337" t="s">
        <v>371</v>
      </c>
      <c r="D337" s="3">
        <v>2</v>
      </c>
      <c r="E337" s="3">
        <v>1</v>
      </c>
      <c r="F337" s="3">
        <v>0</v>
      </c>
      <c r="G337" s="3">
        <v>5</v>
      </c>
      <c r="H337" s="3">
        <v>5</v>
      </c>
      <c r="I337" s="3">
        <v>1</v>
      </c>
      <c r="J337" s="3">
        <v>3</v>
      </c>
      <c r="K337" s="3">
        <v>2</v>
      </c>
      <c r="L337" s="3">
        <v>7</v>
      </c>
      <c r="M337" s="3">
        <v>3</v>
      </c>
      <c r="N337" s="3">
        <v>1</v>
      </c>
      <c r="O337" s="3">
        <v>2</v>
      </c>
      <c r="P337" s="3">
        <v>2</v>
      </c>
      <c r="Q337" s="3">
        <v>5</v>
      </c>
      <c r="R337" s="3">
        <v>0</v>
      </c>
      <c r="T337">
        <f>SUM(Table1[[#This Row],[DTP Received]:[LPO/ LOA/ SOA Issue Date]])</f>
        <v>39</v>
      </c>
    </row>
    <row r="338" spans="2:20" x14ac:dyDescent="0.25">
      <c r="B338" t="s">
        <v>805</v>
      </c>
      <c r="C338" t="s">
        <v>371</v>
      </c>
      <c r="D338" s="3">
        <v>2</v>
      </c>
      <c r="E338" s="3">
        <v>1</v>
      </c>
      <c r="F338" s="3">
        <v>0</v>
      </c>
      <c r="G338" s="3">
        <v>5</v>
      </c>
      <c r="H338" s="3">
        <v>5</v>
      </c>
      <c r="I338" s="3">
        <v>1</v>
      </c>
      <c r="J338" s="3">
        <v>3</v>
      </c>
      <c r="K338" s="3">
        <v>2</v>
      </c>
      <c r="L338" s="3">
        <v>7</v>
      </c>
      <c r="M338" s="3">
        <v>3</v>
      </c>
      <c r="N338" s="3">
        <v>1</v>
      </c>
      <c r="O338" s="3">
        <v>2</v>
      </c>
      <c r="P338" s="3">
        <v>2</v>
      </c>
      <c r="Q338" s="3">
        <v>5</v>
      </c>
      <c r="R338" s="3">
        <v>0</v>
      </c>
      <c r="T338">
        <f>SUM(Table1[[#This Row],[DTP Received]:[LPO/ LOA/ SOA Issue Date]])</f>
        <v>39</v>
      </c>
    </row>
    <row r="339" spans="2:20" x14ac:dyDescent="0.25">
      <c r="B339" t="s">
        <v>806</v>
      </c>
      <c r="C339" t="s">
        <v>807</v>
      </c>
      <c r="D339" s="3">
        <v>2</v>
      </c>
      <c r="E339" s="3">
        <v>1</v>
      </c>
      <c r="F339" s="3">
        <v>0</v>
      </c>
      <c r="G339" s="3">
        <v>10</v>
      </c>
      <c r="H339" s="3">
        <v>5</v>
      </c>
      <c r="I339" s="3">
        <v>1</v>
      </c>
      <c r="J339" s="3">
        <v>3</v>
      </c>
      <c r="K339" s="3">
        <v>2</v>
      </c>
      <c r="L339" s="3">
        <v>3</v>
      </c>
      <c r="M339" s="3">
        <v>3</v>
      </c>
      <c r="N339" s="3">
        <v>1</v>
      </c>
      <c r="O339" s="3">
        <v>2</v>
      </c>
      <c r="P339" s="3">
        <v>2</v>
      </c>
      <c r="Q339" s="3">
        <v>5</v>
      </c>
      <c r="R339" s="3">
        <v>0</v>
      </c>
      <c r="T339">
        <f>SUM(Table1[[#This Row],[DTP Received]:[LPO/ LOA/ SOA Issue Date]])</f>
        <v>40</v>
      </c>
    </row>
    <row r="340" spans="2:20" x14ac:dyDescent="0.25">
      <c r="B340" t="s">
        <v>808</v>
      </c>
      <c r="C340" t="s">
        <v>371</v>
      </c>
      <c r="D340" s="3">
        <v>2</v>
      </c>
      <c r="E340" s="3">
        <v>1</v>
      </c>
      <c r="F340" s="3">
        <v>0</v>
      </c>
      <c r="G340" s="3">
        <v>5</v>
      </c>
      <c r="H340" s="3">
        <v>5</v>
      </c>
      <c r="I340" s="3">
        <v>1</v>
      </c>
      <c r="J340" s="3">
        <v>3</v>
      </c>
      <c r="K340" s="3">
        <v>2</v>
      </c>
      <c r="L340" s="3">
        <v>7</v>
      </c>
      <c r="M340" s="3">
        <v>3</v>
      </c>
      <c r="N340" s="3">
        <v>1</v>
      </c>
      <c r="O340" s="3">
        <v>2</v>
      </c>
      <c r="P340" s="3">
        <v>2</v>
      </c>
      <c r="Q340" s="3">
        <v>5</v>
      </c>
      <c r="R340" s="3">
        <v>0</v>
      </c>
      <c r="T340">
        <f>SUM(Table1[[#This Row],[DTP Received]:[LPO/ LOA/ SOA Issue Date]])</f>
        <v>39</v>
      </c>
    </row>
    <row r="341" spans="2:20" x14ac:dyDescent="0.25">
      <c r="B341" t="s">
        <v>809</v>
      </c>
      <c r="C341" t="s">
        <v>371</v>
      </c>
      <c r="D341" s="3">
        <v>2</v>
      </c>
      <c r="E341" s="3">
        <v>1</v>
      </c>
      <c r="F341" s="3">
        <v>0</v>
      </c>
      <c r="G341" s="3">
        <v>5</v>
      </c>
      <c r="H341" s="3">
        <v>5</v>
      </c>
      <c r="I341" s="3">
        <v>1</v>
      </c>
      <c r="J341" s="3">
        <v>3</v>
      </c>
      <c r="K341" s="3">
        <v>2</v>
      </c>
      <c r="L341" s="3">
        <v>7</v>
      </c>
      <c r="M341" s="3">
        <v>3</v>
      </c>
      <c r="N341" s="3">
        <v>1</v>
      </c>
      <c r="O341" s="3">
        <v>2</v>
      </c>
      <c r="P341" s="3">
        <v>2</v>
      </c>
      <c r="Q341" s="3">
        <v>5</v>
      </c>
      <c r="R341" s="3">
        <v>0</v>
      </c>
      <c r="T341">
        <f>SUM(Table1[[#This Row],[DTP Received]:[LPO/ LOA/ SOA Issue Date]])</f>
        <v>39</v>
      </c>
    </row>
    <row r="342" spans="2:20" x14ac:dyDescent="0.25">
      <c r="B342" t="s">
        <v>810</v>
      </c>
      <c r="C342" t="s">
        <v>371</v>
      </c>
      <c r="D342" s="3">
        <v>2</v>
      </c>
      <c r="E342" s="3">
        <v>1</v>
      </c>
      <c r="F342" s="3">
        <v>0</v>
      </c>
      <c r="G342" s="3">
        <v>5</v>
      </c>
      <c r="H342" s="3">
        <v>5</v>
      </c>
      <c r="I342" s="3">
        <v>1</v>
      </c>
      <c r="J342" s="3">
        <v>3</v>
      </c>
      <c r="K342" s="3">
        <v>2</v>
      </c>
      <c r="L342" s="3">
        <v>7</v>
      </c>
      <c r="M342" s="3">
        <v>3</v>
      </c>
      <c r="N342" s="3">
        <v>1</v>
      </c>
      <c r="O342" s="3">
        <v>2</v>
      </c>
      <c r="P342" s="3">
        <v>2</v>
      </c>
      <c r="Q342" s="3">
        <v>5</v>
      </c>
      <c r="R342" s="3">
        <v>0</v>
      </c>
      <c r="T342">
        <f>SUM(Table1[[#This Row],[DTP Received]:[LPO/ LOA/ SOA Issue Date]])</f>
        <v>39</v>
      </c>
    </row>
    <row r="343" spans="2:20" x14ac:dyDescent="0.25">
      <c r="B343" t="s">
        <v>811</v>
      </c>
      <c r="C343" t="s">
        <v>371</v>
      </c>
      <c r="D343" s="3">
        <v>2</v>
      </c>
      <c r="E343" s="3">
        <v>1</v>
      </c>
      <c r="F343" s="3">
        <v>0</v>
      </c>
      <c r="G343" s="3">
        <v>5</v>
      </c>
      <c r="H343" s="3">
        <v>5</v>
      </c>
      <c r="I343" s="3">
        <v>1</v>
      </c>
      <c r="J343" s="3">
        <v>3</v>
      </c>
      <c r="K343" s="3">
        <v>2</v>
      </c>
      <c r="L343" s="3">
        <v>7</v>
      </c>
      <c r="M343" s="3">
        <v>3</v>
      </c>
      <c r="N343" s="3">
        <v>1</v>
      </c>
      <c r="O343" s="3">
        <v>2</v>
      </c>
      <c r="P343" s="3">
        <v>2</v>
      </c>
      <c r="Q343" s="3">
        <v>5</v>
      </c>
      <c r="R343" s="3">
        <v>0</v>
      </c>
      <c r="T343">
        <f>SUM(Table1[[#This Row],[DTP Received]:[LPO/ LOA/ SOA Issue Date]])</f>
        <v>39</v>
      </c>
    </row>
    <row r="344" spans="2:20" x14ac:dyDescent="0.25">
      <c r="B344" t="s">
        <v>812</v>
      </c>
      <c r="C344" t="s">
        <v>371</v>
      </c>
      <c r="D344" s="3">
        <v>2</v>
      </c>
      <c r="E344" s="3">
        <v>1</v>
      </c>
      <c r="F344" s="3">
        <v>0</v>
      </c>
      <c r="G344" s="3">
        <v>5</v>
      </c>
      <c r="H344" s="3">
        <v>5</v>
      </c>
      <c r="I344" s="3">
        <v>1</v>
      </c>
      <c r="J344" s="3">
        <v>3</v>
      </c>
      <c r="K344" s="3">
        <v>2</v>
      </c>
      <c r="L344" s="3">
        <v>7</v>
      </c>
      <c r="M344" s="3">
        <v>3</v>
      </c>
      <c r="N344" s="3">
        <v>1</v>
      </c>
      <c r="O344" s="3">
        <v>2</v>
      </c>
      <c r="P344" s="3">
        <v>2</v>
      </c>
      <c r="Q344" s="3">
        <v>5</v>
      </c>
      <c r="R344" s="3">
        <v>0</v>
      </c>
      <c r="T344">
        <f>SUM(Table1[[#This Row],[DTP Received]:[LPO/ LOA/ SOA Issue Date]])</f>
        <v>39</v>
      </c>
    </row>
    <row r="345" spans="2:20" x14ac:dyDescent="0.25">
      <c r="B345" t="s">
        <v>813</v>
      </c>
      <c r="C345" t="s">
        <v>814</v>
      </c>
      <c r="D345" s="3">
        <v>2</v>
      </c>
      <c r="E345" s="3">
        <v>1</v>
      </c>
      <c r="F345" s="3">
        <v>0</v>
      </c>
      <c r="G345" s="3">
        <v>5</v>
      </c>
      <c r="H345" s="3">
        <v>5</v>
      </c>
      <c r="I345" s="3">
        <v>1</v>
      </c>
      <c r="J345" s="3">
        <v>3</v>
      </c>
      <c r="K345" s="3">
        <v>2</v>
      </c>
      <c r="L345" s="3">
        <v>7</v>
      </c>
      <c r="M345" s="3">
        <v>3</v>
      </c>
      <c r="N345" s="3">
        <v>1</v>
      </c>
      <c r="O345" s="3">
        <v>2</v>
      </c>
      <c r="P345" s="3">
        <v>2</v>
      </c>
      <c r="Q345" s="3">
        <v>5</v>
      </c>
      <c r="R345" s="3">
        <v>0</v>
      </c>
      <c r="T345">
        <f>SUM(Table1[[#This Row],[DTP Received]:[LPO/ LOA/ SOA Issue Date]])</f>
        <v>39</v>
      </c>
    </row>
    <row r="346" spans="2:20" x14ac:dyDescent="0.25">
      <c r="B346" t="s">
        <v>203</v>
      </c>
      <c r="C346" t="s">
        <v>325</v>
      </c>
      <c r="D346" s="3">
        <v>2</v>
      </c>
      <c r="E346" s="3">
        <v>1</v>
      </c>
      <c r="F346" s="3">
        <v>0</v>
      </c>
      <c r="G346" s="3">
        <v>3</v>
      </c>
      <c r="H346" s="3">
        <v>2</v>
      </c>
      <c r="I346" s="3">
        <v>1</v>
      </c>
      <c r="J346" s="3">
        <v>3</v>
      </c>
      <c r="K346" s="3">
        <v>2</v>
      </c>
      <c r="L346" s="3">
        <v>0</v>
      </c>
      <c r="M346" s="3">
        <v>2</v>
      </c>
      <c r="N346" s="3">
        <v>1</v>
      </c>
      <c r="O346" s="3">
        <v>2</v>
      </c>
      <c r="P346" s="3">
        <v>2</v>
      </c>
      <c r="Q346" s="3">
        <v>5</v>
      </c>
      <c r="R346" s="3">
        <v>0</v>
      </c>
      <c r="T346">
        <f>SUM(Table1[[#This Row],[DTP Received]:[LPO/ LOA/ SOA Issue Date]])</f>
        <v>26</v>
      </c>
    </row>
    <row r="347" spans="2:20" x14ac:dyDescent="0.25">
      <c r="B347" t="s">
        <v>194</v>
      </c>
      <c r="C347" t="s">
        <v>319</v>
      </c>
      <c r="D347" s="3">
        <v>2</v>
      </c>
      <c r="E347" s="3">
        <v>1</v>
      </c>
      <c r="F347" s="3">
        <v>0</v>
      </c>
      <c r="G347" s="3">
        <v>10</v>
      </c>
      <c r="H347" s="3">
        <v>5</v>
      </c>
      <c r="I347" s="3">
        <v>1</v>
      </c>
      <c r="J347" s="3">
        <v>3</v>
      </c>
      <c r="K347" s="3">
        <v>2</v>
      </c>
      <c r="L347" s="3">
        <v>3</v>
      </c>
      <c r="M347" s="3">
        <v>3</v>
      </c>
      <c r="N347" s="3">
        <v>1</v>
      </c>
      <c r="O347" s="3">
        <v>2</v>
      </c>
      <c r="P347" s="3">
        <v>2</v>
      </c>
      <c r="Q347" s="3">
        <v>5</v>
      </c>
      <c r="R347" s="3">
        <v>0</v>
      </c>
      <c r="T347">
        <f>SUM(Table1[[#This Row],[DTP Received]:[LPO/ LOA/ SOA Issue Date]])</f>
        <v>40</v>
      </c>
    </row>
    <row r="348" spans="2:20" x14ac:dyDescent="0.25">
      <c r="B348" t="s">
        <v>815</v>
      </c>
      <c r="C348" t="s">
        <v>816</v>
      </c>
      <c r="D348" s="3">
        <v>2</v>
      </c>
      <c r="E348" s="3">
        <v>1</v>
      </c>
      <c r="F348" s="3">
        <v>0</v>
      </c>
      <c r="G348" s="3">
        <v>3</v>
      </c>
      <c r="H348" s="3">
        <v>2</v>
      </c>
      <c r="I348" s="3">
        <v>1</v>
      </c>
      <c r="J348" s="3">
        <v>3</v>
      </c>
      <c r="K348" s="3">
        <v>2</v>
      </c>
      <c r="L348" s="3">
        <v>0</v>
      </c>
      <c r="M348" s="3">
        <v>2</v>
      </c>
      <c r="N348" s="3">
        <v>1</v>
      </c>
      <c r="O348" s="3">
        <v>2</v>
      </c>
      <c r="P348" s="3">
        <v>2</v>
      </c>
      <c r="Q348" s="3">
        <v>5</v>
      </c>
      <c r="R348" s="3">
        <v>0</v>
      </c>
      <c r="T348">
        <f>SUM(Table1[[#This Row],[DTP Received]:[LPO/ LOA/ SOA Issue Date]])</f>
        <v>26</v>
      </c>
    </row>
    <row r="349" spans="2:20" x14ac:dyDescent="0.25">
      <c r="B349" t="s">
        <v>817</v>
      </c>
      <c r="C349" t="s">
        <v>371</v>
      </c>
      <c r="D349" s="3">
        <v>2</v>
      </c>
      <c r="E349" s="3">
        <v>1</v>
      </c>
      <c r="F349" s="3">
        <v>0</v>
      </c>
      <c r="G349" s="3">
        <v>5</v>
      </c>
      <c r="H349" s="3">
        <v>5</v>
      </c>
      <c r="I349" s="3">
        <v>1</v>
      </c>
      <c r="J349" s="3">
        <v>3</v>
      </c>
      <c r="K349" s="3">
        <v>2</v>
      </c>
      <c r="L349" s="3">
        <v>7</v>
      </c>
      <c r="M349" s="3">
        <v>3</v>
      </c>
      <c r="N349" s="3">
        <v>1</v>
      </c>
      <c r="O349" s="3">
        <v>2</v>
      </c>
      <c r="P349" s="3">
        <v>2</v>
      </c>
      <c r="Q349" s="3">
        <v>5</v>
      </c>
      <c r="R349" s="3">
        <v>0</v>
      </c>
      <c r="T349">
        <f>SUM(Table1[[#This Row],[DTP Received]:[LPO/ LOA/ SOA Issue Date]])</f>
        <v>39</v>
      </c>
    </row>
    <row r="350" spans="2:20" x14ac:dyDescent="0.25">
      <c r="B350" t="s">
        <v>818</v>
      </c>
      <c r="C350" t="s">
        <v>371</v>
      </c>
      <c r="D350" s="3">
        <v>2</v>
      </c>
      <c r="E350" s="3">
        <v>1</v>
      </c>
      <c r="F350" s="3">
        <v>0</v>
      </c>
      <c r="G350" s="3">
        <v>5</v>
      </c>
      <c r="H350" s="3">
        <v>5</v>
      </c>
      <c r="I350" s="3">
        <v>1</v>
      </c>
      <c r="J350" s="3">
        <v>3</v>
      </c>
      <c r="K350" s="3">
        <v>2</v>
      </c>
      <c r="L350" s="3">
        <v>7</v>
      </c>
      <c r="M350" s="3">
        <v>3</v>
      </c>
      <c r="N350" s="3">
        <v>1</v>
      </c>
      <c r="O350" s="3">
        <v>2</v>
      </c>
      <c r="P350" s="3">
        <v>2</v>
      </c>
      <c r="Q350" s="3">
        <v>5</v>
      </c>
      <c r="R350" s="3">
        <v>0</v>
      </c>
      <c r="T350">
        <f>SUM(Table1[[#This Row],[DTP Received]:[LPO/ LOA/ SOA Issue Date]])</f>
        <v>39</v>
      </c>
    </row>
    <row r="351" spans="2:20" x14ac:dyDescent="0.25">
      <c r="B351" t="s">
        <v>819</v>
      </c>
      <c r="C351" t="s">
        <v>371</v>
      </c>
      <c r="D351" s="3">
        <v>2</v>
      </c>
      <c r="E351" s="3">
        <v>1</v>
      </c>
      <c r="F351" s="3">
        <v>0</v>
      </c>
      <c r="G351" s="3">
        <v>5</v>
      </c>
      <c r="H351" s="3">
        <v>5</v>
      </c>
      <c r="I351" s="3">
        <v>1</v>
      </c>
      <c r="J351" s="3">
        <v>3</v>
      </c>
      <c r="K351" s="3">
        <v>2</v>
      </c>
      <c r="L351" s="3">
        <v>7</v>
      </c>
      <c r="M351" s="3">
        <v>3</v>
      </c>
      <c r="N351" s="3">
        <v>1</v>
      </c>
      <c r="O351" s="3">
        <v>2</v>
      </c>
      <c r="P351" s="3">
        <v>2</v>
      </c>
      <c r="Q351" s="3">
        <v>5</v>
      </c>
      <c r="R351" s="3">
        <v>0</v>
      </c>
      <c r="T351">
        <f>SUM(Table1[[#This Row],[DTP Received]:[LPO/ LOA/ SOA Issue Date]])</f>
        <v>39</v>
      </c>
    </row>
    <row r="352" spans="2:20" x14ac:dyDescent="0.25">
      <c r="B352" t="s">
        <v>820</v>
      </c>
      <c r="C352" t="s">
        <v>371</v>
      </c>
      <c r="D352" s="3">
        <v>2</v>
      </c>
      <c r="E352" s="3">
        <v>1</v>
      </c>
      <c r="F352" s="3">
        <v>0</v>
      </c>
      <c r="G352" s="3">
        <v>5</v>
      </c>
      <c r="H352" s="3">
        <v>5</v>
      </c>
      <c r="I352" s="3">
        <v>1</v>
      </c>
      <c r="J352" s="3">
        <v>3</v>
      </c>
      <c r="K352" s="3">
        <v>2</v>
      </c>
      <c r="L352" s="3">
        <v>7</v>
      </c>
      <c r="M352" s="3">
        <v>3</v>
      </c>
      <c r="N352" s="3">
        <v>1</v>
      </c>
      <c r="O352" s="3">
        <v>2</v>
      </c>
      <c r="P352" s="3">
        <v>2</v>
      </c>
      <c r="Q352" s="3">
        <v>5</v>
      </c>
      <c r="R352" s="3">
        <v>0</v>
      </c>
      <c r="T352">
        <f>SUM(Table1[[#This Row],[DTP Received]:[LPO/ LOA/ SOA Issue Date]])</f>
        <v>39</v>
      </c>
    </row>
    <row r="353" spans="2:20" x14ac:dyDescent="0.25">
      <c r="B353" t="s">
        <v>821</v>
      </c>
      <c r="C353" t="s">
        <v>371</v>
      </c>
      <c r="D353" s="3">
        <v>2</v>
      </c>
      <c r="E353" s="3">
        <v>1</v>
      </c>
      <c r="F353" s="3">
        <v>0</v>
      </c>
      <c r="G353" s="3">
        <v>5</v>
      </c>
      <c r="H353" s="3">
        <v>5</v>
      </c>
      <c r="I353" s="3">
        <v>1</v>
      </c>
      <c r="J353" s="3">
        <v>3</v>
      </c>
      <c r="K353" s="3">
        <v>2</v>
      </c>
      <c r="L353" s="3">
        <v>7</v>
      </c>
      <c r="M353" s="3">
        <v>3</v>
      </c>
      <c r="N353" s="3">
        <v>1</v>
      </c>
      <c r="O353" s="3">
        <v>2</v>
      </c>
      <c r="P353" s="3">
        <v>2</v>
      </c>
      <c r="Q353" s="3">
        <v>5</v>
      </c>
      <c r="R353" s="3">
        <v>0</v>
      </c>
      <c r="T353">
        <f>SUM(Table1[[#This Row],[DTP Received]:[LPO/ LOA/ SOA Issue Date]])</f>
        <v>39</v>
      </c>
    </row>
    <row r="354" spans="2:20" x14ac:dyDescent="0.25">
      <c r="B354" t="s">
        <v>171</v>
      </c>
      <c r="C354" t="s">
        <v>312</v>
      </c>
      <c r="D354" s="3">
        <v>2</v>
      </c>
      <c r="E354" s="3">
        <v>1</v>
      </c>
      <c r="F354" s="3">
        <v>0</v>
      </c>
      <c r="G354" s="3">
        <v>10</v>
      </c>
      <c r="H354" s="3">
        <v>5</v>
      </c>
      <c r="I354" s="3">
        <v>1</v>
      </c>
      <c r="J354" s="3">
        <v>3</v>
      </c>
      <c r="K354" s="3">
        <v>2</v>
      </c>
      <c r="L354" s="3">
        <v>3</v>
      </c>
      <c r="M354" s="3">
        <v>3</v>
      </c>
      <c r="N354" s="3">
        <v>1</v>
      </c>
      <c r="O354" s="3">
        <v>2</v>
      </c>
      <c r="P354" s="3">
        <v>2</v>
      </c>
      <c r="Q354" s="3">
        <v>5</v>
      </c>
      <c r="R354" s="3">
        <v>0</v>
      </c>
      <c r="T354">
        <f>SUM(Table1[[#This Row],[DTP Received]:[LPO/ LOA/ SOA Issue Date]])</f>
        <v>40</v>
      </c>
    </row>
    <row r="355" spans="2:20" x14ac:dyDescent="0.25">
      <c r="B355" t="s">
        <v>822</v>
      </c>
      <c r="C355" t="s">
        <v>823</v>
      </c>
      <c r="D355" s="3">
        <v>2</v>
      </c>
      <c r="E355" s="3">
        <v>1</v>
      </c>
      <c r="F355" s="3">
        <v>0</v>
      </c>
      <c r="G355" s="3">
        <v>10</v>
      </c>
      <c r="H355" s="3">
        <v>5</v>
      </c>
      <c r="I355" s="3">
        <v>1</v>
      </c>
      <c r="J355" s="3">
        <v>3</v>
      </c>
      <c r="K355" s="3">
        <v>2</v>
      </c>
      <c r="L355" s="3">
        <v>3</v>
      </c>
      <c r="M355" s="3">
        <v>3</v>
      </c>
      <c r="N355" s="3">
        <v>1</v>
      </c>
      <c r="O355" s="3">
        <v>2</v>
      </c>
      <c r="P355" s="3">
        <v>2</v>
      </c>
      <c r="Q355" s="3">
        <v>5</v>
      </c>
      <c r="R355" s="3">
        <v>0</v>
      </c>
      <c r="T355">
        <f>SUM(Table1[[#This Row],[DTP Received]:[LPO/ LOA/ SOA Issue Date]])</f>
        <v>40</v>
      </c>
    </row>
    <row r="356" spans="2:20" x14ac:dyDescent="0.25">
      <c r="B356" t="s">
        <v>256</v>
      </c>
      <c r="C356" t="s">
        <v>109</v>
      </c>
      <c r="D356" s="3">
        <v>2</v>
      </c>
      <c r="E356" s="3">
        <v>1</v>
      </c>
      <c r="F356" s="3">
        <v>0</v>
      </c>
      <c r="G356" s="3">
        <v>10</v>
      </c>
      <c r="H356" s="3">
        <v>5</v>
      </c>
      <c r="I356" s="3">
        <v>1</v>
      </c>
      <c r="J356" s="3">
        <v>3</v>
      </c>
      <c r="K356" s="3">
        <v>2</v>
      </c>
      <c r="L356" s="3">
        <v>3</v>
      </c>
      <c r="M356" s="3">
        <v>3</v>
      </c>
      <c r="N356" s="3">
        <v>1</v>
      </c>
      <c r="O356" s="3">
        <v>2</v>
      </c>
      <c r="P356" s="3">
        <v>2</v>
      </c>
      <c r="Q356" s="3">
        <v>5</v>
      </c>
      <c r="R356" s="3">
        <v>0</v>
      </c>
      <c r="T356">
        <f>SUM(Table1[[#This Row],[DTP Received]:[LPO/ LOA/ SOA Issue Date]])</f>
        <v>40</v>
      </c>
    </row>
    <row r="357" spans="2:20" x14ac:dyDescent="0.25">
      <c r="B357" t="s">
        <v>824</v>
      </c>
      <c r="C357" t="s">
        <v>825</v>
      </c>
      <c r="D357" s="3">
        <v>2</v>
      </c>
      <c r="E357" s="3">
        <v>1</v>
      </c>
      <c r="F357" s="3">
        <v>0</v>
      </c>
      <c r="G357" s="3">
        <v>5</v>
      </c>
      <c r="H357" s="3">
        <v>3</v>
      </c>
      <c r="I357" s="3">
        <v>1</v>
      </c>
      <c r="J357" s="3">
        <v>3</v>
      </c>
      <c r="K357" s="3">
        <v>2</v>
      </c>
      <c r="L357" s="3">
        <v>3</v>
      </c>
      <c r="M357" s="3">
        <v>1</v>
      </c>
      <c r="N357" s="3">
        <v>1</v>
      </c>
      <c r="O357" s="3">
        <v>2</v>
      </c>
      <c r="P357" s="3">
        <v>2</v>
      </c>
      <c r="Q357" s="3">
        <v>5</v>
      </c>
      <c r="R357" s="3">
        <v>0</v>
      </c>
      <c r="T357">
        <f>SUM(Table1[[#This Row],[DTP Received]:[LPO/ LOA/ SOA Issue Date]])</f>
        <v>31</v>
      </c>
    </row>
    <row r="358" spans="2:20" x14ac:dyDescent="0.25">
      <c r="B358" t="s">
        <v>222</v>
      </c>
      <c r="C358" t="s">
        <v>335</v>
      </c>
      <c r="D358" s="3">
        <v>2</v>
      </c>
      <c r="E358" s="3">
        <v>1</v>
      </c>
      <c r="F358" s="3">
        <v>0</v>
      </c>
      <c r="G358" s="3">
        <v>5</v>
      </c>
      <c r="H358" s="3">
        <v>5</v>
      </c>
      <c r="I358" s="3">
        <v>1</v>
      </c>
      <c r="J358" s="3">
        <v>3</v>
      </c>
      <c r="K358" s="3">
        <v>2</v>
      </c>
      <c r="L358" s="3">
        <v>7</v>
      </c>
      <c r="M358" s="3">
        <v>3</v>
      </c>
      <c r="N358" s="3">
        <v>1</v>
      </c>
      <c r="O358" s="3">
        <v>2</v>
      </c>
      <c r="P358" s="3">
        <v>2</v>
      </c>
      <c r="Q358" s="3">
        <v>5</v>
      </c>
      <c r="R358" s="3">
        <v>0</v>
      </c>
      <c r="T358">
        <f>SUM(Table1[[#This Row],[DTP Received]:[LPO/ LOA/ SOA Issue Date]])</f>
        <v>39</v>
      </c>
    </row>
    <row r="359" spans="2:20" x14ac:dyDescent="0.25">
      <c r="B359" t="s">
        <v>826</v>
      </c>
      <c r="C359" t="s">
        <v>371</v>
      </c>
      <c r="D359" s="3">
        <v>2</v>
      </c>
      <c r="E359" s="3">
        <v>1</v>
      </c>
      <c r="F359" s="3">
        <v>0</v>
      </c>
      <c r="G359" s="3">
        <v>5</v>
      </c>
      <c r="H359" s="3">
        <v>5</v>
      </c>
      <c r="I359" s="3">
        <v>1</v>
      </c>
      <c r="J359" s="3">
        <v>3</v>
      </c>
      <c r="K359" s="3">
        <v>2</v>
      </c>
      <c r="L359" s="3">
        <v>7</v>
      </c>
      <c r="M359" s="3">
        <v>3</v>
      </c>
      <c r="N359" s="3">
        <v>1</v>
      </c>
      <c r="O359" s="3">
        <v>2</v>
      </c>
      <c r="P359" s="3">
        <v>2</v>
      </c>
      <c r="Q359" s="3">
        <v>5</v>
      </c>
      <c r="R359" s="3">
        <v>0</v>
      </c>
      <c r="T359">
        <f>SUM(Table1[[#This Row],[DTP Received]:[LPO/ LOA/ SOA Issue Date]])</f>
        <v>39</v>
      </c>
    </row>
    <row r="360" spans="2:20" x14ac:dyDescent="0.25">
      <c r="B360" t="s">
        <v>827</v>
      </c>
      <c r="C360" t="s">
        <v>371</v>
      </c>
      <c r="D360" s="3">
        <v>2</v>
      </c>
      <c r="E360" s="3">
        <v>1</v>
      </c>
      <c r="F360" s="3">
        <v>0</v>
      </c>
      <c r="G360" s="3">
        <v>5</v>
      </c>
      <c r="H360" s="3">
        <v>5</v>
      </c>
      <c r="I360" s="3">
        <v>1</v>
      </c>
      <c r="J360" s="3">
        <v>3</v>
      </c>
      <c r="K360" s="3">
        <v>2</v>
      </c>
      <c r="L360" s="3">
        <v>7</v>
      </c>
      <c r="M360" s="3">
        <v>3</v>
      </c>
      <c r="N360" s="3">
        <v>1</v>
      </c>
      <c r="O360" s="3">
        <v>2</v>
      </c>
      <c r="P360" s="3">
        <v>2</v>
      </c>
      <c r="Q360" s="3">
        <v>5</v>
      </c>
      <c r="R360" s="3">
        <v>0</v>
      </c>
      <c r="T360">
        <f>SUM(Table1[[#This Row],[DTP Received]:[LPO/ LOA/ SOA Issue Date]])</f>
        <v>39</v>
      </c>
    </row>
    <row r="361" spans="2:20" x14ac:dyDescent="0.25">
      <c r="B361" t="s">
        <v>828</v>
      </c>
      <c r="C361" t="s">
        <v>371</v>
      </c>
      <c r="D361" s="3">
        <v>2</v>
      </c>
      <c r="E361" s="3">
        <v>1</v>
      </c>
      <c r="F361" s="3">
        <v>0</v>
      </c>
      <c r="G361" s="3">
        <v>5</v>
      </c>
      <c r="H361" s="3">
        <v>5</v>
      </c>
      <c r="I361" s="3">
        <v>1</v>
      </c>
      <c r="J361" s="3">
        <v>3</v>
      </c>
      <c r="K361" s="3">
        <v>2</v>
      </c>
      <c r="L361" s="3">
        <v>7</v>
      </c>
      <c r="M361" s="3">
        <v>3</v>
      </c>
      <c r="N361" s="3">
        <v>1</v>
      </c>
      <c r="O361" s="3">
        <v>2</v>
      </c>
      <c r="P361" s="3">
        <v>2</v>
      </c>
      <c r="Q361" s="3">
        <v>5</v>
      </c>
      <c r="R361" s="3">
        <v>0</v>
      </c>
      <c r="T361">
        <f>SUM(Table1[[#This Row],[DTP Received]:[LPO/ LOA/ SOA Issue Date]])</f>
        <v>39</v>
      </c>
    </row>
    <row r="362" spans="2:20" x14ac:dyDescent="0.25">
      <c r="B362" t="s">
        <v>829</v>
      </c>
      <c r="C362" t="s">
        <v>371</v>
      </c>
      <c r="D362" s="3">
        <v>2</v>
      </c>
      <c r="E362" s="3">
        <v>1</v>
      </c>
      <c r="F362" s="3">
        <v>0</v>
      </c>
      <c r="G362" s="3">
        <v>5</v>
      </c>
      <c r="H362" s="3">
        <v>5</v>
      </c>
      <c r="I362" s="3">
        <v>1</v>
      </c>
      <c r="J362" s="3">
        <v>3</v>
      </c>
      <c r="K362" s="3">
        <v>2</v>
      </c>
      <c r="L362" s="3">
        <v>7</v>
      </c>
      <c r="M362" s="3">
        <v>3</v>
      </c>
      <c r="N362" s="3">
        <v>1</v>
      </c>
      <c r="O362" s="3">
        <v>2</v>
      </c>
      <c r="P362" s="3">
        <v>2</v>
      </c>
      <c r="Q362" s="3">
        <v>5</v>
      </c>
      <c r="R362" s="3">
        <v>0</v>
      </c>
      <c r="T362">
        <f>SUM(Table1[[#This Row],[DTP Received]:[LPO/ LOA/ SOA Issue Date]])</f>
        <v>39</v>
      </c>
    </row>
    <row r="363" spans="2:20" x14ac:dyDescent="0.25">
      <c r="B363" t="s">
        <v>247</v>
      </c>
      <c r="C363" t="s">
        <v>358</v>
      </c>
      <c r="D363" s="3">
        <v>2</v>
      </c>
      <c r="E363" s="3">
        <v>1</v>
      </c>
      <c r="F363" s="3">
        <v>0</v>
      </c>
      <c r="G363" s="3">
        <v>10</v>
      </c>
      <c r="H363" s="3">
        <v>5</v>
      </c>
      <c r="I363" s="3">
        <v>1</v>
      </c>
      <c r="J363" s="3">
        <v>3</v>
      </c>
      <c r="K363" s="3">
        <v>2</v>
      </c>
      <c r="L363" s="3">
        <v>3</v>
      </c>
      <c r="M363" s="3">
        <v>3</v>
      </c>
      <c r="N363" s="3">
        <v>1</v>
      </c>
      <c r="O363" s="3">
        <v>2</v>
      </c>
      <c r="P363" s="3">
        <v>2</v>
      </c>
      <c r="Q363" s="3">
        <v>5</v>
      </c>
      <c r="R363" s="3">
        <v>0</v>
      </c>
      <c r="T363">
        <f>SUM(Table1[[#This Row],[DTP Received]:[LPO/ LOA/ SOA Issue Date]])</f>
        <v>40</v>
      </c>
    </row>
    <row r="364" spans="2:20" x14ac:dyDescent="0.25">
      <c r="B364" t="s">
        <v>223</v>
      </c>
      <c r="C364" t="s">
        <v>336</v>
      </c>
      <c r="D364" s="3">
        <v>2</v>
      </c>
      <c r="E364" s="3">
        <v>1</v>
      </c>
      <c r="F364" s="3">
        <v>0</v>
      </c>
      <c r="G364" s="3">
        <v>7</v>
      </c>
      <c r="H364" s="3">
        <v>5</v>
      </c>
      <c r="I364" s="3">
        <v>1</v>
      </c>
      <c r="J364" s="3">
        <v>3</v>
      </c>
      <c r="K364" s="3">
        <v>2</v>
      </c>
      <c r="L364" s="3">
        <v>3</v>
      </c>
      <c r="M364" s="3">
        <v>3</v>
      </c>
      <c r="N364" s="3">
        <v>1</v>
      </c>
      <c r="O364" s="3">
        <v>2</v>
      </c>
      <c r="P364" s="3">
        <v>2</v>
      </c>
      <c r="Q364" s="3">
        <v>5</v>
      </c>
      <c r="R364" s="3">
        <v>0</v>
      </c>
      <c r="T364">
        <f>SUM(Table1[[#This Row],[DTP Received]:[LPO/ LOA/ SOA Issue Date]])</f>
        <v>37</v>
      </c>
    </row>
    <row r="365" spans="2:20" x14ac:dyDescent="0.25">
      <c r="B365" t="s">
        <v>830</v>
      </c>
      <c r="C365" t="s">
        <v>371</v>
      </c>
      <c r="D365" s="3">
        <v>2</v>
      </c>
      <c r="E365" s="3">
        <v>1</v>
      </c>
      <c r="F365" s="3">
        <v>0</v>
      </c>
      <c r="G365" s="3">
        <v>5</v>
      </c>
      <c r="H365" s="3">
        <v>5</v>
      </c>
      <c r="I365" s="3">
        <v>1</v>
      </c>
      <c r="J365" s="3">
        <v>3</v>
      </c>
      <c r="K365" s="3">
        <v>2</v>
      </c>
      <c r="L365" s="3">
        <v>7</v>
      </c>
      <c r="M365" s="3">
        <v>3</v>
      </c>
      <c r="N365" s="3">
        <v>1</v>
      </c>
      <c r="O365" s="3">
        <v>2</v>
      </c>
      <c r="P365" s="3">
        <v>2</v>
      </c>
      <c r="Q365" s="3">
        <v>5</v>
      </c>
      <c r="R365" s="3">
        <v>0</v>
      </c>
      <c r="T365">
        <f>SUM(Table1[[#This Row],[DTP Received]:[LPO/ LOA/ SOA Issue Date]])</f>
        <v>39</v>
      </c>
    </row>
    <row r="366" spans="2:20" x14ac:dyDescent="0.25">
      <c r="B366" t="s">
        <v>831</v>
      </c>
      <c r="C366" t="s">
        <v>371</v>
      </c>
      <c r="D366" s="3">
        <v>2</v>
      </c>
      <c r="E366" s="3">
        <v>1</v>
      </c>
      <c r="F366" s="3">
        <v>0</v>
      </c>
      <c r="G366" s="3">
        <v>5</v>
      </c>
      <c r="H366" s="3">
        <v>5</v>
      </c>
      <c r="I366" s="3">
        <v>1</v>
      </c>
      <c r="J366" s="3">
        <v>3</v>
      </c>
      <c r="K366" s="3">
        <v>2</v>
      </c>
      <c r="L366" s="3">
        <v>7</v>
      </c>
      <c r="M366" s="3">
        <v>3</v>
      </c>
      <c r="N366" s="3">
        <v>1</v>
      </c>
      <c r="O366" s="3">
        <v>2</v>
      </c>
      <c r="P366" s="3">
        <v>2</v>
      </c>
      <c r="Q366" s="3">
        <v>5</v>
      </c>
      <c r="R366" s="3">
        <v>0</v>
      </c>
      <c r="T366">
        <f>SUM(Table1[[#This Row],[DTP Received]:[LPO/ LOA/ SOA Issue Date]])</f>
        <v>39</v>
      </c>
    </row>
    <row r="367" spans="2:20" x14ac:dyDescent="0.25">
      <c r="B367" t="s">
        <v>832</v>
      </c>
      <c r="C367" t="s">
        <v>371</v>
      </c>
      <c r="D367" s="3">
        <v>2</v>
      </c>
      <c r="E367" s="3">
        <v>1</v>
      </c>
      <c r="F367" s="3">
        <v>0</v>
      </c>
      <c r="G367" s="3">
        <v>5</v>
      </c>
      <c r="H367" s="3">
        <v>5</v>
      </c>
      <c r="I367" s="3">
        <v>1</v>
      </c>
      <c r="J367" s="3">
        <v>3</v>
      </c>
      <c r="K367" s="3">
        <v>2</v>
      </c>
      <c r="L367" s="3">
        <v>7</v>
      </c>
      <c r="M367" s="3">
        <v>3</v>
      </c>
      <c r="N367" s="3">
        <v>1</v>
      </c>
      <c r="O367" s="3">
        <v>2</v>
      </c>
      <c r="P367" s="3">
        <v>2</v>
      </c>
      <c r="Q367" s="3">
        <v>5</v>
      </c>
      <c r="R367" s="3">
        <v>0</v>
      </c>
      <c r="T367">
        <f>SUM(Table1[[#This Row],[DTP Received]:[LPO/ LOA/ SOA Issue Date]])</f>
        <v>39</v>
      </c>
    </row>
    <row r="368" spans="2:20" x14ac:dyDescent="0.25">
      <c r="B368" t="s">
        <v>833</v>
      </c>
      <c r="C368" t="s">
        <v>371</v>
      </c>
      <c r="D368" s="3">
        <v>2</v>
      </c>
      <c r="E368" s="3">
        <v>1</v>
      </c>
      <c r="F368" s="3">
        <v>0</v>
      </c>
      <c r="G368" s="3">
        <v>5</v>
      </c>
      <c r="H368" s="3">
        <v>5</v>
      </c>
      <c r="I368" s="3">
        <v>1</v>
      </c>
      <c r="J368" s="3">
        <v>3</v>
      </c>
      <c r="K368" s="3">
        <v>2</v>
      </c>
      <c r="L368" s="3">
        <v>7</v>
      </c>
      <c r="M368" s="3">
        <v>3</v>
      </c>
      <c r="N368" s="3">
        <v>1</v>
      </c>
      <c r="O368" s="3">
        <v>2</v>
      </c>
      <c r="P368" s="3">
        <v>2</v>
      </c>
      <c r="Q368" s="3">
        <v>5</v>
      </c>
      <c r="R368" s="3">
        <v>0</v>
      </c>
      <c r="T368">
        <f>SUM(Table1[[#This Row],[DTP Received]:[LPO/ LOA/ SOA Issue Date]])</f>
        <v>39</v>
      </c>
    </row>
    <row r="369" spans="2:20" x14ac:dyDescent="0.25">
      <c r="B369" t="s">
        <v>834</v>
      </c>
      <c r="C369" t="s">
        <v>371</v>
      </c>
      <c r="D369" s="3">
        <v>2</v>
      </c>
      <c r="E369" s="3">
        <v>1</v>
      </c>
      <c r="F369" s="3">
        <v>0</v>
      </c>
      <c r="G369" s="3">
        <v>5</v>
      </c>
      <c r="H369" s="3">
        <v>5</v>
      </c>
      <c r="I369" s="3">
        <v>1</v>
      </c>
      <c r="J369" s="3">
        <v>3</v>
      </c>
      <c r="K369" s="3">
        <v>2</v>
      </c>
      <c r="L369" s="3">
        <v>7</v>
      </c>
      <c r="M369" s="3">
        <v>3</v>
      </c>
      <c r="N369" s="3">
        <v>1</v>
      </c>
      <c r="O369" s="3">
        <v>2</v>
      </c>
      <c r="P369" s="3">
        <v>2</v>
      </c>
      <c r="Q369" s="3">
        <v>5</v>
      </c>
      <c r="R369" s="3">
        <v>0</v>
      </c>
      <c r="T369">
        <f>SUM(Table1[[#This Row],[DTP Received]:[LPO/ LOA/ SOA Issue Date]])</f>
        <v>39</v>
      </c>
    </row>
    <row r="370" spans="2:20" x14ac:dyDescent="0.25">
      <c r="B370" t="s">
        <v>835</v>
      </c>
      <c r="C370" t="s">
        <v>836</v>
      </c>
      <c r="D370" s="3">
        <v>2</v>
      </c>
      <c r="E370" s="3">
        <v>1</v>
      </c>
      <c r="F370" s="3">
        <v>0</v>
      </c>
      <c r="G370" s="3">
        <v>14</v>
      </c>
      <c r="H370" s="3">
        <v>10</v>
      </c>
      <c r="I370" s="3">
        <v>1</v>
      </c>
      <c r="J370" s="3">
        <v>3</v>
      </c>
      <c r="K370" s="3">
        <v>2</v>
      </c>
      <c r="L370" s="3">
        <v>5</v>
      </c>
      <c r="M370" s="3">
        <v>5</v>
      </c>
      <c r="N370" s="3">
        <v>1</v>
      </c>
      <c r="O370" s="3">
        <v>2</v>
      </c>
      <c r="P370" s="3">
        <v>2</v>
      </c>
      <c r="Q370" s="3">
        <v>5</v>
      </c>
      <c r="R370" s="3">
        <v>0</v>
      </c>
      <c r="T370">
        <f>SUM(Table1[[#This Row],[DTP Received]:[LPO/ LOA/ SOA Issue Date]])</f>
        <v>53</v>
      </c>
    </row>
    <row r="371" spans="2:20" x14ac:dyDescent="0.25">
      <c r="B371" t="s">
        <v>837</v>
      </c>
      <c r="C371" t="s">
        <v>838</v>
      </c>
      <c r="D371" s="3">
        <v>2</v>
      </c>
      <c r="E371" s="3">
        <v>1</v>
      </c>
      <c r="F371" s="3">
        <v>0</v>
      </c>
      <c r="G371" s="3">
        <v>14</v>
      </c>
      <c r="H371" s="3">
        <v>10</v>
      </c>
      <c r="I371" s="3">
        <v>1</v>
      </c>
      <c r="J371" s="3">
        <v>3</v>
      </c>
      <c r="K371" s="3">
        <v>2</v>
      </c>
      <c r="L371" s="3">
        <v>5</v>
      </c>
      <c r="M371" s="3">
        <v>5</v>
      </c>
      <c r="N371" s="3">
        <v>1</v>
      </c>
      <c r="O371" s="3">
        <v>2</v>
      </c>
      <c r="P371" s="3">
        <v>2</v>
      </c>
      <c r="Q371" s="3">
        <v>5</v>
      </c>
      <c r="R371" s="3">
        <v>0</v>
      </c>
      <c r="T371">
        <f>SUM(Table1[[#This Row],[DTP Received]:[LPO/ LOA/ SOA Issue Date]])</f>
        <v>53</v>
      </c>
    </row>
    <row r="372" spans="2:20" x14ac:dyDescent="0.25">
      <c r="B372" t="s">
        <v>839</v>
      </c>
      <c r="C372" t="s">
        <v>840</v>
      </c>
      <c r="D372" s="3">
        <v>2</v>
      </c>
      <c r="E372" s="3">
        <v>1</v>
      </c>
      <c r="F372" s="3">
        <v>0</v>
      </c>
      <c r="G372" s="3">
        <v>5</v>
      </c>
      <c r="H372" s="3">
        <v>5</v>
      </c>
      <c r="I372" s="3">
        <v>1</v>
      </c>
      <c r="J372" s="3">
        <v>3</v>
      </c>
      <c r="K372" s="3">
        <v>2</v>
      </c>
      <c r="L372" s="3">
        <v>7</v>
      </c>
      <c r="M372" s="3">
        <v>3</v>
      </c>
      <c r="N372" s="3">
        <v>1</v>
      </c>
      <c r="O372" s="3">
        <v>2</v>
      </c>
      <c r="P372" s="3">
        <v>2</v>
      </c>
      <c r="Q372" s="3">
        <v>5</v>
      </c>
      <c r="R372" s="3">
        <v>0</v>
      </c>
      <c r="T372">
        <f>SUM(Table1[[#This Row],[DTP Received]:[LPO/ LOA/ SOA Issue Date]])</f>
        <v>39</v>
      </c>
    </row>
    <row r="373" spans="2:20" x14ac:dyDescent="0.25">
      <c r="B373" t="s">
        <v>841</v>
      </c>
      <c r="C373" t="s">
        <v>842</v>
      </c>
      <c r="D373" s="3">
        <v>2</v>
      </c>
      <c r="E373" s="3">
        <v>1</v>
      </c>
      <c r="F373" s="3">
        <v>0</v>
      </c>
      <c r="G373" s="3">
        <v>5</v>
      </c>
      <c r="H373" s="3">
        <v>5</v>
      </c>
      <c r="I373" s="3">
        <v>1</v>
      </c>
      <c r="J373" s="3">
        <v>3</v>
      </c>
      <c r="K373" s="3">
        <v>2</v>
      </c>
      <c r="L373" s="3">
        <v>7</v>
      </c>
      <c r="M373" s="3">
        <v>3</v>
      </c>
      <c r="N373" s="3">
        <v>1</v>
      </c>
      <c r="O373" s="3">
        <v>2</v>
      </c>
      <c r="P373" s="3">
        <v>2</v>
      </c>
      <c r="Q373" s="3">
        <v>5</v>
      </c>
      <c r="R373" s="3">
        <v>0</v>
      </c>
      <c r="T373">
        <f>SUM(Table1[[#This Row],[DTP Received]:[LPO/ LOA/ SOA Issue Date]])</f>
        <v>39</v>
      </c>
    </row>
    <row r="374" spans="2:20" x14ac:dyDescent="0.25">
      <c r="B374" t="s">
        <v>843</v>
      </c>
      <c r="C374" t="s">
        <v>844</v>
      </c>
      <c r="D374" s="3">
        <v>2</v>
      </c>
      <c r="E374" s="3">
        <v>1</v>
      </c>
      <c r="F374" s="3">
        <v>0</v>
      </c>
      <c r="G374" s="3">
        <v>5</v>
      </c>
      <c r="H374" s="3">
        <v>5</v>
      </c>
      <c r="I374" s="3">
        <v>1</v>
      </c>
      <c r="J374" s="3">
        <v>3</v>
      </c>
      <c r="K374" s="3">
        <v>2</v>
      </c>
      <c r="L374" s="3">
        <v>7</v>
      </c>
      <c r="M374" s="3">
        <v>3</v>
      </c>
      <c r="N374" s="3">
        <v>1</v>
      </c>
      <c r="O374" s="3">
        <v>2</v>
      </c>
      <c r="P374" s="3">
        <v>2</v>
      </c>
      <c r="Q374" s="3">
        <v>5</v>
      </c>
      <c r="R374" s="3">
        <v>0</v>
      </c>
      <c r="T374">
        <f>SUM(Table1[[#This Row],[DTP Received]:[LPO/ LOA/ SOA Issue Date]])</f>
        <v>39</v>
      </c>
    </row>
    <row r="375" spans="2:20" x14ac:dyDescent="0.25">
      <c r="B375" t="s">
        <v>226</v>
      </c>
      <c r="C375" t="s">
        <v>341</v>
      </c>
      <c r="D375" s="3">
        <v>2</v>
      </c>
      <c r="E375" s="3">
        <v>1</v>
      </c>
      <c r="F375" s="3">
        <v>0</v>
      </c>
      <c r="G375" s="3">
        <v>5</v>
      </c>
      <c r="H375" s="3">
        <v>5</v>
      </c>
      <c r="I375" s="3">
        <v>1</v>
      </c>
      <c r="J375" s="3">
        <v>3</v>
      </c>
      <c r="K375" s="3">
        <v>2</v>
      </c>
      <c r="L375" s="3">
        <v>7</v>
      </c>
      <c r="M375" s="3">
        <v>3</v>
      </c>
      <c r="N375" s="3">
        <v>1</v>
      </c>
      <c r="O375" s="3">
        <v>2</v>
      </c>
      <c r="P375" s="3">
        <v>2</v>
      </c>
      <c r="Q375" s="3">
        <v>5</v>
      </c>
      <c r="R375" s="3">
        <v>0</v>
      </c>
      <c r="T375">
        <f>SUM(Table1[[#This Row],[DTP Received]:[LPO/ LOA/ SOA Issue Date]])</f>
        <v>39</v>
      </c>
    </row>
    <row r="376" spans="2:20" x14ac:dyDescent="0.25">
      <c r="B376" t="s">
        <v>845</v>
      </c>
      <c r="C376" t="s">
        <v>846</v>
      </c>
      <c r="D376" s="3">
        <v>2</v>
      </c>
      <c r="E376" s="3">
        <v>1</v>
      </c>
      <c r="F376" s="3">
        <v>0</v>
      </c>
      <c r="G376" s="3">
        <v>5</v>
      </c>
      <c r="H376" s="3">
        <v>2</v>
      </c>
      <c r="I376" s="3">
        <v>1</v>
      </c>
      <c r="J376" s="3">
        <v>3</v>
      </c>
      <c r="K376" s="3">
        <v>2</v>
      </c>
      <c r="L376" s="3">
        <v>0</v>
      </c>
      <c r="M376" s="3">
        <v>2</v>
      </c>
      <c r="N376" s="3">
        <v>1</v>
      </c>
      <c r="O376" s="3">
        <v>2</v>
      </c>
      <c r="P376" s="3">
        <v>2</v>
      </c>
      <c r="Q376" s="3">
        <v>5</v>
      </c>
      <c r="R376" s="3">
        <v>0</v>
      </c>
      <c r="T376">
        <f>SUM(Table1[[#This Row],[DTP Received]:[LPO/ LOA/ SOA Issue Date]])</f>
        <v>28</v>
      </c>
    </row>
    <row r="377" spans="2:20" x14ac:dyDescent="0.25">
      <c r="B377" t="s">
        <v>847</v>
      </c>
      <c r="C377" t="s">
        <v>848</v>
      </c>
      <c r="D377" s="3">
        <v>2</v>
      </c>
      <c r="E377" s="3">
        <v>1</v>
      </c>
      <c r="F377" s="3">
        <v>0</v>
      </c>
      <c r="G377" s="3">
        <v>5</v>
      </c>
      <c r="H377" s="3">
        <v>5</v>
      </c>
      <c r="I377" s="3">
        <v>1</v>
      </c>
      <c r="J377" s="3">
        <v>3</v>
      </c>
      <c r="K377" s="3">
        <v>2</v>
      </c>
      <c r="L377" s="3">
        <v>7</v>
      </c>
      <c r="M377" s="3">
        <v>3</v>
      </c>
      <c r="N377" s="3">
        <v>1</v>
      </c>
      <c r="O377" s="3">
        <v>2</v>
      </c>
      <c r="P377" s="3">
        <v>2</v>
      </c>
      <c r="Q377" s="3">
        <v>5</v>
      </c>
      <c r="R377" s="3">
        <v>0</v>
      </c>
      <c r="T377">
        <f>SUM(Table1[[#This Row],[DTP Received]:[LPO/ LOA/ SOA Issue Date]])</f>
        <v>39</v>
      </c>
    </row>
    <row r="378" spans="2:20" x14ac:dyDescent="0.25">
      <c r="B378" t="s">
        <v>225</v>
      </c>
      <c r="C378" t="s">
        <v>338</v>
      </c>
      <c r="D378" s="3">
        <v>2</v>
      </c>
      <c r="E378" s="3">
        <v>1</v>
      </c>
      <c r="F378" s="3">
        <v>0</v>
      </c>
      <c r="G378" s="3">
        <v>5</v>
      </c>
      <c r="H378" s="3">
        <v>5</v>
      </c>
      <c r="I378" s="3">
        <v>1</v>
      </c>
      <c r="J378" s="3">
        <v>3</v>
      </c>
      <c r="K378" s="3">
        <v>2</v>
      </c>
      <c r="L378" s="3">
        <v>7</v>
      </c>
      <c r="M378" s="3">
        <v>3</v>
      </c>
      <c r="N378" s="3">
        <v>1</v>
      </c>
      <c r="O378" s="3">
        <v>2</v>
      </c>
      <c r="P378" s="3">
        <v>2</v>
      </c>
      <c r="Q378" s="3">
        <v>5</v>
      </c>
      <c r="R378" s="3">
        <v>0</v>
      </c>
      <c r="T378">
        <f>SUM(Table1[[#This Row],[DTP Received]:[LPO/ LOA/ SOA Issue Date]])</f>
        <v>39</v>
      </c>
    </row>
    <row r="379" spans="2:20" x14ac:dyDescent="0.25">
      <c r="B379" t="s">
        <v>175</v>
      </c>
      <c r="C379" t="s">
        <v>314</v>
      </c>
      <c r="D379" s="3">
        <v>2</v>
      </c>
      <c r="E379" s="3">
        <v>1</v>
      </c>
      <c r="F379" s="3">
        <v>0</v>
      </c>
      <c r="G379" s="3">
        <v>14</v>
      </c>
      <c r="H379" s="3">
        <v>10</v>
      </c>
      <c r="I379" s="3">
        <v>1</v>
      </c>
      <c r="J379" s="3">
        <v>3</v>
      </c>
      <c r="K379" s="3">
        <v>2</v>
      </c>
      <c r="L379" s="3">
        <v>5</v>
      </c>
      <c r="M379" s="3">
        <v>5</v>
      </c>
      <c r="N379" s="3">
        <v>1</v>
      </c>
      <c r="O379" s="3">
        <v>2</v>
      </c>
      <c r="P379" s="3">
        <v>2</v>
      </c>
      <c r="Q379" s="3">
        <v>5</v>
      </c>
      <c r="R379" s="3">
        <v>0</v>
      </c>
      <c r="T379">
        <f>SUM(Table1[[#This Row],[DTP Received]:[LPO/ LOA/ SOA Issue Date]])</f>
        <v>53</v>
      </c>
    </row>
    <row r="380" spans="2:20" x14ac:dyDescent="0.25">
      <c r="B380" t="s">
        <v>849</v>
      </c>
      <c r="C380" t="s">
        <v>371</v>
      </c>
      <c r="D380" s="3">
        <v>2</v>
      </c>
      <c r="E380" s="3">
        <v>1</v>
      </c>
      <c r="F380" s="3">
        <v>0</v>
      </c>
      <c r="G380" s="3">
        <v>5</v>
      </c>
      <c r="H380" s="3">
        <v>5</v>
      </c>
      <c r="I380" s="3">
        <v>1</v>
      </c>
      <c r="J380" s="3">
        <v>3</v>
      </c>
      <c r="K380" s="3">
        <v>2</v>
      </c>
      <c r="L380" s="3">
        <v>7</v>
      </c>
      <c r="M380" s="3">
        <v>3</v>
      </c>
      <c r="N380" s="3">
        <v>1</v>
      </c>
      <c r="O380" s="3">
        <v>2</v>
      </c>
      <c r="P380" s="3">
        <v>2</v>
      </c>
      <c r="Q380" s="3">
        <v>5</v>
      </c>
      <c r="R380" s="3">
        <v>0</v>
      </c>
      <c r="T380">
        <f>SUM(Table1[[#This Row],[DTP Received]:[LPO/ LOA/ SOA Issue Date]])</f>
        <v>39</v>
      </c>
    </row>
    <row r="381" spans="2:20" x14ac:dyDescent="0.25">
      <c r="B381" t="s">
        <v>850</v>
      </c>
      <c r="C381" t="s">
        <v>371</v>
      </c>
      <c r="D381" s="3">
        <v>2</v>
      </c>
      <c r="E381" s="3">
        <v>1</v>
      </c>
      <c r="F381" s="3">
        <v>0</v>
      </c>
      <c r="G381" s="3">
        <v>5</v>
      </c>
      <c r="H381" s="3">
        <v>5</v>
      </c>
      <c r="I381" s="3">
        <v>1</v>
      </c>
      <c r="J381" s="3">
        <v>3</v>
      </c>
      <c r="K381" s="3">
        <v>2</v>
      </c>
      <c r="L381" s="3">
        <v>7</v>
      </c>
      <c r="M381" s="3">
        <v>3</v>
      </c>
      <c r="N381" s="3">
        <v>1</v>
      </c>
      <c r="O381" s="3">
        <v>2</v>
      </c>
      <c r="P381" s="3">
        <v>2</v>
      </c>
      <c r="Q381" s="3">
        <v>5</v>
      </c>
      <c r="R381" s="3">
        <v>0</v>
      </c>
      <c r="T381">
        <f>SUM(Table1[[#This Row],[DTP Received]:[LPO/ LOA/ SOA Issue Date]])</f>
        <v>39</v>
      </c>
    </row>
    <row r="382" spans="2:20" x14ac:dyDescent="0.25">
      <c r="B382" t="s">
        <v>851</v>
      </c>
      <c r="C382" t="s">
        <v>852</v>
      </c>
      <c r="D382" s="3">
        <v>2</v>
      </c>
      <c r="E382" s="3">
        <v>1</v>
      </c>
      <c r="F382" s="3">
        <v>0</v>
      </c>
      <c r="G382" s="3">
        <v>10</v>
      </c>
      <c r="H382" s="3">
        <v>5</v>
      </c>
      <c r="I382" s="3">
        <v>1</v>
      </c>
      <c r="J382" s="3">
        <v>3</v>
      </c>
      <c r="K382" s="3">
        <v>2</v>
      </c>
      <c r="L382" s="3">
        <v>3</v>
      </c>
      <c r="M382" s="3">
        <v>3</v>
      </c>
      <c r="N382" s="3">
        <v>1</v>
      </c>
      <c r="O382" s="3">
        <v>2</v>
      </c>
      <c r="P382" s="3">
        <v>2</v>
      </c>
      <c r="Q382" s="3">
        <v>5</v>
      </c>
      <c r="R382" s="3">
        <v>0</v>
      </c>
      <c r="T382">
        <f>SUM(Table1[[#This Row],[DTP Received]:[LPO/ LOA/ SOA Issue Date]])</f>
        <v>40</v>
      </c>
    </row>
    <row r="383" spans="2:20" x14ac:dyDescent="0.25">
      <c r="B383" t="s">
        <v>853</v>
      </c>
      <c r="C383" t="s">
        <v>854</v>
      </c>
      <c r="D383" s="3">
        <v>2</v>
      </c>
      <c r="E383" s="3">
        <v>1</v>
      </c>
      <c r="F383" s="3">
        <v>0</v>
      </c>
      <c r="G383" s="3">
        <v>5</v>
      </c>
      <c r="H383" s="3">
        <v>5</v>
      </c>
      <c r="I383" s="3">
        <v>1</v>
      </c>
      <c r="J383" s="3">
        <v>3</v>
      </c>
      <c r="K383" s="3">
        <v>2</v>
      </c>
      <c r="L383" s="3">
        <v>7</v>
      </c>
      <c r="M383" s="3">
        <v>3</v>
      </c>
      <c r="N383" s="3">
        <v>1</v>
      </c>
      <c r="O383" s="3">
        <v>2</v>
      </c>
      <c r="P383" s="3">
        <v>2</v>
      </c>
      <c r="Q383" s="3">
        <v>5</v>
      </c>
      <c r="R383" s="3">
        <v>0</v>
      </c>
      <c r="T383">
        <f>SUM(Table1[[#This Row],[DTP Received]:[LPO/ LOA/ SOA Issue Date]])</f>
        <v>39</v>
      </c>
    </row>
    <row r="384" spans="2:20" x14ac:dyDescent="0.25">
      <c r="B384" t="s">
        <v>855</v>
      </c>
      <c r="C384" t="s">
        <v>856</v>
      </c>
      <c r="D384" s="3">
        <v>2</v>
      </c>
      <c r="E384" s="3">
        <v>1</v>
      </c>
      <c r="F384" s="3">
        <v>0</v>
      </c>
      <c r="G384" s="3">
        <v>5</v>
      </c>
      <c r="H384" s="3">
        <v>5</v>
      </c>
      <c r="I384" s="3">
        <v>1</v>
      </c>
      <c r="J384" s="3">
        <v>3</v>
      </c>
      <c r="K384" s="3">
        <v>2</v>
      </c>
      <c r="L384" s="3">
        <v>7</v>
      </c>
      <c r="M384" s="3">
        <v>3</v>
      </c>
      <c r="N384" s="3">
        <v>1</v>
      </c>
      <c r="O384" s="3">
        <v>2</v>
      </c>
      <c r="P384" s="3">
        <v>2</v>
      </c>
      <c r="Q384" s="3">
        <v>5</v>
      </c>
      <c r="R384" s="3">
        <v>0</v>
      </c>
      <c r="T384">
        <f>SUM(Table1[[#This Row],[DTP Received]:[LPO/ LOA/ SOA Issue Date]])</f>
        <v>39</v>
      </c>
    </row>
    <row r="385" spans="2:20" x14ac:dyDescent="0.25">
      <c r="B385" t="s">
        <v>857</v>
      </c>
      <c r="C385" t="s">
        <v>858</v>
      </c>
      <c r="D385" s="3">
        <v>2</v>
      </c>
      <c r="E385" s="3">
        <v>1</v>
      </c>
      <c r="F385" s="3">
        <v>0</v>
      </c>
      <c r="G385" s="3">
        <v>5</v>
      </c>
      <c r="H385" s="3">
        <v>5</v>
      </c>
      <c r="I385" s="3">
        <v>1</v>
      </c>
      <c r="J385" s="3">
        <v>3</v>
      </c>
      <c r="K385" s="3">
        <v>2</v>
      </c>
      <c r="L385" s="3">
        <v>7</v>
      </c>
      <c r="M385" s="3">
        <v>3</v>
      </c>
      <c r="N385" s="3">
        <v>1</v>
      </c>
      <c r="O385" s="3">
        <v>2</v>
      </c>
      <c r="P385" s="3">
        <v>2</v>
      </c>
      <c r="Q385" s="3">
        <v>5</v>
      </c>
      <c r="R385" s="3">
        <v>0</v>
      </c>
      <c r="T385">
        <f>SUM(Table1[[#This Row],[DTP Received]:[LPO/ LOA/ SOA Issue Date]])</f>
        <v>39</v>
      </c>
    </row>
    <row r="386" spans="2:20" x14ac:dyDescent="0.25">
      <c r="B386" t="s">
        <v>859</v>
      </c>
      <c r="C386" t="s">
        <v>860</v>
      </c>
      <c r="D386" s="3">
        <v>2</v>
      </c>
      <c r="E386" s="3">
        <v>1</v>
      </c>
      <c r="F386" s="3">
        <v>0</v>
      </c>
      <c r="G386" s="3">
        <v>5</v>
      </c>
      <c r="H386" s="3">
        <v>5</v>
      </c>
      <c r="I386" s="3">
        <v>1</v>
      </c>
      <c r="J386" s="3">
        <v>3</v>
      </c>
      <c r="K386" s="3">
        <v>2</v>
      </c>
      <c r="L386" s="3">
        <v>7</v>
      </c>
      <c r="M386" s="3">
        <v>3</v>
      </c>
      <c r="N386" s="3">
        <v>1</v>
      </c>
      <c r="O386" s="3">
        <v>2</v>
      </c>
      <c r="P386" s="3">
        <v>2</v>
      </c>
      <c r="Q386" s="3">
        <v>5</v>
      </c>
      <c r="R386" s="3">
        <v>0</v>
      </c>
      <c r="T386">
        <f>SUM(Table1[[#This Row],[DTP Received]:[LPO/ LOA/ SOA Issue Date]])</f>
        <v>39</v>
      </c>
    </row>
    <row r="387" spans="2:20" x14ac:dyDescent="0.25">
      <c r="B387" t="s">
        <v>861</v>
      </c>
      <c r="C387" t="s">
        <v>371</v>
      </c>
      <c r="D387" s="3">
        <v>2</v>
      </c>
      <c r="E387" s="3">
        <v>1</v>
      </c>
      <c r="F387" s="3">
        <v>0</v>
      </c>
      <c r="G387" s="3">
        <v>5</v>
      </c>
      <c r="H387" s="3">
        <v>5</v>
      </c>
      <c r="I387" s="3">
        <v>1</v>
      </c>
      <c r="J387" s="3">
        <v>3</v>
      </c>
      <c r="K387" s="3">
        <v>2</v>
      </c>
      <c r="L387" s="3">
        <v>7</v>
      </c>
      <c r="M387" s="3">
        <v>3</v>
      </c>
      <c r="N387" s="3">
        <v>1</v>
      </c>
      <c r="O387" s="3">
        <v>2</v>
      </c>
      <c r="P387" s="3">
        <v>2</v>
      </c>
      <c r="Q387" s="3">
        <v>5</v>
      </c>
      <c r="R387" s="3">
        <v>0</v>
      </c>
      <c r="T387">
        <f>SUM(Table1[[#This Row],[DTP Received]:[LPO/ LOA/ SOA Issue Date]])</f>
        <v>39</v>
      </c>
    </row>
    <row r="388" spans="2:20" x14ac:dyDescent="0.25">
      <c r="B388" t="s">
        <v>862</v>
      </c>
      <c r="C388" t="s">
        <v>371</v>
      </c>
      <c r="D388" s="3">
        <v>2</v>
      </c>
      <c r="E388" s="3">
        <v>1</v>
      </c>
      <c r="F388" s="3">
        <v>0</v>
      </c>
      <c r="G388" s="3">
        <v>5</v>
      </c>
      <c r="H388" s="3">
        <v>5</v>
      </c>
      <c r="I388" s="3">
        <v>1</v>
      </c>
      <c r="J388" s="3">
        <v>3</v>
      </c>
      <c r="K388" s="3">
        <v>2</v>
      </c>
      <c r="L388" s="3">
        <v>7</v>
      </c>
      <c r="M388" s="3">
        <v>3</v>
      </c>
      <c r="N388" s="3">
        <v>1</v>
      </c>
      <c r="O388" s="3">
        <v>2</v>
      </c>
      <c r="P388" s="3">
        <v>2</v>
      </c>
      <c r="Q388" s="3">
        <v>5</v>
      </c>
      <c r="R388" s="3">
        <v>0</v>
      </c>
      <c r="T388">
        <f>SUM(Table1[[#This Row],[DTP Received]:[LPO/ LOA/ SOA Issue Date]])</f>
        <v>39</v>
      </c>
    </row>
    <row r="389" spans="2:20" x14ac:dyDescent="0.25">
      <c r="B389" t="s">
        <v>863</v>
      </c>
      <c r="C389" t="s">
        <v>371</v>
      </c>
      <c r="D389" s="3">
        <v>2</v>
      </c>
      <c r="E389" s="3">
        <v>1</v>
      </c>
      <c r="F389" s="3">
        <v>0</v>
      </c>
      <c r="G389" s="3">
        <v>5</v>
      </c>
      <c r="H389" s="3">
        <v>5</v>
      </c>
      <c r="I389" s="3">
        <v>1</v>
      </c>
      <c r="J389" s="3">
        <v>3</v>
      </c>
      <c r="K389" s="3">
        <v>2</v>
      </c>
      <c r="L389" s="3">
        <v>7</v>
      </c>
      <c r="M389" s="3">
        <v>3</v>
      </c>
      <c r="N389" s="3">
        <v>1</v>
      </c>
      <c r="O389" s="3">
        <v>2</v>
      </c>
      <c r="P389" s="3">
        <v>2</v>
      </c>
      <c r="Q389" s="3">
        <v>5</v>
      </c>
      <c r="R389" s="3">
        <v>0</v>
      </c>
      <c r="T389">
        <f>SUM(Table1[[#This Row],[DTP Received]:[LPO/ LOA/ SOA Issue Date]])</f>
        <v>39</v>
      </c>
    </row>
    <row r="390" spans="2:20" x14ac:dyDescent="0.25">
      <c r="B390" t="s">
        <v>263</v>
      </c>
      <c r="C390" t="s">
        <v>864</v>
      </c>
      <c r="D390" s="3">
        <v>2</v>
      </c>
      <c r="E390" s="3">
        <v>1</v>
      </c>
      <c r="F390" s="3">
        <v>0</v>
      </c>
      <c r="G390" s="3">
        <v>5</v>
      </c>
      <c r="H390" s="3">
        <v>5</v>
      </c>
      <c r="I390" s="3">
        <v>5</v>
      </c>
      <c r="J390" s="3">
        <v>3</v>
      </c>
      <c r="K390" s="3">
        <v>2</v>
      </c>
      <c r="L390" s="3">
        <v>7</v>
      </c>
      <c r="M390" s="3">
        <v>5</v>
      </c>
      <c r="N390" s="3">
        <v>1</v>
      </c>
      <c r="O390" s="3">
        <v>2</v>
      </c>
      <c r="P390" s="3">
        <v>2</v>
      </c>
      <c r="Q390" s="3">
        <v>5</v>
      </c>
      <c r="R390" s="3">
        <v>0</v>
      </c>
      <c r="T390">
        <f>SUM(Table1[[#This Row],[DTP Received]:[LPO/ LOA/ SOA Issue Date]])</f>
        <v>45</v>
      </c>
    </row>
    <row r="391" spans="2:20" x14ac:dyDescent="0.25">
      <c r="B391" t="s">
        <v>231</v>
      </c>
      <c r="C391" t="s">
        <v>350</v>
      </c>
      <c r="D391" s="3">
        <v>2</v>
      </c>
      <c r="E391" s="3">
        <v>1</v>
      </c>
      <c r="F391" s="3">
        <v>0</v>
      </c>
      <c r="G391" s="3">
        <v>5</v>
      </c>
      <c r="H391" s="3">
        <v>5</v>
      </c>
      <c r="I391" s="3">
        <v>5</v>
      </c>
      <c r="J391" s="3">
        <v>3</v>
      </c>
      <c r="K391" s="3">
        <v>2</v>
      </c>
      <c r="L391" s="3">
        <v>7</v>
      </c>
      <c r="M391" s="3">
        <v>5</v>
      </c>
      <c r="N391" s="3">
        <v>1</v>
      </c>
      <c r="O391" s="3">
        <v>2</v>
      </c>
      <c r="P391" s="3">
        <v>2</v>
      </c>
      <c r="Q391" s="3">
        <v>5</v>
      </c>
      <c r="R391" s="3">
        <v>0</v>
      </c>
      <c r="T391">
        <f>SUM(Table1[[#This Row],[DTP Received]:[LPO/ LOA/ SOA Issue Date]])</f>
        <v>45</v>
      </c>
    </row>
    <row r="392" spans="2:20" x14ac:dyDescent="0.25">
      <c r="B392" t="s">
        <v>241</v>
      </c>
      <c r="C392" t="s">
        <v>352</v>
      </c>
      <c r="D392" s="3">
        <v>2</v>
      </c>
      <c r="E392" s="3">
        <v>1</v>
      </c>
      <c r="F392" s="3">
        <v>0</v>
      </c>
      <c r="G392" s="3">
        <v>5</v>
      </c>
      <c r="H392" s="3">
        <v>5</v>
      </c>
      <c r="I392" s="3">
        <v>5</v>
      </c>
      <c r="J392" s="3">
        <v>3</v>
      </c>
      <c r="K392" s="3">
        <v>2</v>
      </c>
      <c r="L392" s="3">
        <v>7</v>
      </c>
      <c r="M392" s="3">
        <v>5</v>
      </c>
      <c r="N392" s="3">
        <v>1</v>
      </c>
      <c r="O392" s="3">
        <v>2</v>
      </c>
      <c r="P392" s="3">
        <v>2</v>
      </c>
      <c r="Q392" s="3">
        <v>5</v>
      </c>
      <c r="R392" s="3">
        <v>0</v>
      </c>
      <c r="T392">
        <f>SUM(Table1[[#This Row],[DTP Received]:[LPO/ LOA/ SOA Issue Date]])</f>
        <v>45</v>
      </c>
    </row>
    <row r="393" spans="2:20" x14ac:dyDescent="0.25">
      <c r="B393" t="s">
        <v>865</v>
      </c>
      <c r="C393" t="s">
        <v>371</v>
      </c>
      <c r="D393" s="3">
        <v>2</v>
      </c>
      <c r="E393" s="3">
        <v>1</v>
      </c>
      <c r="F393" s="3">
        <v>0</v>
      </c>
      <c r="G393" s="3">
        <v>5</v>
      </c>
      <c r="H393" s="3">
        <v>5</v>
      </c>
      <c r="I393" s="3">
        <v>1</v>
      </c>
      <c r="J393" s="3">
        <v>3</v>
      </c>
      <c r="K393" s="3">
        <v>2</v>
      </c>
      <c r="L393" s="3">
        <v>7</v>
      </c>
      <c r="M393" s="3">
        <v>3</v>
      </c>
      <c r="N393" s="3">
        <v>1</v>
      </c>
      <c r="O393" s="3">
        <v>2</v>
      </c>
      <c r="P393" s="3">
        <v>2</v>
      </c>
      <c r="Q393" s="3">
        <v>5</v>
      </c>
      <c r="R393" s="3">
        <v>0</v>
      </c>
      <c r="T393">
        <f>SUM(Table1[[#This Row],[DTP Received]:[LPO/ LOA/ SOA Issue Date]])</f>
        <v>39</v>
      </c>
    </row>
    <row r="394" spans="2:20" x14ac:dyDescent="0.25">
      <c r="B394" t="s">
        <v>866</v>
      </c>
      <c r="C394" t="s">
        <v>371</v>
      </c>
      <c r="D394" s="3">
        <v>2</v>
      </c>
      <c r="E394" s="3">
        <v>1</v>
      </c>
      <c r="F394" s="3">
        <v>0</v>
      </c>
      <c r="G394" s="3">
        <v>5</v>
      </c>
      <c r="H394" s="3">
        <v>5</v>
      </c>
      <c r="I394" s="3">
        <v>1</v>
      </c>
      <c r="J394" s="3">
        <v>3</v>
      </c>
      <c r="K394" s="3">
        <v>2</v>
      </c>
      <c r="L394" s="3">
        <v>7</v>
      </c>
      <c r="M394" s="3">
        <v>3</v>
      </c>
      <c r="N394" s="3">
        <v>1</v>
      </c>
      <c r="O394" s="3">
        <v>2</v>
      </c>
      <c r="P394" s="3">
        <v>2</v>
      </c>
      <c r="Q394" s="3">
        <v>5</v>
      </c>
      <c r="R394" s="3">
        <v>0</v>
      </c>
      <c r="T394">
        <f>SUM(Table1[[#This Row],[DTP Received]:[LPO/ LOA/ SOA Issue Date]])</f>
        <v>39</v>
      </c>
    </row>
    <row r="395" spans="2:20" x14ac:dyDescent="0.25">
      <c r="B395" t="s">
        <v>867</v>
      </c>
      <c r="C395" t="s">
        <v>371</v>
      </c>
      <c r="D395" s="3">
        <v>2</v>
      </c>
      <c r="E395" s="3">
        <v>1</v>
      </c>
      <c r="F395" s="3">
        <v>0</v>
      </c>
      <c r="G395" s="3">
        <v>5</v>
      </c>
      <c r="H395" s="3">
        <v>5</v>
      </c>
      <c r="I395" s="3">
        <v>1</v>
      </c>
      <c r="J395" s="3">
        <v>3</v>
      </c>
      <c r="K395" s="3">
        <v>2</v>
      </c>
      <c r="L395" s="3">
        <v>7</v>
      </c>
      <c r="M395" s="3">
        <v>3</v>
      </c>
      <c r="N395" s="3">
        <v>1</v>
      </c>
      <c r="O395" s="3">
        <v>2</v>
      </c>
      <c r="P395" s="3">
        <v>2</v>
      </c>
      <c r="Q395" s="3">
        <v>5</v>
      </c>
      <c r="R395" s="3">
        <v>0</v>
      </c>
      <c r="T395">
        <f>SUM(Table1[[#This Row],[DTP Received]:[LPO/ LOA/ SOA Issue Date]])</f>
        <v>39</v>
      </c>
    </row>
    <row r="396" spans="2:20" x14ac:dyDescent="0.25">
      <c r="B396" t="s">
        <v>868</v>
      </c>
      <c r="C396" t="s">
        <v>371</v>
      </c>
      <c r="D396" s="3">
        <v>2</v>
      </c>
      <c r="E396" s="3">
        <v>1</v>
      </c>
      <c r="F396" s="3">
        <v>0</v>
      </c>
      <c r="G396" s="3">
        <v>5</v>
      </c>
      <c r="H396" s="3">
        <v>5</v>
      </c>
      <c r="I396" s="3">
        <v>1</v>
      </c>
      <c r="J396" s="3">
        <v>3</v>
      </c>
      <c r="K396" s="3">
        <v>2</v>
      </c>
      <c r="L396" s="3">
        <v>7</v>
      </c>
      <c r="M396" s="3">
        <v>3</v>
      </c>
      <c r="N396" s="3">
        <v>1</v>
      </c>
      <c r="O396" s="3">
        <v>2</v>
      </c>
      <c r="P396" s="3">
        <v>2</v>
      </c>
      <c r="Q396" s="3">
        <v>5</v>
      </c>
      <c r="R396" s="3">
        <v>0</v>
      </c>
      <c r="T396">
        <f>SUM(Table1[[#This Row],[DTP Received]:[LPO/ LOA/ SOA Issue Date]])</f>
        <v>39</v>
      </c>
    </row>
    <row r="397" spans="2:20" x14ac:dyDescent="0.25">
      <c r="B397" t="s">
        <v>869</v>
      </c>
      <c r="C397" t="s">
        <v>371</v>
      </c>
      <c r="D397" s="3">
        <v>2</v>
      </c>
      <c r="E397" s="3">
        <v>1</v>
      </c>
      <c r="F397" s="3">
        <v>0</v>
      </c>
      <c r="G397" s="3">
        <v>5</v>
      </c>
      <c r="H397" s="3">
        <v>5</v>
      </c>
      <c r="I397" s="3">
        <v>1</v>
      </c>
      <c r="J397" s="3">
        <v>3</v>
      </c>
      <c r="K397" s="3">
        <v>2</v>
      </c>
      <c r="L397" s="3">
        <v>7</v>
      </c>
      <c r="M397" s="3">
        <v>3</v>
      </c>
      <c r="N397" s="3">
        <v>1</v>
      </c>
      <c r="O397" s="3">
        <v>2</v>
      </c>
      <c r="P397" s="3">
        <v>2</v>
      </c>
      <c r="Q397" s="3">
        <v>5</v>
      </c>
      <c r="R397" s="3">
        <v>0</v>
      </c>
      <c r="T397">
        <f>SUM(Table1[[#This Row],[DTP Received]:[LPO/ LOA/ SOA Issue Date]])</f>
        <v>39</v>
      </c>
    </row>
    <row r="398" spans="2:20" x14ac:dyDescent="0.25">
      <c r="B398" t="s">
        <v>870</v>
      </c>
      <c r="C398" t="s">
        <v>871</v>
      </c>
      <c r="D398" s="3">
        <v>2</v>
      </c>
      <c r="E398" s="3">
        <v>1</v>
      </c>
      <c r="F398" s="3">
        <v>0</v>
      </c>
      <c r="G398" s="3">
        <v>10</v>
      </c>
      <c r="H398" s="3">
        <v>5</v>
      </c>
      <c r="I398" s="3">
        <v>1</v>
      </c>
      <c r="J398" s="3">
        <v>3</v>
      </c>
      <c r="K398" s="3">
        <v>2</v>
      </c>
      <c r="L398" s="3">
        <v>3</v>
      </c>
      <c r="M398" s="3">
        <v>3</v>
      </c>
      <c r="N398" s="3">
        <v>1</v>
      </c>
      <c r="O398" s="3">
        <v>2</v>
      </c>
      <c r="P398" s="3">
        <v>2</v>
      </c>
      <c r="Q398" s="3">
        <v>5</v>
      </c>
      <c r="R398" s="3">
        <v>0</v>
      </c>
      <c r="T398">
        <f>SUM(Table1[[#This Row],[DTP Received]:[LPO/ LOA/ SOA Issue Date]])</f>
        <v>40</v>
      </c>
    </row>
    <row r="399" spans="2:20" x14ac:dyDescent="0.25">
      <c r="B399" t="s">
        <v>872</v>
      </c>
      <c r="C399" t="s">
        <v>873</v>
      </c>
      <c r="D399" s="3">
        <v>2</v>
      </c>
      <c r="E399" s="3">
        <v>1</v>
      </c>
      <c r="F399" s="3">
        <v>0</v>
      </c>
      <c r="G399" s="3">
        <v>10</v>
      </c>
      <c r="H399" s="3">
        <v>5</v>
      </c>
      <c r="I399" s="3">
        <v>1</v>
      </c>
      <c r="J399" s="3">
        <v>3</v>
      </c>
      <c r="K399" s="3">
        <v>2</v>
      </c>
      <c r="L399" s="3">
        <v>3</v>
      </c>
      <c r="M399" s="3">
        <v>3</v>
      </c>
      <c r="N399" s="3">
        <v>1</v>
      </c>
      <c r="O399" s="3">
        <v>2</v>
      </c>
      <c r="P399" s="3">
        <v>2</v>
      </c>
      <c r="Q399" s="3">
        <v>5</v>
      </c>
      <c r="R399" s="3">
        <v>0</v>
      </c>
      <c r="T399">
        <f>SUM(Table1[[#This Row],[DTP Received]:[LPO/ LOA/ SOA Issue Date]])</f>
        <v>40</v>
      </c>
    </row>
    <row r="400" spans="2:20" x14ac:dyDescent="0.25">
      <c r="B400" t="s">
        <v>874</v>
      </c>
      <c r="C400" t="s">
        <v>371</v>
      </c>
      <c r="D400" s="3">
        <v>2</v>
      </c>
      <c r="E400" s="3">
        <v>1</v>
      </c>
      <c r="F400" s="3">
        <v>0</v>
      </c>
      <c r="G400" s="3">
        <v>5</v>
      </c>
      <c r="H400" s="3">
        <v>5</v>
      </c>
      <c r="I400" s="3">
        <v>1</v>
      </c>
      <c r="J400" s="3">
        <v>3</v>
      </c>
      <c r="K400" s="3">
        <v>2</v>
      </c>
      <c r="L400" s="3">
        <v>7</v>
      </c>
      <c r="M400" s="3">
        <v>3</v>
      </c>
      <c r="N400" s="3">
        <v>1</v>
      </c>
      <c r="O400" s="3">
        <v>2</v>
      </c>
      <c r="P400" s="3">
        <v>2</v>
      </c>
      <c r="Q400" s="3">
        <v>5</v>
      </c>
      <c r="R400" s="3">
        <v>0</v>
      </c>
      <c r="T400">
        <f>SUM(Table1[[#This Row],[DTP Received]:[LPO/ LOA/ SOA Issue Date]])</f>
        <v>39</v>
      </c>
    </row>
    <row r="401" spans="2:20" x14ac:dyDescent="0.25">
      <c r="B401" t="s">
        <v>875</v>
      </c>
      <c r="C401" t="s">
        <v>371</v>
      </c>
      <c r="D401" s="3">
        <v>2</v>
      </c>
      <c r="E401" s="3">
        <v>1</v>
      </c>
      <c r="F401" s="3">
        <v>0</v>
      </c>
      <c r="G401" s="3">
        <v>5</v>
      </c>
      <c r="H401" s="3">
        <v>5</v>
      </c>
      <c r="I401" s="3">
        <v>1</v>
      </c>
      <c r="J401" s="3">
        <v>3</v>
      </c>
      <c r="K401" s="3">
        <v>2</v>
      </c>
      <c r="L401" s="3">
        <v>7</v>
      </c>
      <c r="M401" s="3">
        <v>3</v>
      </c>
      <c r="N401" s="3">
        <v>1</v>
      </c>
      <c r="O401" s="3">
        <v>2</v>
      </c>
      <c r="P401" s="3">
        <v>2</v>
      </c>
      <c r="Q401" s="3">
        <v>5</v>
      </c>
      <c r="R401" s="3">
        <v>0</v>
      </c>
      <c r="T401">
        <f>SUM(Table1[[#This Row],[DTP Received]:[LPO/ LOA/ SOA Issue Date]])</f>
        <v>39</v>
      </c>
    </row>
    <row r="402" spans="2:20" x14ac:dyDescent="0.25">
      <c r="B402" t="s">
        <v>876</v>
      </c>
      <c r="C402" t="s">
        <v>371</v>
      </c>
      <c r="D402" s="3">
        <v>2</v>
      </c>
      <c r="E402" s="3">
        <v>1</v>
      </c>
      <c r="F402" s="3">
        <v>0</v>
      </c>
      <c r="G402" s="3">
        <v>5</v>
      </c>
      <c r="H402" s="3">
        <v>5</v>
      </c>
      <c r="I402" s="3">
        <v>1</v>
      </c>
      <c r="J402" s="3">
        <v>3</v>
      </c>
      <c r="K402" s="3">
        <v>2</v>
      </c>
      <c r="L402" s="3">
        <v>7</v>
      </c>
      <c r="M402" s="3">
        <v>3</v>
      </c>
      <c r="N402" s="3">
        <v>1</v>
      </c>
      <c r="O402" s="3">
        <v>2</v>
      </c>
      <c r="P402" s="3">
        <v>2</v>
      </c>
      <c r="Q402" s="3">
        <v>5</v>
      </c>
      <c r="R402" s="3">
        <v>0</v>
      </c>
      <c r="T402">
        <f>SUM(Table1[[#This Row],[DTP Received]:[LPO/ LOA/ SOA Issue Date]])</f>
        <v>39</v>
      </c>
    </row>
    <row r="403" spans="2:20" x14ac:dyDescent="0.25">
      <c r="B403" t="s">
        <v>877</v>
      </c>
      <c r="C403" t="s">
        <v>371</v>
      </c>
      <c r="D403" s="3">
        <v>2</v>
      </c>
      <c r="E403" s="3">
        <v>1</v>
      </c>
      <c r="F403" s="3">
        <v>0</v>
      </c>
      <c r="G403" s="3">
        <v>5</v>
      </c>
      <c r="H403" s="3">
        <v>5</v>
      </c>
      <c r="I403" s="3">
        <v>1</v>
      </c>
      <c r="J403" s="3">
        <v>3</v>
      </c>
      <c r="K403" s="3">
        <v>2</v>
      </c>
      <c r="L403" s="3">
        <v>7</v>
      </c>
      <c r="M403" s="3">
        <v>3</v>
      </c>
      <c r="N403" s="3">
        <v>1</v>
      </c>
      <c r="O403" s="3">
        <v>2</v>
      </c>
      <c r="P403" s="3">
        <v>2</v>
      </c>
      <c r="Q403" s="3">
        <v>5</v>
      </c>
      <c r="R403" s="3">
        <v>0</v>
      </c>
      <c r="T403">
        <f>SUM(Table1[[#This Row],[DTP Received]:[LPO/ LOA/ SOA Issue Date]])</f>
        <v>39</v>
      </c>
    </row>
    <row r="404" spans="2:20" x14ac:dyDescent="0.25">
      <c r="B404" t="s">
        <v>878</v>
      </c>
      <c r="C404" t="s">
        <v>371</v>
      </c>
      <c r="D404" s="3">
        <v>2</v>
      </c>
      <c r="E404" s="3">
        <v>1</v>
      </c>
      <c r="F404" s="3">
        <v>0</v>
      </c>
      <c r="G404" s="3">
        <v>5</v>
      </c>
      <c r="H404" s="3">
        <v>5</v>
      </c>
      <c r="I404" s="3">
        <v>1</v>
      </c>
      <c r="J404" s="3">
        <v>3</v>
      </c>
      <c r="K404" s="3">
        <v>2</v>
      </c>
      <c r="L404" s="3">
        <v>7</v>
      </c>
      <c r="M404" s="3">
        <v>3</v>
      </c>
      <c r="N404" s="3">
        <v>1</v>
      </c>
      <c r="O404" s="3">
        <v>2</v>
      </c>
      <c r="P404" s="3">
        <v>2</v>
      </c>
      <c r="Q404" s="3">
        <v>5</v>
      </c>
      <c r="R404" s="3">
        <v>0</v>
      </c>
      <c r="T404">
        <f>SUM(Table1[[#This Row],[DTP Received]:[LPO/ LOA/ SOA Issue Date]])</f>
        <v>39</v>
      </c>
    </row>
    <row r="405" spans="2:20" x14ac:dyDescent="0.25">
      <c r="B405" t="s">
        <v>234</v>
      </c>
      <c r="C405" t="s">
        <v>351</v>
      </c>
      <c r="D405" s="3">
        <v>2</v>
      </c>
      <c r="E405" s="3">
        <v>1</v>
      </c>
      <c r="F405" s="3">
        <v>0</v>
      </c>
      <c r="G405" s="3">
        <v>14</v>
      </c>
      <c r="H405" s="3">
        <v>10</v>
      </c>
      <c r="I405" s="3">
        <v>1</v>
      </c>
      <c r="J405" s="3">
        <v>3</v>
      </c>
      <c r="K405" s="3">
        <v>2</v>
      </c>
      <c r="L405" s="3">
        <v>5</v>
      </c>
      <c r="M405" s="3">
        <v>5</v>
      </c>
      <c r="N405" s="3">
        <v>1</v>
      </c>
      <c r="O405" s="3">
        <v>2</v>
      </c>
      <c r="P405" s="3">
        <v>2</v>
      </c>
      <c r="Q405" s="3">
        <v>5</v>
      </c>
      <c r="R405" s="3">
        <v>0</v>
      </c>
      <c r="T405">
        <f>SUM(Table1[[#This Row],[DTP Received]:[LPO/ LOA/ SOA Issue Date]])</f>
        <v>53</v>
      </c>
    </row>
    <row r="406" spans="2:20" x14ac:dyDescent="0.25">
      <c r="B406" t="s">
        <v>879</v>
      </c>
      <c r="C406" t="s">
        <v>880</v>
      </c>
      <c r="D406" s="3">
        <v>2</v>
      </c>
      <c r="E406" s="3">
        <v>1</v>
      </c>
      <c r="F406" s="3">
        <v>0</v>
      </c>
      <c r="G406" s="3">
        <v>14</v>
      </c>
      <c r="H406" s="3">
        <v>10</v>
      </c>
      <c r="I406" s="3">
        <v>1</v>
      </c>
      <c r="J406" s="3">
        <v>3</v>
      </c>
      <c r="K406" s="3">
        <v>2</v>
      </c>
      <c r="L406" s="3">
        <v>5</v>
      </c>
      <c r="M406" s="3">
        <v>5</v>
      </c>
      <c r="N406" s="3">
        <v>1</v>
      </c>
      <c r="O406" s="3">
        <v>2</v>
      </c>
      <c r="P406" s="3">
        <v>2</v>
      </c>
      <c r="Q406" s="3">
        <v>5</v>
      </c>
      <c r="R406" s="3">
        <v>0</v>
      </c>
      <c r="T406">
        <f>SUM(Table1[[#This Row],[DTP Received]:[LPO/ LOA/ SOA Issue Date]])</f>
        <v>53</v>
      </c>
    </row>
    <row r="407" spans="2:20" x14ac:dyDescent="0.25">
      <c r="B407" t="s">
        <v>881</v>
      </c>
      <c r="C407" t="s">
        <v>882</v>
      </c>
      <c r="D407" s="3">
        <v>2</v>
      </c>
      <c r="E407" s="3">
        <v>1</v>
      </c>
      <c r="F407" s="3">
        <v>0</v>
      </c>
      <c r="G407" s="3">
        <v>14</v>
      </c>
      <c r="H407" s="3">
        <v>10</v>
      </c>
      <c r="I407" s="3">
        <v>1</v>
      </c>
      <c r="J407" s="3">
        <v>3</v>
      </c>
      <c r="K407" s="3">
        <v>2</v>
      </c>
      <c r="L407" s="3">
        <v>5</v>
      </c>
      <c r="M407" s="3">
        <v>5</v>
      </c>
      <c r="N407" s="3">
        <v>1</v>
      </c>
      <c r="O407" s="3">
        <v>2</v>
      </c>
      <c r="P407" s="3">
        <v>2</v>
      </c>
      <c r="Q407" s="3">
        <v>5</v>
      </c>
      <c r="R407" s="3">
        <v>0</v>
      </c>
      <c r="T407">
        <f>SUM(Table1[[#This Row],[DTP Received]:[LPO/ LOA/ SOA Issue Date]])</f>
        <v>53</v>
      </c>
    </row>
    <row r="408" spans="2:20" x14ac:dyDescent="0.25">
      <c r="B408" t="s">
        <v>883</v>
      </c>
      <c r="C408" t="s">
        <v>884</v>
      </c>
      <c r="D408" s="3">
        <v>2</v>
      </c>
      <c r="E408" s="3">
        <v>1</v>
      </c>
      <c r="F408" s="3">
        <v>0</v>
      </c>
      <c r="G408" s="3">
        <v>10</v>
      </c>
      <c r="H408" s="3">
        <v>5</v>
      </c>
      <c r="I408" s="3">
        <v>1</v>
      </c>
      <c r="J408" s="3">
        <v>3</v>
      </c>
      <c r="K408" s="3">
        <v>2</v>
      </c>
      <c r="L408" s="3">
        <v>3</v>
      </c>
      <c r="M408" s="3">
        <v>3</v>
      </c>
      <c r="N408" s="3">
        <v>1</v>
      </c>
      <c r="O408" s="3">
        <v>2</v>
      </c>
      <c r="P408" s="3">
        <v>2</v>
      </c>
      <c r="Q408" s="3">
        <v>5</v>
      </c>
      <c r="R408" s="3">
        <v>0</v>
      </c>
      <c r="T408">
        <f>SUM(Table1[[#This Row],[DTP Received]:[LPO/ LOA/ SOA Issue Date]])</f>
        <v>40</v>
      </c>
    </row>
    <row r="409" spans="2:20" x14ac:dyDescent="0.25">
      <c r="B409" t="s">
        <v>252</v>
      </c>
      <c r="C409" t="s">
        <v>106</v>
      </c>
      <c r="D409" s="3">
        <v>2</v>
      </c>
      <c r="E409" s="3">
        <v>1</v>
      </c>
      <c r="F409" s="3">
        <v>0</v>
      </c>
      <c r="G409" s="3">
        <v>5</v>
      </c>
      <c r="H409" s="3">
        <v>5</v>
      </c>
      <c r="I409" s="3">
        <v>1</v>
      </c>
      <c r="J409" s="3">
        <v>3</v>
      </c>
      <c r="K409" s="3">
        <v>2</v>
      </c>
      <c r="L409" s="3">
        <v>7</v>
      </c>
      <c r="M409" s="3">
        <v>3</v>
      </c>
      <c r="N409" s="3">
        <v>1</v>
      </c>
      <c r="O409" s="3">
        <v>2</v>
      </c>
      <c r="P409" s="3">
        <v>2</v>
      </c>
      <c r="Q409" s="3">
        <v>5</v>
      </c>
      <c r="R409" s="3">
        <v>0</v>
      </c>
      <c r="T409">
        <f>SUM(Table1[[#This Row],[DTP Received]:[LPO/ LOA/ SOA Issue Date]])</f>
        <v>39</v>
      </c>
    </row>
    <row r="410" spans="2:20" x14ac:dyDescent="0.25">
      <c r="B410" t="s">
        <v>885</v>
      </c>
      <c r="C410" t="s">
        <v>886</v>
      </c>
      <c r="D410" s="3">
        <v>2</v>
      </c>
      <c r="E410" s="3">
        <v>1</v>
      </c>
      <c r="F410" s="3">
        <v>0</v>
      </c>
      <c r="G410" s="3">
        <v>5</v>
      </c>
      <c r="H410" s="3">
        <v>5</v>
      </c>
      <c r="I410" s="3">
        <v>1</v>
      </c>
      <c r="J410" s="3">
        <v>3</v>
      </c>
      <c r="K410" s="3">
        <v>2</v>
      </c>
      <c r="L410" s="3">
        <v>7</v>
      </c>
      <c r="M410" s="3">
        <v>3</v>
      </c>
      <c r="N410" s="3">
        <v>1</v>
      </c>
      <c r="O410" s="3">
        <v>2</v>
      </c>
      <c r="P410" s="3">
        <v>2</v>
      </c>
      <c r="Q410" s="3">
        <v>5</v>
      </c>
      <c r="R410" s="3">
        <v>0</v>
      </c>
      <c r="T410">
        <f>SUM(Table1[[#This Row],[DTP Received]:[LPO/ LOA/ SOA Issue Date]])</f>
        <v>39</v>
      </c>
    </row>
    <row r="411" spans="2:20" x14ac:dyDescent="0.25">
      <c r="B411" t="s">
        <v>887</v>
      </c>
      <c r="C411" t="s">
        <v>888</v>
      </c>
      <c r="D411" s="3">
        <v>2</v>
      </c>
      <c r="E411" s="3">
        <v>1</v>
      </c>
      <c r="F411" s="3">
        <v>0</v>
      </c>
      <c r="G411" s="3">
        <v>7</v>
      </c>
      <c r="H411" s="3">
        <v>5</v>
      </c>
      <c r="I411" s="3">
        <v>1</v>
      </c>
      <c r="J411" s="3">
        <v>3</v>
      </c>
      <c r="K411" s="3">
        <v>2</v>
      </c>
      <c r="L411" s="3">
        <v>3</v>
      </c>
      <c r="M411" s="3">
        <v>3</v>
      </c>
      <c r="N411" s="3">
        <v>1</v>
      </c>
      <c r="O411" s="3">
        <v>2</v>
      </c>
      <c r="P411" s="3">
        <v>2</v>
      </c>
      <c r="Q411" s="3">
        <v>5</v>
      </c>
      <c r="R411" s="3">
        <v>0</v>
      </c>
      <c r="T411">
        <f>SUM(Table1[[#This Row],[DTP Received]:[LPO/ LOA/ SOA Issue Date]])</f>
        <v>37</v>
      </c>
    </row>
    <row r="412" spans="2:20" x14ac:dyDescent="0.25">
      <c r="B412" t="s">
        <v>889</v>
      </c>
      <c r="C412" t="s">
        <v>890</v>
      </c>
      <c r="D412" s="3">
        <v>2</v>
      </c>
      <c r="E412" s="3">
        <v>1</v>
      </c>
      <c r="F412" s="3">
        <v>0</v>
      </c>
      <c r="G412" s="3">
        <v>3</v>
      </c>
      <c r="H412" s="3">
        <v>2</v>
      </c>
      <c r="I412" s="3">
        <v>1</v>
      </c>
      <c r="J412" s="3">
        <v>3</v>
      </c>
      <c r="K412" s="3">
        <v>2</v>
      </c>
      <c r="L412" s="3">
        <v>2</v>
      </c>
      <c r="M412" s="3">
        <v>1</v>
      </c>
      <c r="N412" s="3">
        <v>1</v>
      </c>
      <c r="O412" s="3">
        <v>2</v>
      </c>
      <c r="P412" s="3">
        <v>2</v>
      </c>
      <c r="Q412" s="3">
        <v>5</v>
      </c>
      <c r="R412" s="3">
        <v>0</v>
      </c>
      <c r="T412">
        <f>SUM(Table1[[#This Row],[DTP Received]:[LPO/ LOA/ SOA Issue Date]])</f>
        <v>27</v>
      </c>
    </row>
    <row r="413" spans="2:20" x14ac:dyDescent="0.25">
      <c r="B413" t="s">
        <v>891</v>
      </c>
      <c r="C413" t="s">
        <v>892</v>
      </c>
      <c r="D413" s="3">
        <v>2</v>
      </c>
      <c r="E413" s="3">
        <v>1</v>
      </c>
      <c r="F413" s="3">
        <v>0</v>
      </c>
      <c r="G413" s="3">
        <v>5</v>
      </c>
      <c r="H413" s="3">
        <v>5</v>
      </c>
      <c r="I413" s="3">
        <v>1</v>
      </c>
      <c r="J413" s="3">
        <v>3</v>
      </c>
      <c r="K413" s="3">
        <v>2</v>
      </c>
      <c r="L413" s="3">
        <v>7</v>
      </c>
      <c r="M413" s="3">
        <v>3</v>
      </c>
      <c r="N413" s="3">
        <v>1</v>
      </c>
      <c r="O413" s="3">
        <v>2</v>
      </c>
      <c r="P413" s="3">
        <v>2</v>
      </c>
      <c r="Q413" s="3">
        <v>5</v>
      </c>
      <c r="R413" s="3">
        <v>0</v>
      </c>
      <c r="T413">
        <f>SUM(Table1[[#This Row],[DTP Received]:[LPO/ LOA/ SOA Issue Date]])</f>
        <v>39</v>
      </c>
    </row>
    <row r="414" spans="2:20" x14ac:dyDescent="0.25">
      <c r="B414" t="s">
        <v>893</v>
      </c>
      <c r="C414" t="s">
        <v>371</v>
      </c>
      <c r="D414" s="3">
        <v>2</v>
      </c>
      <c r="E414" s="3">
        <v>1</v>
      </c>
      <c r="F414" s="3">
        <v>0</v>
      </c>
      <c r="G414" s="3">
        <v>5</v>
      </c>
      <c r="H414" s="3">
        <v>5</v>
      </c>
      <c r="I414" s="3">
        <v>1</v>
      </c>
      <c r="J414" s="3">
        <v>3</v>
      </c>
      <c r="K414" s="3">
        <v>2</v>
      </c>
      <c r="L414" s="3">
        <v>7</v>
      </c>
      <c r="M414" s="3">
        <v>3</v>
      </c>
      <c r="N414" s="3">
        <v>1</v>
      </c>
      <c r="O414" s="3">
        <v>2</v>
      </c>
      <c r="P414" s="3">
        <v>2</v>
      </c>
      <c r="Q414" s="3">
        <v>5</v>
      </c>
      <c r="R414" s="3">
        <v>0</v>
      </c>
      <c r="T414">
        <f>SUM(Table1[[#This Row],[DTP Received]:[LPO/ LOA/ SOA Issue Date]])</f>
        <v>39</v>
      </c>
    </row>
    <row r="415" spans="2:20" x14ac:dyDescent="0.25">
      <c r="B415" t="s">
        <v>894</v>
      </c>
      <c r="C415" t="s">
        <v>371</v>
      </c>
      <c r="D415" s="3">
        <v>2</v>
      </c>
      <c r="E415" s="3">
        <v>1</v>
      </c>
      <c r="F415" s="3">
        <v>0</v>
      </c>
      <c r="G415" s="3">
        <v>5</v>
      </c>
      <c r="H415" s="3">
        <v>5</v>
      </c>
      <c r="I415" s="3">
        <v>1</v>
      </c>
      <c r="J415" s="3">
        <v>3</v>
      </c>
      <c r="K415" s="3">
        <v>2</v>
      </c>
      <c r="L415" s="3">
        <v>7</v>
      </c>
      <c r="M415" s="3">
        <v>3</v>
      </c>
      <c r="N415" s="3">
        <v>1</v>
      </c>
      <c r="O415" s="3">
        <v>2</v>
      </c>
      <c r="P415" s="3">
        <v>2</v>
      </c>
      <c r="Q415" s="3">
        <v>5</v>
      </c>
      <c r="R415" s="3">
        <v>0</v>
      </c>
      <c r="T415">
        <f>SUM(Table1[[#This Row],[DTP Received]:[LPO/ LOA/ SOA Issue Date]])</f>
        <v>39</v>
      </c>
    </row>
    <row r="416" spans="2:20" x14ac:dyDescent="0.25">
      <c r="B416" t="s">
        <v>895</v>
      </c>
      <c r="C416" t="s">
        <v>371</v>
      </c>
      <c r="D416" s="3">
        <v>2</v>
      </c>
      <c r="E416" s="3">
        <v>1</v>
      </c>
      <c r="F416" s="3">
        <v>0</v>
      </c>
      <c r="G416" s="3">
        <v>5</v>
      </c>
      <c r="H416" s="3">
        <v>5</v>
      </c>
      <c r="I416" s="3">
        <v>1</v>
      </c>
      <c r="J416" s="3">
        <v>3</v>
      </c>
      <c r="K416" s="3">
        <v>2</v>
      </c>
      <c r="L416" s="3">
        <v>7</v>
      </c>
      <c r="M416" s="3">
        <v>3</v>
      </c>
      <c r="N416" s="3">
        <v>1</v>
      </c>
      <c r="O416" s="3">
        <v>2</v>
      </c>
      <c r="P416" s="3">
        <v>2</v>
      </c>
      <c r="Q416" s="3">
        <v>5</v>
      </c>
      <c r="R416" s="3">
        <v>0</v>
      </c>
      <c r="T416">
        <f>SUM(Table1[[#This Row],[DTP Received]:[LPO/ LOA/ SOA Issue Date]])</f>
        <v>39</v>
      </c>
    </row>
    <row r="417" spans="2:20" x14ac:dyDescent="0.25">
      <c r="B417" t="s">
        <v>896</v>
      </c>
      <c r="C417" t="s">
        <v>371</v>
      </c>
      <c r="D417" s="3">
        <v>2</v>
      </c>
      <c r="E417" s="3">
        <v>1</v>
      </c>
      <c r="F417" s="3">
        <v>0</v>
      </c>
      <c r="G417" s="3">
        <v>5</v>
      </c>
      <c r="H417" s="3">
        <v>5</v>
      </c>
      <c r="I417" s="3">
        <v>1</v>
      </c>
      <c r="J417" s="3">
        <v>3</v>
      </c>
      <c r="K417" s="3">
        <v>2</v>
      </c>
      <c r="L417" s="3">
        <v>7</v>
      </c>
      <c r="M417" s="3">
        <v>3</v>
      </c>
      <c r="N417" s="3">
        <v>1</v>
      </c>
      <c r="O417" s="3">
        <v>2</v>
      </c>
      <c r="P417" s="3">
        <v>2</v>
      </c>
      <c r="Q417" s="3">
        <v>5</v>
      </c>
      <c r="R417" s="3">
        <v>0</v>
      </c>
      <c r="T417">
        <f>SUM(Table1[[#This Row],[DTP Received]:[LPO/ LOA/ SOA Issue Date]])</f>
        <v>39</v>
      </c>
    </row>
    <row r="418" spans="2:20" x14ac:dyDescent="0.25">
      <c r="B418" t="s">
        <v>897</v>
      </c>
      <c r="C418" t="s">
        <v>371</v>
      </c>
      <c r="D418" s="3">
        <v>2</v>
      </c>
      <c r="E418" s="3">
        <v>1</v>
      </c>
      <c r="F418" s="3">
        <v>0</v>
      </c>
      <c r="G418" s="3">
        <v>5</v>
      </c>
      <c r="H418" s="3">
        <v>5</v>
      </c>
      <c r="I418" s="3">
        <v>1</v>
      </c>
      <c r="J418" s="3">
        <v>3</v>
      </c>
      <c r="K418" s="3">
        <v>2</v>
      </c>
      <c r="L418" s="3">
        <v>7</v>
      </c>
      <c r="M418" s="3">
        <v>3</v>
      </c>
      <c r="N418" s="3">
        <v>1</v>
      </c>
      <c r="O418" s="3">
        <v>2</v>
      </c>
      <c r="P418" s="3">
        <v>2</v>
      </c>
      <c r="Q418" s="3">
        <v>5</v>
      </c>
      <c r="R418" s="3">
        <v>0</v>
      </c>
      <c r="T418">
        <f>SUM(Table1[[#This Row],[DTP Received]:[LPO/ LOA/ SOA Issue Date]])</f>
        <v>39</v>
      </c>
    </row>
    <row r="419" spans="2:20" x14ac:dyDescent="0.25">
      <c r="B419" t="s">
        <v>220</v>
      </c>
      <c r="C419" t="s">
        <v>334</v>
      </c>
      <c r="D419" s="3">
        <v>2</v>
      </c>
      <c r="E419" s="3">
        <v>1</v>
      </c>
      <c r="F419" s="3">
        <v>0</v>
      </c>
      <c r="G419" s="3">
        <v>5</v>
      </c>
      <c r="H419" s="3">
        <v>5</v>
      </c>
      <c r="I419" s="3">
        <v>1</v>
      </c>
      <c r="J419" s="3">
        <v>3</v>
      </c>
      <c r="K419" s="3">
        <v>2</v>
      </c>
      <c r="L419" s="3">
        <v>7</v>
      </c>
      <c r="M419" s="3">
        <v>3</v>
      </c>
      <c r="N419" s="3">
        <v>1</v>
      </c>
      <c r="O419" s="3">
        <v>2</v>
      </c>
      <c r="P419" s="3">
        <v>2</v>
      </c>
      <c r="Q419" s="3">
        <v>5</v>
      </c>
      <c r="R419" s="3">
        <v>0</v>
      </c>
      <c r="T419">
        <f>SUM(Table1[[#This Row],[DTP Received]:[LPO/ LOA/ SOA Issue Date]])</f>
        <v>39</v>
      </c>
    </row>
    <row r="420" spans="2:20" x14ac:dyDescent="0.25">
      <c r="B420" t="s">
        <v>233</v>
      </c>
      <c r="C420" t="s">
        <v>88</v>
      </c>
      <c r="D420" s="3">
        <v>2</v>
      </c>
      <c r="E420" s="3">
        <v>1</v>
      </c>
      <c r="F420" s="3">
        <v>0</v>
      </c>
      <c r="G420" s="3">
        <v>10</v>
      </c>
      <c r="H420" s="3">
        <v>5</v>
      </c>
      <c r="I420" s="3">
        <v>1</v>
      </c>
      <c r="J420" s="3">
        <v>3</v>
      </c>
      <c r="K420" s="3">
        <v>2</v>
      </c>
      <c r="L420" s="3">
        <v>3</v>
      </c>
      <c r="M420" s="3">
        <v>3</v>
      </c>
      <c r="N420" s="3">
        <v>1</v>
      </c>
      <c r="O420" s="3">
        <v>2</v>
      </c>
      <c r="P420" s="3">
        <v>2</v>
      </c>
      <c r="Q420" s="3">
        <v>5</v>
      </c>
      <c r="R420" s="3">
        <v>0</v>
      </c>
      <c r="T420">
        <f>SUM(Table1[[#This Row],[DTP Received]:[LPO/ LOA/ SOA Issue Date]])</f>
        <v>40</v>
      </c>
    </row>
    <row r="421" spans="2:20" x14ac:dyDescent="0.25">
      <c r="B421" t="s">
        <v>898</v>
      </c>
      <c r="C421" t="s">
        <v>899</v>
      </c>
      <c r="D421" s="3">
        <v>2</v>
      </c>
      <c r="E421" s="3">
        <v>1</v>
      </c>
      <c r="F421" s="3">
        <v>0</v>
      </c>
      <c r="G421" s="3">
        <v>10</v>
      </c>
      <c r="H421" s="3">
        <v>5</v>
      </c>
      <c r="I421" s="3">
        <v>1</v>
      </c>
      <c r="J421" s="3">
        <v>3</v>
      </c>
      <c r="K421" s="3">
        <v>2</v>
      </c>
      <c r="L421" s="3">
        <v>3</v>
      </c>
      <c r="M421" s="3">
        <v>3</v>
      </c>
      <c r="N421" s="3">
        <v>1</v>
      </c>
      <c r="O421" s="3">
        <v>2</v>
      </c>
      <c r="P421" s="3">
        <v>2</v>
      </c>
      <c r="Q421" s="3">
        <v>5</v>
      </c>
      <c r="R421" s="3">
        <v>0</v>
      </c>
      <c r="T421">
        <f>SUM(Table1[[#This Row],[DTP Received]:[LPO/ LOA/ SOA Issue Date]])</f>
        <v>40</v>
      </c>
    </row>
    <row r="422" spans="2:20" x14ac:dyDescent="0.25">
      <c r="B422" t="s">
        <v>261</v>
      </c>
      <c r="C422" t="s">
        <v>900</v>
      </c>
      <c r="D422" s="3">
        <v>2</v>
      </c>
      <c r="E422" s="3">
        <v>1</v>
      </c>
      <c r="F422" s="3">
        <v>0</v>
      </c>
      <c r="G422" s="3">
        <v>10</v>
      </c>
      <c r="H422" s="3">
        <v>5</v>
      </c>
      <c r="I422" s="3">
        <v>1</v>
      </c>
      <c r="J422" s="3">
        <v>3</v>
      </c>
      <c r="K422" s="3">
        <v>2</v>
      </c>
      <c r="L422" s="3">
        <v>3</v>
      </c>
      <c r="M422" s="3">
        <v>3</v>
      </c>
      <c r="N422" s="3">
        <v>1</v>
      </c>
      <c r="O422" s="3">
        <v>2</v>
      </c>
      <c r="P422" s="3">
        <v>2</v>
      </c>
      <c r="Q422" s="3">
        <v>5</v>
      </c>
      <c r="R422" s="3">
        <v>0</v>
      </c>
      <c r="T422">
        <f>SUM(Table1[[#This Row],[DTP Received]:[LPO/ LOA/ SOA Issue Date]])</f>
        <v>40</v>
      </c>
    </row>
    <row r="423" spans="2:20" x14ac:dyDescent="0.25">
      <c r="B423" t="s">
        <v>237</v>
      </c>
      <c r="C423" t="s">
        <v>91</v>
      </c>
      <c r="D423" s="3">
        <v>2</v>
      </c>
      <c r="E423" s="3">
        <v>1</v>
      </c>
      <c r="F423" s="3">
        <v>0</v>
      </c>
      <c r="G423" s="3">
        <v>10</v>
      </c>
      <c r="H423" s="3">
        <v>5</v>
      </c>
      <c r="I423" s="3">
        <v>1</v>
      </c>
      <c r="J423" s="3">
        <v>3</v>
      </c>
      <c r="K423" s="3">
        <v>2</v>
      </c>
      <c r="L423" s="3">
        <v>3</v>
      </c>
      <c r="M423" s="3">
        <v>3</v>
      </c>
      <c r="N423" s="3">
        <v>1</v>
      </c>
      <c r="O423" s="3">
        <v>2</v>
      </c>
      <c r="P423" s="3">
        <v>2</v>
      </c>
      <c r="Q423" s="3">
        <v>5</v>
      </c>
      <c r="R423" s="3">
        <v>0</v>
      </c>
      <c r="T423">
        <f>SUM(Table1[[#This Row],[DTP Received]:[LPO/ LOA/ SOA Issue Date]])</f>
        <v>40</v>
      </c>
    </row>
    <row r="424" spans="2:20" x14ac:dyDescent="0.25">
      <c r="B424" t="s">
        <v>901</v>
      </c>
      <c r="C424" t="s">
        <v>902</v>
      </c>
      <c r="D424" s="3">
        <v>2</v>
      </c>
      <c r="E424" s="3">
        <v>1</v>
      </c>
      <c r="F424" s="3">
        <v>0</v>
      </c>
      <c r="G424" s="3">
        <v>5</v>
      </c>
      <c r="H424" s="3">
        <v>5</v>
      </c>
      <c r="I424" s="3">
        <v>1</v>
      </c>
      <c r="J424" s="3">
        <v>3</v>
      </c>
      <c r="K424" s="3">
        <v>2</v>
      </c>
      <c r="L424" s="3">
        <v>7</v>
      </c>
      <c r="M424" s="3">
        <v>3</v>
      </c>
      <c r="N424" s="3">
        <v>1</v>
      </c>
      <c r="O424" s="3">
        <v>2</v>
      </c>
      <c r="P424" s="3">
        <v>2</v>
      </c>
      <c r="Q424" s="3">
        <v>5</v>
      </c>
      <c r="R424" s="3">
        <v>0</v>
      </c>
      <c r="T424">
        <f>SUM(Table1[[#This Row],[DTP Received]:[LPO/ LOA/ SOA Issue Date]])</f>
        <v>39</v>
      </c>
    </row>
    <row r="425" spans="2:20" x14ac:dyDescent="0.25">
      <c r="B425" t="s">
        <v>903</v>
      </c>
      <c r="C425" t="s">
        <v>371</v>
      </c>
      <c r="D425" s="3">
        <v>2</v>
      </c>
      <c r="E425" s="3">
        <v>1</v>
      </c>
      <c r="F425" s="3">
        <v>0</v>
      </c>
      <c r="G425" s="3">
        <v>5</v>
      </c>
      <c r="H425" s="3">
        <v>5</v>
      </c>
      <c r="I425" s="3">
        <v>1</v>
      </c>
      <c r="J425" s="3">
        <v>3</v>
      </c>
      <c r="K425" s="3">
        <v>2</v>
      </c>
      <c r="L425" s="3">
        <v>7</v>
      </c>
      <c r="M425" s="3">
        <v>3</v>
      </c>
      <c r="N425" s="3">
        <v>1</v>
      </c>
      <c r="O425" s="3">
        <v>2</v>
      </c>
      <c r="P425" s="3">
        <v>2</v>
      </c>
      <c r="Q425" s="3">
        <v>5</v>
      </c>
      <c r="R425" s="3">
        <v>0</v>
      </c>
      <c r="T425">
        <f>SUM(Table1[[#This Row],[DTP Received]:[LPO/ LOA/ SOA Issue Date]])</f>
        <v>39</v>
      </c>
    </row>
    <row r="426" spans="2:20" x14ac:dyDescent="0.25">
      <c r="B426" t="s">
        <v>904</v>
      </c>
      <c r="C426" t="s">
        <v>371</v>
      </c>
      <c r="D426" s="3">
        <v>2</v>
      </c>
      <c r="E426" s="3">
        <v>1</v>
      </c>
      <c r="F426" s="3">
        <v>0</v>
      </c>
      <c r="G426" s="3">
        <v>5</v>
      </c>
      <c r="H426" s="3">
        <v>5</v>
      </c>
      <c r="I426" s="3">
        <v>1</v>
      </c>
      <c r="J426" s="3">
        <v>3</v>
      </c>
      <c r="K426" s="3">
        <v>2</v>
      </c>
      <c r="L426" s="3">
        <v>7</v>
      </c>
      <c r="M426" s="3">
        <v>3</v>
      </c>
      <c r="N426" s="3">
        <v>1</v>
      </c>
      <c r="O426" s="3">
        <v>2</v>
      </c>
      <c r="P426" s="3">
        <v>2</v>
      </c>
      <c r="Q426" s="3">
        <v>5</v>
      </c>
      <c r="R426" s="3">
        <v>0</v>
      </c>
      <c r="T426">
        <f>SUM(Table1[[#This Row],[DTP Received]:[LPO/ LOA/ SOA Issue Date]])</f>
        <v>39</v>
      </c>
    </row>
    <row r="427" spans="2:20" x14ac:dyDescent="0.25">
      <c r="B427" t="s">
        <v>905</v>
      </c>
      <c r="C427" t="s">
        <v>371</v>
      </c>
      <c r="D427" s="3">
        <v>2</v>
      </c>
      <c r="E427" s="3">
        <v>1</v>
      </c>
      <c r="F427" s="3">
        <v>0</v>
      </c>
      <c r="G427" s="3">
        <v>5</v>
      </c>
      <c r="H427" s="3">
        <v>5</v>
      </c>
      <c r="I427" s="3">
        <v>1</v>
      </c>
      <c r="J427" s="3">
        <v>3</v>
      </c>
      <c r="K427" s="3">
        <v>2</v>
      </c>
      <c r="L427" s="3">
        <v>7</v>
      </c>
      <c r="M427" s="3">
        <v>3</v>
      </c>
      <c r="N427" s="3">
        <v>1</v>
      </c>
      <c r="O427" s="3">
        <v>2</v>
      </c>
      <c r="P427" s="3">
        <v>2</v>
      </c>
      <c r="Q427" s="3">
        <v>5</v>
      </c>
      <c r="R427" s="3">
        <v>0</v>
      </c>
      <c r="T427">
        <f>SUM(Table1[[#This Row],[DTP Received]:[LPO/ LOA/ SOA Issue Date]])</f>
        <v>39</v>
      </c>
    </row>
    <row r="428" spans="2:20" x14ac:dyDescent="0.25">
      <c r="B428" t="s">
        <v>906</v>
      </c>
      <c r="C428" t="s">
        <v>371</v>
      </c>
      <c r="D428" s="3">
        <v>2</v>
      </c>
      <c r="E428" s="3">
        <v>1</v>
      </c>
      <c r="F428" s="3">
        <v>0</v>
      </c>
      <c r="G428" s="3">
        <v>5</v>
      </c>
      <c r="H428" s="3">
        <v>5</v>
      </c>
      <c r="I428" s="3">
        <v>1</v>
      </c>
      <c r="J428" s="3">
        <v>3</v>
      </c>
      <c r="K428" s="3">
        <v>2</v>
      </c>
      <c r="L428" s="3">
        <v>7</v>
      </c>
      <c r="M428" s="3">
        <v>3</v>
      </c>
      <c r="N428" s="3">
        <v>1</v>
      </c>
      <c r="O428" s="3">
        <v>2</v>
      </c>
      <c r="P428" s="3">
        <v>2</v>
      </c>
      <c r="Q428" s="3">
        <v>5</v>
      </c>
      <c r="R428" s="3">
        <v>0</v>
      </c>
      <c r="T428">
        <f>SUM(Table1[[#This Row],[DTP Received]:[LPO/ LOA/ SOA Issue Date]])</f>
        <v>39</v>
      </c>
    </row>
    <row r="429" spans="2:20" x14ac:dyDescent="0.25">
      <c r="B429" t="s">
        <v>907</v>
      </c>
      <c r="C429" t="s">
        <v>371</v>
      </c>
      <c r="D429" s="3">
        <v>2</v>
      </c>
      <c r="E429" s="3">
        <v>1</v>
      </c>
      <c r="F429" s="3">
        <v>0</v>
      </c>
      <c r="G429" s="3">
        <v>5</v>
      </c>
      <c r="H429" s="3">
        <v>5</v>
      </c>
      <c r="I429" s="3">
        <v>1</v>
      </c>
      <c r="J429" s="3">
        <v>3</v>
      </c>
      <c r="K429" s="3">
        <v>2</v>
      </c>
      <c r="L429" s="3">
        <v>7</v>
      </c>
      <c r="M429" s="3">
        <v>3</v>
      </c>
      <c r="N429" s="3">
        <v>1</v>
      </c>
      <c r="O429" s="3">
        <v>2</v>
      </c>
      <c r="P429" s="3">
        <v>2</v>
      </c>
      <c r="Q429" s="3">
        <v>5</v>
      </c>
      <c r="R429" s="3">
        <v>0</v>
      </c>
      <c r="T429">
        <f>SUM(Table1[[#This Row],[DTP Received]:[LPO/ LOA/ SOA Issue Date]])</f>
        <v>39</v>
      </c>
    </row>
    <row r="430" spans="2:20" x14ac:dyDescent="0.25">
      <c r="B430" t="s">
        <v>908</v>
      </c>
      <c r="C430" t="s">
        <v>909</v>
      </c>
      <c r="D430" s="3">
        <v>2</v>
      </c>
      <c r="E430" s="3">
        <v>1</v>
      </c>
      <c r="F430" s="3">
        <v>0</v>
      </c>
      <c r="G430" s="3">
        <v>5</v>
      </c>
      <c r="H430" s="3">
        <v>5</v>
      </c>
      <c r="I430" s="3">
        <v>1</v>
      </c>
      <c r="J430" s="3">
        <v>3</v>
      </c>
      <c r="K430" s="3">
        <v>2</v>
      </c>
      <c r="L430" s="3">
        <v>7</v>
      </c>
      <c r="M430" s="3">
        <v>3</v>
      </c>
      <c r="N430" s="3">
        <v>1</v>
      </c>
      <c r="O430" s="3">
        <v>2</v>
      </c>
      <c r="P430" s="3">
        <v>2</v>
      </c>
      <c r="Q430" s="3">
        <v>5</v>
      </c>
      <c r="R430" s="3">
        <v>0</v>
      </c>
      <c r="T430">
        <f>SUM(Table1[[#This Row],[DTP Received]:[LPO/ LOA/ SOA Issue Date]])</f>
        <v>39</v>
      </c>
    </row>
    <row r="431" spans="2:20" x14ac:dyDescent="0.25">
      <c r="B431" t="s">
        <v>910</v>
      </c>
      <c r="C431" t="s">
        <v>371</v>
      </c>
      <c r="D431" s="3">
        <v>2</v>
      </c>
      <c r="E431" s="3">
        <v>1</v>
      </c>
      <c r="F431" s="3">
        <v>0</v>
      </c>
      <c r="G431" s="3">
        <v>5</v>
      </c>
      <c r="H431" s="3">
        <v>5</v>
      </c>
      <c r="I431" s="3">
        <v>1</v>
      </c>
      <c r="J431" s="3">
        <v>3</v>
      </c>
      <c r="K431" s="3">
        <v>2</v>
      </c>
      <c r="L431" s="3">
        <v>7</v>
      </c>
      <c r="M431" s="3">
        <v>3</v>
      </c>
      <c r="N431" s="3">
        <v>1</v>
      </c>
      <c r="O431" s="3">
        <v>2</v>
      </c>
      <c r="P431" s="3">
        <v>2</v>
      </c>
      <c r="Q431" s="3">
        <v>5</v>
      </c>
      <c r="R431" s="3">
        <v>0</v>
      </c>
      <c r="T431">
        <f>SUM(Table1[[#This Row],[DTP Received]:[LPO/ LOA/ SOA Issue Date]])</f>
        <v>39</v>
      </c>
    </row>
    <row r="432" spans="2:20" x14ac:dyDescent="0.25">
      <c r="B432" t="s">
        <v>911</v>
      </c>
      <c r="C432" t="s">
        <v>371</v>
      </c>
      <c r="D432" s="3">
        <v>2</v>
      </c>
      <c r="E432" s="3">
        <v>1</v>
      </c>
      <c r="F432" s="3">
        <v>0</v>
      </c>
      <c r="G432" s="3">
        <v>5</v>
      </c>
      <c r="H432" s="3">
        <v>5</v>
      </c>
      <c r="I432" s="3">
        <v>1</v>
      </c>
      <c r="J432" s="3">
        <v>3</v>
      </c>
      <c r="K432" s="3">
        <v>2</v>
      </c>
      <c r="L432" s="3">
        <v>7</v>
      </c>
      <c r="M432" s="3">
        <v>3</v>
      </c>
      <c r="N432" s="3">
        <v>1</v>
      </c>
      <c r="O432" s="3">
        <v>2</v>
      </c>
      <c r="P432" s="3">
        <v>2</v>
      </c>
      <c r="Q432" s="3">
        <v>5</v>
      </c>
      <c r="R432" s="3">
        <v>0</v>
      </c>
      <c r="T432">
        <f>SUM(Table1[[#This Row],[DTP Received]:[LPO/ LOA/ SOA Issue Date]])</f>
        <v>39</v>
      </c>
    </row>
    <row r="433" spans="2:20" x14ac:dyDescent="0.25">
      <c r="B433" t="s">
        <v>912</v>
      </c>
      <c r="C433" t="s">
        <v>371</v>
      </c>
      <c r="D433" s="3">
        <v>2</v>
      </c>
      <c r="E433" s="3">
        <v>1</v>
      </c>
      <c r="F433" s="3">
        <v>0</v>
      </c>
      <c r="G433" s="3">
        <v>5</v>
      </c>
      <c r="H433" s="3">
        <v>5</v>
      </c>
      <c r="I433" s="3">
        <v>1</v>
      </c>
      <c r="J433" s="3">
        <v>3</v>
      </c>
      <c r="K433" s="3">
        <v>2</v>
      </c>
      <c r="L433" s="3">
        <v>7</v>
      </c>
      <c r="M433" s="3">
        <v>3</v>
      </c>
      <c r="N433" s="3">
        <v>1</v>
      </c>
      <c r="O433" s="3">
        <v>2</v>
      </c>
      <c r="P433" s="3">
        <v>2</v>
      </c>
      <c r="Q433" s="3">
        <v>5</v>
      </c>
      <c r="R433" s="3">
        <v>0</v>
      </c>
      <c r="T433">
        <f>SUM(Table1[[#This Row],[DTP Received]:[LPO/ LOA/ SOA Issue Date]])</f>
        <v>39</v>
      </c>
    </row>
    <row r="434" spans="2:20" x14ac:dyDescent="0.25">
      <c r="B434" t="s">
        <v>913</v>
      </c>
      <c r="C434" t="s">
        <v>371</v>
      </c>
      <c r="D434" s="3">
        <v>2</v>
      </c>
      <c r="E434" s="3">
        <v>1</v>
      </c>
      <c r="F434" s="3">
        <v>0</v>
      </c>
      <c r="G434" s="3">
        <v>5</v>
      </c>
      <c r="H434" s="3">
        <v>5</v>
      </c>
      <c r="I434" s="3">
        <v>1</v>
      </c>
      <c r="J434" s="3">
        <v>3</v>
      </c>
      <c r="K434" s="3">
        <v>2</v>
      </c>
      <c r="L434" s="3">
        <v>7</v>
      </c>
      <c r="M434" s="3">
        <v>3</v>
      </c>
      <c r="N434" s="3">
        <v>1</v>
      </c>
      <c r="O434" s="3">
        <v>2</v>
      </c>
      <c r="P434" s="3">
        <v>2</v>
      </c>
      <c r="Q434" s="3">
        <v>5</v>
      </c>
      <c r="R434" s="3">
        <v>0</v>
      </c>
      <c r="T434">
        <f>SUM(Table1[[#This Row],[DTP Received]:[LPO/ LOA/ SOA Issue Date]])</f>
        <v>39</v>
      </c>
    </row>
    <row r="435" spans="2:20" x14ac:dyDescent="0.25">
      <c r="B435" t="s">
        <v>914</v>
      </c>
      <c r="C435" t="s">
        <v>371</v>
      </c>
      <c r="D435" s="3">
        <v>2</v>
      </c>
      <c r="E435" s="3">
        <v>1</v>
      </c>
      <c r="F435" s="3">
        <v>0</v>
      </c>
      <c r="G435" s="3">
        <v>5</v>
      </c>
      <c r="H435" s="3">
        <v>5</v>
      </c>
      <c r="I435" s="3">
        <v>1</v>
      </c>
      <c r="J435" s="3">
        <v>3</v>
      </c>
      <c r="K435" s="3">
        <v>2</v>
      </c>
      <c r="L435" s="3">
        <v>7</v>
      </c>
      <c r="M435" s="3">
        <v>3</v>
      </c>
      <c r="N435" s="3">
        <v>1</v>
      </c>
      <c r="O435" s="3">
        <v>2</v>
      </c>
      <c r="P435" s="3">
        <v>2</v>
      </c>
      <c r="Q435" s="3">
        <v>5</v>
      </c>
      <c r="R435" s="3">
        <v>0</v>
      </c>
      <c r="T435">
        <f>SUM(Table1[[#This Row],[DTP Received]:[LPO/ LOA/ SOA Issue Date]])</f>
        <v>39</v>
      </c>
    </row>
    <row r="436" spans="2:20" x14ac:dyDescent="0.25">
      <c r="B436" t="s">
        <v>227</v>
      </c>
      <c r="C436" t="s">
        <v>345</v>
      </c>
      <c r="D436" s="3">
        <v>2</v>
      </c>
      <c r="E436" s="3">
        <v>1</v>
      </c>
      <c r="F436" s="3">
        <v>0</v>
      </c>
      <c r="G436" s="3">
        <v>10</v>
      </c>
      <c r="H436" s="3">
        <v>5</v>
      </c>
      <c r="I436" s="3">
        <v>1</v>
      </c>
      <c r="J436" s="3">
        <v>3</v>
      </c>
      <c r="K436" s="3">
        <v>2</v>
      </c>
      <c r="L436" s="3">
        <v>7</v>
      </c>
      <c r="M436" s="3">
        <v>3</v>
      </c>
      <c r="N436" s="3">
        <v>1</v>
      </c>
      <c r="O436" s="3">
        <v>2</v>
      </c>
      <c r="P436" s="3">
        <v>2</v>
      </c>
      <c r="Q436" s="3">
        <v>5</v>
      </c>
      <c r="R436" s="3">
        <v>0</v>
      </c>
      <c r="T436">
        <f>SUM(Table1[[#This Row],[DTP Received]:[LPO/ LOA/ SOA Issue Date]])</f>
        <v>44</v>
      </c>
    </row>
    <row r="437" spans="2:20" x14ac:dyDescent="0.25">
      <c r="B437" t="s">
        <v>915</v>
      </c>
      <c r="C437" t="s">
        <v>916</v>
      </c>
      <c r="D437" s="3">
        <v>2</v>
      </c>
      <c r="E437" s="3">
        <v>1</v>
      </c>
      <c r="F437" s="3">
        <v>0</v>
      </c>
      <c r="G437" s="3">
        <v>5</v>
      </c>
      <c r="H437" s="3">
        <v>5</v>
      </c>
      <c r="I437" s="3">
        <v>1</v>
      </c>
      <c r="J437" s="3">
        <v>3</v>
      </c>
      <c r="K437" s="3">
        <v>2</v>
      </c>
      <c r="L437" s="3">
        <v>7</v>
      </c>
      <c r="M437" s="3">
        <v>3</v>
      </c>
      <c r="N437" s="3">
        <v>1</v>
      </c>
      <c r="O437" s="3">
        <v>2</v>
      </c>
      <c r="P437" s="3">
        <v>2</v>
      </c>
      <c r="Q437" s="3">
        <v>5</v>
      </c>
      <c r="R437" s="3">
        <v>0</v>
      </c>
      <c r="T437">
        <f>SUM(Table1[[#This Row],[DTP Received]:[LPO/ LOA/ SOA Issue Date]])</f>
        <v>39</v>
      </c>
    </row>
    <row r="438" spans="2:20" x14ac:dyDescent="0.25">
      <c r="B438" t="s">
        <v>917</v>
      </c>
      <c r="C438" t="s">
        <v>918</v>
      </c>
      <c r="D438" s="3">
        <v>2</v>
      </c>
      <c r="E438" s="3">
        <v>1</v>
      </c>
      <c r="F438" s="3">
        <v>0</v>
      </c>
      <c r="G438" s="3">
        <v>5</v>
      </c>
      <c r="H438" s="3">
        <v>5</v>
      </c>
      <c r="I438" s="3">
        <v>1</v>
      </c>
      <c r="J438" s="3">
        <v>3</v>
      </c>
      <c r="K438" s="3">
        <v>2</v>
      </c>
      <c r="L438" s="3">
        <v>7</v>
      </c>
      <c r="M438" s="3">
        <v>3</v>
      </c>
      <c r="N438" s="3">
        <v>1</v>
      </c>
      <c r="O438" s="3">
        <v>2</v>
      </c>
      <c r="P438" s="3">
        <v>2</v>
      </c>
      <c r="Q438" s="3">
        <v>5</v>
      </c>
      <c r="R438" s="3">
        <v>0</v>
      </c>
      <c r="T438">
        <f>SUM(Table1[[#This Row],[DTP Received]:[LPO/ LOA/ SOA Issue Date]])</f>
        <v>39</v>
      </c>
    </row>
    <row r="439" spans="2:20" x14ac:dyDescent="0.25">
      <c r="B439" t="s">
        <v>919</v>
      </c>
      <c r="C439" t="s">
        <v>920</v>
      </c>
      <c r="D439" s="3">
        <v>2</v>
      </c>
      <c r="E439" s="3">
        <v>1</v>
      </c>
      <c r="F439" s="3">
        <v>0</v>
      </c>
      <c r="G439" s="3">
        <v>5</v>
      </c>
      <c r="H439" s="3">
        <v>5</v>
      </c>
      <c r="I439" s="3">
        <v>1</v>
      </c>
      <c r="J439" s="3">
        <v>3</v>
      </c>
      <c r="K439" s="3">
        <v>2</v>
      </c>
      <c r="L439" s="3">
        <v>7</v>
      </c>
      <c r="M439" s="3">
        <v>3</v>
      </c>
      <c r="N439" s="3">
        <v>1</v>
      </c>
      <c r="O439" s="3">
        <v>2</v>
      </c>
      <c r="P439" s="3">
        <v>2</v>
      </c>
      <c r="Q439" s="3">
        <v>5</v>
      </c>
      <c r="R439" s="3">
        <v>0</v>
      </c>
      <c r="T439">
        <f>SUM(Table1[[#This Row],[DTP Received]:[LPO/ LOA/ SOA Issue Date]])</f>
        <v>39</v>
      </c>
    </row>
    <row r="440" spans="2:20" x14ac:dyDescent="0.25">
      <c r="B440" t="s">
        <v>921</v>
      </c>
      <c r="C440" t="s">
        <v>922</v>
      </c>
      <c r="D440" s="3">
        <v>2</v>
      </c>
      <c r="E440" s="3">
        <v>1</v>
      </c>
      <c r="F440" s="3">
        <v>0</v>
      </c>
      <c r="G440" s="3">
        <v>10</v>
      </c>
      <c r="H440" s="3">
        <v>5</v>
      </c>
      <c r="I440" s="3">
        <v>1</v>
      </c>
      <c r="J440" s="3">
        <v>3</v>
      </c>
      <c r="K440" s="3">
        <v>2</v>
      </c>
      <c r="L440" s="3">
        <v>3</v>
      </c>
      <c r="M440" s="3">
        <v>3</v>
      </c>
      <c r="N440" s="3">
        <v>1</v>
      </c>
      <c r="O440" s="3">
        <v>2</v>
      </c>
      <c r="P440" s="3">
        <v>2</v>
      </c>
      <c r="Q440" s="3">
        <v>5</v>
      </c>
      <c r="R440" s="3">
        <v>0</v>
      </c>
      <c r="T440">
        <f>SUM(Table1[[#This Row],[DTP Received]:[LPO/ LOA/ SOA Issue Date]])</f>
        <v>40</v>
      </c>
    </row>
    <row r="441" spans="2:20" x14ac:dyDescent="0.25">
      <c r="B441" t="s">
        <v>923</v>
      </c>
      <c r="C441" t="s">
        <v>924</v>
      </c>
      <c r="D441" s="3">
        <v>2</v>
      </c>
      <c r="E441" s="3">
        <v>1</v>
      </c>
      <c r="F441" s="3">
        <v>0</v>
      </c>
      <c r="G441" s="3">
        <v>5</v>
      </c>
      <c r="H441" s="3">
        <v>5</v>
      </c>
      <c r="I441" s="3">
        <v>1</v>
      </c>
      <c r="J441" s="3">
        <v>3</v>
      </c>
      <c r="K441" s="3">
        <v>2</v>
      </c>
      <c r="L441" s="3">
        <v>7</v>
      </c>
      <c r="M441" s="3">
        <v>3</v>
      </c>
      <c r="N441" s="3">
        <v>1</v>
      </c>
      <c r="O441" s="3">
        <v>2</v>
      </c>
      <c r="P441" s="3">
        <v>2</v>
      </c>
      <c r="Q441" s="3">
        <v>5</v>
      </c>
      <c r="R441" s="3">
        <v>0</v>
      </c>
      <c r="T441">
        <f>SUM(Table1[[#This Row],[DTP Received]:[LPO/ LOA/ SOA Issue Date]])</f>
        <v>39</v>
      </c>
    </row>
    <row r="442" spans="2:20" x14ac:dyDescent="0.25">
      <c r="B442" t="s">
        <v>925</v>
      </c>
      <c r="C442" t="s">
        <v>371</v>
      </c>
      <c r="D442" s="3">
        <v>2</v>
      </c>
      <c r="E442" s="3">
        <v>1</v>
      </c>
      <c r="F442" s="3">
        <v>0</v>
      </c>
      <c r="G442" s="3">
        <v>5</v>
      </c>
      <c r="H442" s="3">
        <v>5</v>
      </c>
      <c r="I442" s="3">
        <v>1</v>
      </c>
      <c r="J442" s="3">
        <v>3</v>
      </c>
      <c r="K442" s="3">
        <v>2</v>
      </c>
      <c r="L442" s="3">
        <v>7</v>
      </c>
      <c r="M442" s="3">
        <v>3</v>
      </c>
      <c r="N442" s="3">
        <v>1</v>
      </c>
      <c r="O442" s="3">
        <v>2</v>
      </c>
      <c r="P442" s="3">
        <v>2</v>
      </c>
      <c r="Q442" s="3">
        <v>5</v>
      </c>
      <c r="R442" s="3">
        <v>0</v>
      </c>
      <c r="T442">
        <f>SUM(Table1[[#This Row],[DTP Received]:[LPO/ LOA/ SOA Issue Date]])</f>
        <v>39</v>
      </c>
    </row>
    <row r="443" spans="2:20" x14ac:dyDescent="0.25">
      <c r="B443" t="s">
        <v>926</v>
      </c>
      <c r="C443" t="s">
        <v>371</v>
      </c>
      <c r="D443" s="3">
        <v>2</v>
      </c>
      <c r="E443" s="3">
        <v>1</v>
      </c>
      <c r="F443" s="3">
        <v>0</v>
      </c>
      <c r="G443" s="3">
        <v>5</v>
      </c>
      <c r="H443" s="3">
        <v>5</v>
      </c>
      <c r="I443" s="3">
        <v>1</v>
      </c>
      <c r="J443" s="3">
        <v>3</v>
      </c>
      <c r="K443" s="3">
        <v>2</v>
      </c>
      <c r="L443" s="3">
        <v>7</v>
      </c>
      <c r="M443" s="3">
        <v>3</v>
      </c>
      <c r="N443" s="3">
        <v>1</v>
      </c>
      <c r="O443" s="3">
        <v>2</v>
      </c>
      <c r="P443" s="3">
        <v>2</v>
      </c>
      <c r="Q443" s="3">
        <v>5</v>
      </c>
      <c r="R443" s="3">
        <v>0</v>
      </c>
      <c r="T443">
        <f>SUM(Table1[[#This Row],[DTP Received]:[LPO/ LOA/ SOA Issue Date]])</f>
        <v>39</v>
      </c>
    </row>
    <row r="444" spans="2:20" x14ac:dyDescent="0.25">
      <c r="B444" t="s">
        <v>927</v>
      </c>
      <c r="C444" t="s">
        <v>371</v>
      </c>
      <c r="D444" s="3">
        <v>2</v>
      </c>
      <c r="E444" s="3">
        <v>1</v>
      </c>
      <c r="F444" s="3">
        <v>0</v>
      </c>
      <c r="G444" s="3">
        <v>5</v>
      </c>
      <c r="H444" s="3">
        <v>5</v>
      </c>
      <c r="I444" s="3">
        <v>1</v>
      </c>
      <c r="J444" s="3">
        <v>3</v>
      </c>
      <c r="K444" s="3">
        <v>2</v>
      </c>
      <c r="L444" s="3">
        <v>7</v>
      </c>
      <c r="M444" s="3">
        <v>3</v>
      </c>
      <c r="N444" s="3">
        <v>1</v>
      </c>
      <c r="O444" s="3">
        <v>2</v>
      </c>
      <c r="P444" s="3">
        <v>2</v>
      </c>
      <c r="Q444" s="3">
        <v>5</v>
      </c>
      <c r="R444" s="3">
        <v>0</v>
      </c>
      <c r="T444">
        <f>SUM(Table1[[#This Row],[DTP Received]:[LPO/ LOA/ SOA Issue Date]])</f>
        <v>39</v>
      </c>
    </row>
    <row r="445" spans="2:20" x14ac:dyDescent="0.25">
      <c r="B445" t="s">
        <v>928</v>
      </c>
      <c r="C445" t="s">
        <v>371</v>
      </c>
      <c r="D445" s="3">
        <v>2</v>
      </c>
      <c r="E445" s="3">
        <v>1</v>
      </c>
      <c r="F445" s="3">
        <v>0</v>
      </c>
      <c r="G445" s="3">
        <v>5</v>
      </c>
      <c r="H445" s="3">
        <v>5</v>
      </c>
      <c r="I445" s="3">
        <v>1</v>
      </c>
      <c r="J445" s="3">
        <v>3</v>
      </c>
      <c r="K445" s="3">
        <v>2</v>
      </c>
      <c r="L445" s="3">
        <v>7</v>
      </c>
      <c r="M445" s="3">
        <v>3</v>
      </c>
      <c r="N445" s="3">
        <v>1</v>
      </c>
      <c r="O445" s="3">
        <v>2</v>
      </c>
      <c r="P445" s="3">
        <v>2</v>
      </c>
      <c r="Q445" s="3">
        <v>5</v>
      </c>
      <c r="R445" s="3">
        <v>0</v>
      </c>
      <c r="T445">
        <f>SUM(Table1[[#This Row],[DTP Received]:[LPO/ LOA/ SOA Issue Date]])</f>
        <v>39</v>
      </c>
    </row>
    <row r="446" spans="2:20" x14ac:dyDescent="0.25">
      <c r="B446" t="s">
        <v>929</v>
      </c>
      <c r="C446" t="s">
        <v>371</v>
      </c>
      <c r="D446" s="3">
        <v>2</v>
      </c>
      <c r="E446" s="3">
        <v>1</v>
      </c>
      <c r="F446" s="3">
        <v>0</v>
      </c>
      <c r="G446" s="3">
        <v>5</v>
      </c>
      <c r="H446" s="3">
        <v>5</v>
      </c>
      <c r="I446" s="3">
        <v>1</v>
      </c>
      <c r="J446" s="3">
        <v>3</v>
      </c>
      <c r="K446" s="3">
        <v>2</v>
      </c>
      <c r="L446" s="3">
        <v>7</v>
      </c>
      <c r="M446" s="3">
        <v>3</v>
      </c>
      <c r="N446" s="3">
        <v>1</v>
      </c>
      <c r="O446" s="3">
        <v>2</v>
      </c>
      <c r="P446" s="3">
        <v>2</v>
      </c>
      <c r="Q446" s="3">
        <v>5</v>
      </c>
      <c r="R446" s="3">
        <v>0</v>
      </c>
      <c r="T446">
        <f>SUM(Table1[[#This Row],[DTP Received]:[LPO/ LOA/ SOA Issue Date]])</f>
        <v>39</v>
      </c>
    </row>
    <row r="447" spans="2:20" x14ac:dyDescent="0.25">
      <c r="B447" t="s">
        <v>242</v>
      </c>
      <c r="C447" t="s">
        <v>353</v>
      </c>
      <c r="D447" s="3">
        <v>2</v>
      </c>
      <c r="E447" s="3">
        <v>1</v>
      </c>
      <c r="F447" s="3">
        <v>0</v>
      </c>
      <c r="G447" s="3">
        <v>5</v>
      </c>
      <c r="H447" s="3">
        <v>2</v>
      </c>
      <c r="I447" s="3">
        <v>1</v>
      </c>
      <c r="J447" s="3">
        <v>3</v>
      </c>
      <c r="K447" s="3">
        <v>2</v>
      </c>
      <c r="L447" s="3">
        <v>0</v>
      </c>
      <c r="M447" s="3">
        <v>2</v>
      </c>
      <c r="N447" s="3">
        <v>1</v>
      </c>
      <c r="O447" s="3">
        <v>2</v>
      </c>
      <c r="P447" s="3">
        <v>2</v>
      </c>
      <c r="Q447" s="3">
        <v>5</v>
      </c>
      <c r="R447" s="3">
        <v>0</v>
      </c>
      <c r="T447">
        <f>SUM(Table1[[#This Row],[DTP Received]:[LPO/ LOA/ SOA Issue Date]])</f>
        <v>28</v>
      </c>
    </row>
    <row r="448" spans="2:20" x14ac:dyDescent="0.25">
      <c r="B448" t="s">
        <v>258</v>
      </c>
      <c r="C448" t="s">
        <v>930</v>
      </c>
      <c r="D448" s="3">
        <v>2</v>
      </c>
      <c r="E448" s="3">
        <v>1</v>
      </c>
      <c r="F448" s="3">
        <v>0</v>
      </c>
      <c r="G448" s="3">
        <v>5</v>
      </c>
      <c r="H448" s="3">
        <v>5</v>
      </c>
      <c r="I448" s="3">
        <v>1</v>
      </c>
      <c r="J448" s="3">
        <v>3</v>
      </c>
      <c r="K448" s="3">
        <v>2</v>
      </c>
      <c r="L448" s="3">
        <v>7</v>
      </c>
      <c r="M448" s="3">
        <v>10</v>
      </c>
      <c r="N448" s="3">
        <v>1</v>
      </c>
      <c r="O448" s="3">
        <v>2</v>
      </c>
      <c r="P448" s="3">
        <v>2</v>
      </c>
      <c r="Q448" s="3">
        <v>5</v>
      </c>
      <c r="R448" s="3">
        <v>0</v>
      </c>
      <c r="T448">
        <f>SUM(Table1[[#This Row],[DTP Received]:[LPO/ LOA/ SOA Issue Date]])</f>
        <v>46</v>
      </c>
    </row>
    <row r="449" spans="2:20" x14ac:dyDescent="0.25">
      <c r="B449" t="s">
        <v>215</v>
      </c>
      <c r="C449" t="s">
        <v>331</v>
      </c>
      <c r="D449" s="3">
        <v>2</v>
      </c>
      <c r="E449" s="3">
        <v>1</v>
      </c>
      <c r="F449" s="3">
        <v>0</v>
      </c>
      <c r="G449" s="3">
        <v>5</v>
      </c>
      <c r="H449" s="3">
        <v>5</v>
      </c>
      <c r="I449" s="3">
        <v>1</v>
      </c>
      <c r="J449" s="3">
        <v>3</v>
      </c>
      <c r="K449" s="3">
        <v>2</v>
      </c>
      <c r="L449" s="3">
        <v>7</v>
      </c>
      <c r="M449" s="3">
        <v>3</v>
      </c>
      <c r="N449" s="3">
        <v>1</v>
      </c>
      <c r="O449" s="3">
        <v>2</v>
      </c>
      <c r="P449" s="3">
        <v>2</v>
      </c>
      <c r="Q449" s="3">
        <v>5</v>
      </c>
      <c r="R449" s="3">
        <v>0</v>
      </c>
      <c r="T449">
        <f>SUM(Table1[[#This Row],[DTP Received]:[LPO/ LOA/ SOA Issue Date]])</f>
        <v>39</v>
      </c>
    </row>
    <row r="450" spans="2:20" x14ac:dyDescent="0.25">
      <c r="B450" t="s">
        <v>219</v>
      </c>
      <c r="C450" t="s">
        <v>332</v>
      </c>
      <c r="D450" s="3">
        <v>2</v>
      </c>
      <c r="E450" s="3">
        <v>1</v>
      </c>
      <c r="F450" s="3">
        <v>0</v>
      </c>
      <c r="G450" s="3">
        <v>5</v>
      </c>
      <c r="H450" s="3">
        <v>5</v>
      </c>
      <c r="I450" s="3">
        <v>1</v>
      </c>
      <c r="J450" s="3">
        <v>3</v>
      </c>
      <c r="K450" s="3">
        <v>2</v>
      </c>
      <c r="L450" s="3">
        <v>7</v>
      </c>
      <c r="M450" s="3">
        <v>3</v>
      </c>
      <c r="N450" s="3">
        <v>1</v>
      </c>
      <c r="O450" s="3">
        <v>2</v>
      </c>
      <c r="P450" s="3">
        <v>2</v>
      </c>
      <c r="Q450" s="3">
        <v>5</v>
      </c>
      <c r="R450" s="3">
        <v>0</v>
      </c>
      <c r="T450">
        <f>SUM(Table1[[#This Row],[DTP Received]:[LPO/ LOA/ SOA Issue Date]])</f>
        <v>39</v>
      </c>
    </row>
    <row r="451" spans="2:20" x14ac:dyDescent="0.25">
      <c r="B451" t="s">
        <v>931</v>
      </c>
      <c r="C451" t="s">
        <v>932</v>
      </c>
      <c r="D451" s="3">
        <v>2</v>
      </c>
      <c r="E451" s="3">
        <v>1</v>
      </c>
      <c r="F451" s="3">
        <v>0</v>
      </c>
      <c r="G451" s="3">
        <v>7</v>
      </c>
      <c r="H451" s="3">
        <v>5</v>
      </c>
      <c r="I451" s="3">
        <v>1</v>
      </c>
      <c r="J451" s="3">
        <v>3</v>
      </c>
      <c r="K451" s="3">
        <v>2</v>
      </c>
      <c r="L451" s="3">
        <v>3</v>
      </c>
      <c r="M451" s="3">
        <v>3</v>
      </c>
      <c r="N451" s="3">
        <v>1</v>
      </c>
      <c r="O451" s="3">
        <v>2</v>
      </c>
      <c r="P451" s="3">
        <v>2</v>
      </c>
      <c r="Q451" s="3">
        <v>5</v>
      </c>
      <c r="R451" s="3">
        <v>0</v>
      </c>
      <c r="T451">
        <f>SUM(Table1[[#This Row],[DTP Received]:[LPO/ LOA/ SOA Issue Date]])</f>
        <v>37</v>
      </c>
    </row>
    <row r="452" spans="2:20" x14ac:dyDescent="0.25">
      <c r="B452" t="s">
        <v>250</v>
      </c>
      <c r="C452" t="s">
        <v>360</v>
      </c>
      <c r="D452" s="3">
        <v>2</v>
      </c>
      <c r="E452" s="3">
        <v>1</v>
      </c>
      <c r="F452" s="3">
        <v>0</v>
      </c>
      <c r="G452" s="3">
        <v>5</v>
      </c>
      <c r="H452" s="3">
        <v>5</v>
      </c>
      <c r="I452" s="3">
        <v>1</v>
      </c>
      <c r="J452" s="3">
        <v>3</v>
      </c>
      <c r="K452" s="3">
        <v>2</v>
      </c>
      <c r="L452" s="3">
        <v>7</v>
      </c>
      <c r="M452" s="3">
        <v>3</v>
      </c>
      <c r="N452" s="3">
        <v>1</v>
      </c>
      <c r="O452" s="3">
        <v>2</v>
      </c>
      <c r="P452" s="3">
        <v>2</v>
      </c>
      <c r="Q452" s="3">
        <v>5</v>
      </c>
      <c r="R452" s="3">
        <v>0</v>
      </c>
      <c r="T452">
        <f>SUM(Table1[[#This Row],[DTP Received]:[LPO/ LOA/ SOA Issue Date]])</f>
        <v>39</v>
      </c>
    </row>
    <row r="453" spans="2:20" x14ac:dyDescent="0.25">
      <c r="B453" t="s">
        <v>933</v>
      </c>
      <c r="C453" t="s">
        <v>934</v>
      </c>
      <c r="D453" s="3">
        <v>2</v>
      </c>
      <c r="E453" s="3">
        <v>1</v>
      </c>
      <c r="F453" s="3">
        <v>0</v>
      </c>
      <c r="G453" s="3">
        <v>5</v>
      </c>
      <c r="H453" s="3">
        <v>5</v>
      </c>
      <c r="I453" s="3">
        <v>1</v>
      </c>
      <c r="J453" s="3">
        <v>3</v>
      </c>
      <c r="K453" s="3">
        <v>2</v>
      </c>
      <c r="L453" s="3">
        <v>7</v>
      </c>
      <c r="M453" s="3">
        <v>3</v>
      </c>
      <c r="N453" s="3">
        <v>1</v>
      </c>
      <c r="O453" s="3">
        <v>2</v>
      </c>
      <c r="P453" s="3">
        <v>2</v>
      </c>
      <c r="Q453" s="3">
        <v>5</v>
      </c>
      <c r="R453" s="3">
        <v>0</v>
      </c>
      <c r="T453">
        <f>SUM(Table1[[#This Row],[DTP Received]:[LPO/ LOA/ SOA Issue Date]])</f>
        <v>39</v>
      </c>
    </row>
    <row r="454" spans="2:20" x14ac:dyDescent="0.25">
      <c r="B454" t="s">
        <v>935</v>
      </c>
      <c r="C454" t="s">
        <v>371</v>
      </c>
      <c r="D454" s="3">
        <v>2</v>
      </c>
      <c r="E454" s="3">
        <v>1</v>
      </c>
      <c r="F454" s="3">
        <v>0</v>
      </c>
      <c r="G454" s="3">
        <v>5</v>
      </c>
      <c r="H454" s="3">
        <v>5</v>
      </c>
      <c r="I454" s="3">
        <v>1</v>
      </c>
      <c r="J454" s="3">
        <v>3</v>
      </c>
      <c r="K454" s="3">
        <v>2</v>
      </c>
      <c r="L454" s="3">
        <v>7</v>
      </c>
      <c r="M454" s="3">
        <v>3</v>
      </c>
      <c r="N454" s="3">
        <v>1</v>
      </c>
      <c r="O454" s="3">
        <v>2</v>
      </c>
      <c r="P454" s="3">
        <v>2</v>
      </c>
      <c r="Q454" s="3">
        <v>5</v>
      </c>
      <c r="R454" s="3">
        <v>0</v>
      </c>
      <c r="T454">
        <f>SUM(Table1[[#This Row],[DTP Received]:[LPO/ LOA/ SOA Issue Date]])</f>
        <v>39</v>
      </c>
    </row>
    <row r="455" spans="2:20" x14ac:dyDescent="0.25">
      <c r="B455" t="s">
        <v>936</v>
      </c>
      <c r="C455" t="s">
        <v>371</v>
      </c>
      <c r="D455" s="3">
        <v>2</v>
      </c>
      <c r="E455" s="3">
        <v>1</v>
      </c>
      <c r="F455" s="3">
        <v>0</v>
      </c>
      <c r="G455" s="3">
        <v>5</v>
      </c>
      <c r="H455" s="3">
        <v>5</v>
      </c>
      <c r="I455" s="3">
        <v>1</v>
      </c>
      <c r="J455" s="3">
        <v>3</v>
      </c>
      <c r="K455" s="3">
        <v>2</v>
      </c>
      <c r="L455" s="3">
        <v>7</v>
      </c>
      <c r="M455" s="3">
        <v>3</v>
      </c>
      <c r="N455" s="3">
        <v>1</v>
      </c>
      <c r="O455" s="3">
        <v>2</v>
      </c>
      <c r="P455" s="3">
        <v>2</v>
      </c>
      <c r="Q455" s="3">
        <v>5</v>
      </c>
      <c r="R455" s="3">
        <v>0</v>
      </c>
      <c r="T455">
        <f>SUM(Table1[[#This Row],[DTP Received]:[LPO/ LOA/ SOA Issue Date]])</f>
        <v>39</v>
      </c>
    </row>
    <row r="456" spans="2:20" x14ac:dyDescent="0.25">
      <c r="B456" t="s">
        <v>937</v>
      </c>
      <c r="C456" t="s">
        <v>371</v>
      </c>
      <c r="D456" s="3">
        <v>2</v>
      </c>
      <c r="E456" s="3">
        <v>1</v>
      </c>
      <c r="F456" s="3">
        <v>0</v>
      </c>
      <c r="G456" s="3">
        <v>5</v>
      </c>
      <c r="H456" s="3">
        <v>5</v>
      </c>
      <c r="I456" s="3">
        <v>1</v>
      </c>
      <c r="J456" s="3">
        <v>3</v>
      </c>
      <c r="K456" s="3">
        <v>2</v>
      </c>
      <c r="L456" s="3">
        <v>7</v>
      </c>
      <c r="M456" s="3">
        <v>3</v>
      </c>
      <c r="N456" s="3">
        <v>1</v>
      </c>
      <c r="O456" s="3">
        <v>2</v>
      </c>
      <c r="P456" s="3">
        <v>2</v>
      </c>
      <c r="Q456" s="3">
        <v>5</v>
      </c>
      <c r="R456" s="3">
        <v>0</v>
      </c>
      <c r="T456">
        <f>SUM(Table1[[#This Row],[DTP Received]:[LPO/ LOA/ SOA Issue Date]])</f>
        <v>39</v>
      </c>
    </row>
    <row r="457" spans="2:20" x14ac:dyDescent="0.25">
      <c r="B457" t="s">
        <v>938</v>
      </c>
      <c r="C457" t="s">
        <v>939</v>
      </c>
      <c r="D457" s="3">
        <v>2</v>
      </c>
      <c r="E457" s="3">
        <v>1</v>
      </c>
      <c r="F457" s="3">
        <v>0</v>
      </c>
      <c r="G457" s="3">
        <v>5</v>
      </c>
      <c r="H457" s="3">
        <v>5</v>
      </c>
      <c r="I457" s="3">
        <v>1</v>
      </c>
      <c r="J457" s="3">
        <v>3</v>
      </c>
      <c r="K457" s="3">
        <v>2</v>
      </c>
      <c r="L457" s="3">
        <v>7</v>
      </c>
      <c r="M457" s="3">
        <v>3</v>
      </c>
      <c r="N457" s="3">
        <v>1</v>
      </c>
      <c r="O457" s="3">
        <v>2</v>
      </c>
      <c r="P457" s="3">
        <v>2</v>
      </c>
      <c r="Q457" s="3">
        <v>5</v>
      </c>
      <c r="R457" s="3">
        <v>0</v>
      </c>
      <c r="T457">
        <f>SUM(Table1[[#This Row],[DTP Received]:[LPO/ LOA/ SOA Issue Date]])</f>
        <v>39</v>
      </c>
    </row>
    <row r="458" spans="2:20" x14ac:dyDescent="0.25">
      <c r="B458" t="s">
        <v>214</v>
      </c>
      <c r="C458" t="s">
        <v>329</v>
      </c>
      <c r="D458" s="3">
        <v>2</v>
      </c>
      <c r="E458" s="3">
        <v>1</v>
      </c>
      <c r="F458" s="3">
        <v>0</v>
      </c>
      <c r="G458" s="3">
        <v>5</v>
      </c>
      <c r="H458" s="3">
        <v>5</v>
      </c>
      <c r="I458" s="3">
        <v>1</v>
      </c>
      <c r="J458" s="3">
        <v>3</v>
      </c>
      <c r="K458" s="3">
        <v>2</v>
      </c>
      <c r="L458" s="3">
        <v>7</v>
      </c>
      <c r="M458" s="3">
        <v>3</v>
      </c>
      <c r="N458" s="3">
        <v>1</v>
      </c>
      <c r="O458" s="3">
        <v>2</v>
      </c>
      <c r="P458" s="3">
        <v>2</v>
      </c>
      <c r="Q458" s="3">
        <v>5</v>
      </c>
      <c r="R458" s="3">
        <v>0</v>
      </c>
      <c r="T458">
        <f>SUM(Table1[[#This Row],[DTP Received]:[LPO/ LOA/ SOA Issue Date]])</f>
        <v>39</v>
      </c>
    </row>
    <row r="459" spans="2:20" x14ac:dyDescent="0.25">
      <c r="B459" t="s">
        <v>940</v>
      </c>
      <c r="C459" t="s">
        <v>941</v>
      </c>
      <c r="D459" s="3">
        <v>2</v>
      </c>
      <c r="E459" s="3">
        <v>1</v>
      </c>
      <c r="F459" s="3">
        <v>0</v>
      </c>
      <c r="G459" s="3">
        <v>5</v>
      </c>
      <c r="H459" s="3">
        <v>5</v>
      </c>
      <c r="I459" s="3">
        <v>1</v>
      </c>
      <c r="J459" s="3">
        <v>3</v>
      </c>
      <c r="K459" s="3">
        <v>2</v>
      </c>
      <c r="L459" s="3">
        <v>7</v>
      </c>
      <c r="M459" s="3">
        <v>3</v>
      </c>
      <c r="N459" s="3">
        <v>1</v>
      </c>
      <c r="O459" s="3">
        <v>2</v>
      </c>
      <c r="P459" s="3">
        <v>2</v>
      </c>
      <c r="Q459" s="3">
        <v>5</v>
      </c>
      <c r="R459" s="3">
        <v>0</v>
      </c>
      <c r="T459">
        <f>SUM(Table1[[#This Row],[DTP Received]:[LPO/ LOA/ SOA Issue Date]])</f>
        <v>39</v>
      </c>
    </row>
    <row r="460" spans="2:20" x14ac:dyDescent="0.25">
      <c r="B460" t="s">
        <v>942</v>
      </c>
      <c r="C460" t="s">
        <v>943</v>
      </c>
      <c r="D460" s="3">
        <v>2</v>
      </c>
      <c r="E460" s="3">
        <v>1</v>
      </c>
      <c r="F460" s="3">
        <v>0</v>
      </c>
      <c r="G460" s="3">
        <v>5</v>
      </c>
      <c r="H460" s="3">
        <v>5</v>
      </c>
      <c r="I460" s="3">
        <v>1</v>
      </c>
      <c r="J460" s="3">
        <v>3</v>
      </c>
      <c r="K460" s="3">
        <v>2</v>
      </c>
      <c r="L460" s="3">
        <v>7</v>
      </c>
      <c r="M460" s="3">
        <v>3</v>
      </c>
      <c r="N460" s="3">
        <v>1</v>
      </c>
      <c r="O460" s="3">
        <v>2</v>
      </c>
      <c r="P460" s="3">
        <v>2</v>
      </c>
      <c r="Q460" s="3">
        <v>5</v>
      </c>
      <c r="R460" s="3">
        <v>0</v>
      </c>
      <c r="T460">
        <f>SUM(Table1[[#This Row],[DTP Received]:[LPO/ LOA/ SOA Issue Date]])</f>
        <v>39</v>
      </c>
    </row>
    <row r="461" spans="2:20" x14ac:dyDescent="0.25">
      <c r="B461" t="s">
        <v>944</v>
      </c>
      <c r="C461" t="s">
        <v>945</v>
      </c>
      <c r="D461" s="3">
        <v>2</v>
      </c>
      <c r="E461" s="3">
        <v>1</v>
      </c>
      <c r="F461" s="3">
        <v>0</v>
      </c>
      <c r="G461" s="3">
        <v>5</v>
      </c>
      <c r="H461" s="3">
        <v>5</v>
      </c>
      <c r="I461" s="3">
        <v>1</v>
      </c>
      <c r="J461" s="3">
        <v>3</v>
      </c>
      <c r="K461" s="3">
        <v>2</v>
      </c>
      <c r="L461" s="3">
        <v>7</v>
      </c>
      <c r="M461" s="3">
        <v>3</v>
      </c>
      <c r="N461" s="3">
        <v>1</v>
      </c>
      <c r="O461" s="3">
        <v>2</v>
      </c>
      <c r="P461" s="3">
        <v>2</v>
      </c>
      <c r="Q461" s="3">
        <v>5</v>
      </c>
      <c r="R461" s="3">
        <v>0</v>
      </c>
      <c r="T461">
        <f>SUM(Table1[[#This Row],[DTP Received]:[LPO/ LOA/ SOA Issue Date]])</f>
        <v>39</v>
      </c>
    </row>
    <row r="462" spans="2:20" x14ac:dyDescent="0.25">
      <c r="B462" t="s">
        <v>946</v>
      </c>
      <c r="C462" t="s">
        <v>947</v>
      </c>
      <c r="D462" s="3">
        <v>2</v>
      </c>
      <c r="E462" s="3">
        <v>1</v>
      </c>
      <c r="F462" s="3">
        <v>0</v>
      </c>
      <c r="G462" s="3">
        <v>5</v>
      </c>
      <c r="H462" s="3">
        <v>5</v>
      </c>
      <c r="I462" s="3">
        <v>1</v>
      </c>
      <c r="J462" s="3">
        <v>3</v>
      </c>
      <c r="K462" s="3">
        <v>2</v>
      </c>
      <c r="L462" s="3">
        <v>7</v>
      </c>
      <c r="M462" s="3">
        <v>3</v>
      </c>
      <c r="N462" s="3">
        <v>1</v>
      </c>
      <c r="O462" s="3">
        <v>2</v>
      </c>
      <c r="P462" s="3">
        <v>2</v>
      </c>
      <c r="Q462" s="3">
        <v>5</v>
      </c>
      <c r="R462" s="3">
        <v>0</v>
      </c>
      <c r="T462">
        <f>SUM(Table1[[#This Row],[DTP Received]:[LPO/ LOA/ SOA Issue Date]])</f>
        <v>39</v>
      </c>
    </row>
    <row r="463" spans="2:20" x14ac:dyDescent="0.25">
      <c r="B463" t="s">
        <v>948</v>
      </c>
      <c r="C463" t="s">
        <v>949</v>
      </c>
      <c r="D463" s="3">
        <v>2</v>
      </c>
      <c r="E463" s="3">
        <v>1</v>
      </c>
      <c r="F463" s="3">
        <v>0</v>
      </c>
      <c r="G463" s="3">
        <v>5</v>
      </c>
      <c r="H463" s="3">
        <v>5</v>
      </c>
      <c r="I463" s="3">
        <v>1</v>
      </c>
      <c r="J463" s="3">
        <v>3</v>
      </c>
      <c r="K463" s="3">
        <v>2</v>
      </c>
      <c r="L463" s="3">
        <v>7</v>
      </c>
      <c r="M463" s="3">
        <v>3</v>
      </c>
      <c r="N463" s="3">
        <v>1</v>
      </c>
      <c r="O463" s="3">
        <v>2</v>
      </c>
      <c r="P463" s="3">
        <v>2</v>
      </c>
      <c r="Q463" s="3">
        <v>5</v>
      </c>
      <c r="R463" s="3">
        <v>0</v>
      </c>
      <c r="T463">
        <f>SUM(Table1[[#This Row],[DTP Received]:[LPO/ LOA/ SOA Issue Date]])</f>
        <v>39</v>
      </c>
    </row>
    <row r="464" spans="2:20" x14ac:dyDescent="0.25">
      <c r="B464" t="s">
        <v>950</v>
      </c>
      <c r="C464" t="s">
        <v>371</v>
      </c>
      <c r="D464" s="3">
        <v>2</v>
      </c>
      <c r="E464" s="3">
        <v>1</v>
      </c>
      <c r="F464" s="3">
        <v>0</v>
      </c>
      <c r="G464" s="3">
        <v>5</v>
      </c>
      <c r="H464" s="3">
        <v>5</v>
      </c>
      <c r="I464" s="3">
        <v>1</v>
      </c>
      <c r="J464" s="3">
        <v>3</v>
      </c>
      <c r="K464" s="3">
        <v>2</v>
      </c>
      <c r="L464" s="3">
        <v>7</v>
      </c>
      <c r="M464" s="3">
        <v>3</v>
      </c>
      <c r="N464" s="3">
        <v>1</v>
      </c>
      <c r="O464" s="3">
        <v>2</v>
      </c>
      <c r="P464" s="3">
        <v>2</v>
      </c>
      <c r="Q464" s="3">
        <v>5</v>
      </c>
      <c r="R464" s="3">
        <v>0</v>
      </c>
      <c r="T464">
        <f>SUM(Table1[[#This Row],[DTP Received]:[LPO/ LOA/ SOA Issue Date]])</f>
        <v>39</v>
      </c>
    </row>
    <row r="465" spans="2:20" x14ac:dyDescent="0.25">
      <c r="B465" t="s">
        <v>951</v>
      </c>
      <c r="C465" t="s">
        <v>371</v>
      </c>
      <c r="D465" s="3">
        <v>2</v>
      </c>
      <c r="E465" s="3">
        <v>1</v>
      </c>
      <c r="F465" s="3">
        <v>0</v>
      </c>
      <c r="G465" s="3">
        <v>5</v>
      </c>
      <c r="H465" s="3">
        <v>5</v>
      </c>
      <c r="I465" s="3">
        <v>1</v>
      </c>
      <c r="J465" s="3">
        <v>3</v>
      </c>
      <c r="K465" s="3">
        <v>2</v>
      </c>
      <c r="L465" s="3">
        <v>7</v>
      </c>
      <c r="M465" s="3">
        <v>3</v>
      </c>
      <c r="N465" s="3">
        <v>1</v>
      </c>
      <c r="O465" s="3">
        <v>2</v>
      </c>
      <c r="P465" s="3">
        <v>2</v>
      </c>
      <c r="Q465" s="3">
        <v>5</v>
      </c>
      <c r="R465" s="3">
        <v>0</v>
      </c>
      <c r="T465">
        <f>SUM(Table1[[#This Row],[DTP Received]:[LPO/ LOA/ SOA Issue Date]])</f>
        <v>39</v>
      </c>
    </row>
    <row r="466" spans="2:20" x14ac:dyDescent="0.25">
      <c r="B466" t="s">
        <v>952</v>
      </c>
      <c r="C466" t="s">
        <v>371</v>
      </c>
      <c r="D466" s="3">
        <v>2</v>
      </c>
      <c r="E466" s="3">
        <v>1</v>
      </c>
      <c r="F466" s="3">
        <v>0</v>
      </c>
      <c r="G466" s="3">
        <v>5</v>
      </c>
      <c r="H466" s="3">
        <v>5</v>
      </c>
      <c r="I466" s="3">
        <v>1</v>
      </c>
      <c r="J466" s="3">
        <v>3</v>
      </c>
      <c r="K466" s="3">
        <v>2</v>
      </c>
      <c r="L466" s="3">
        <v>7</v>
      </c>
      <c r="M466" s="3">
        <v>3</v>
      </c>
      <c r="N466" s="3">
        <v>1</v>
      </c>
      <c r="O466" s="3">
        <v>2</v>
      </c>
      <c r="P466" s="3">
        <v>2</v>
      </c>
      <c r="Q466" s="3">
        <v>5</v>
      </c>
      <c r="R466" s="3">
        <v>0</v>
      </c>
      <c r="T466">
        <f>SUM(Table1[[#This Row],[DTP Received]:[LPO/ LOA/ SOA Issue Date]])</f>
        <v>39</v>
      </c>
    </row>
    <row r="467" spans="2:20" x14ac:dyDescent="0.25">
      <c r="B467" t="s">
        <v>953</v>
      </c>
      <c r="C467" t="s">
        <v>371</v>
      </c>
      <c r="D467" s="3">
        <v>2</v>
      </c>
      <c r="E467" s="3">
        <v>1</v>
      </c>
      <c r="F467" s="3">
        <v>0</v>
      </c>
      <c r="G467" s="3">
        <v>5</v>
      </c>
      <c r="H467" s="3">
        <v>5</v>
      </c>
      <c r="I467" s="3">
        <v>1</v>
      </c>
      <c r="J467" s="3">
        <v>3</v>
      </c>
      <c r="K467" s="3">
        <v>2</v>
      </c>
      <c r="L467" s="3">
        <v>7</v>
      </c>
      <c r="M467" s="3">
        <v>3</v>
      </c>
      <c r="N467" s="3">
        <v>1</v>
      </c>
      <c r="O467" s="3">
        <v>2</v>
      </c>
      <c r="P467" s="3">
        <v>2</v>
      </c>
      <c r="Q467" s="3">
        <v>5</v>
      </c>
      <c r="R467" s="3">
        <v>0</v>
      </c>
      <c r="T467">
        <f>SUM(Table1[[#This Row],[DTP Received]:[LPO/ LOA/ SOA Issue Date]])</f>
        <v>39</v>
      </c>
    </row>
    <row r="468" spans="2:20" x14ac:dyDescent="0.25">
      <c r="B468" t="s">
        <v>954</v>
      </c>
      <c r="C468" t="s">
        <v>955</v>
      </c>
      <c r="D468" s="3">
        <v>2</v>
      </c>
      <c r="E468" s="3">
        <v>1</v>
      </c>
      <c r="F468" s="3">
        <v>0</v>
      </c>
      <c r="G468" s="3">
        <v>5</v>
      </c>
      <c r="H468" s="3">
        <v>5</v>
      </c>
      <c r="I468" s="3">
        <v>1</v>
      </c>
      <c r="J468" s="3">
        <v>3</v>
      </c>
      <c r="K468" s="3">
        <v>2</v>
      </c>
      <c r="L468" s="3">
        <v>7</v>
      </c>
      <c r="M468" s="3">
        <v>3</v>
      </c>
      <c r="N468" s="3">
        <v>1</v>
      </c>
      <c r="O468" s="3">
        <v>2</v>
      </c>
      <c r="P468" s="3">
        <v>2</v>
      </c>
      <c r="Q468" s="3">
        <v>5</v>
      </c>
      <c r="R468" s="3">
        <v>0</v>
      </c>
      <c r="T468">
        <f>SUM(Table1[[#This Row],[DTP Received]:[LPO/ LOA/ SOA Issue Date]])</f>
        <v>39</v>
      </c>
    </row>
    <row r="469" spans="2:20" x14ac:dyDescent="0.25">
      <c r="B469" t="s">
        <v>956</v>
      </c>
      <c r="C469" t="s">
        <v>957</v>
      </c>
      <c r="D469" s="3">
        <v>2</v>
      </c>
      <c r="E469" s="3">
        <v>1</v>
      </c>
      <c r="F469" s="3">
        <v>0</v>
      </c>
      <c r="G469" s="3">
        <v>5</v>
      </c>
      <c r="H469" s="3">
        <v>5</v>
      </c>
      <c r="I469" s="3">
        <v>1</v>
      </c>
      <c r="J469" s="3">
        <v>3</v>
      </c>
      <c r="K469" s="3">
        <v>2</v>
      </c>
      <c r="L469" s="3">
        <v>7</v>
      </c>
      <c r="M469" s="3">
        <v>3</v>
      </c>
      <c r="N469" s="3">
        <v>1</v>
      </c>
      <c r="O469" s="3">
        <v>2</v>
      </c>
      <c r="P469" s="3">
        <v>2</v>
      </c>
      <c r="Q469" s="3">
        <v>5</v>
      </c>
      <c r="R469" s="3">
        <v>0</v>
      </c>
      <c r="T469">
        <f>SUM(Table1[[#This Row],[DTP Received]:[LPO/ LOA/ SOA Issue Date]])</f>
        <v>39</v>
      </c>
    </row>
    <row r="470" spans="2:20" x14ac:dyDescent="0.25">
      <c r="B470" t="s">
        <v>958</v>
      </c>
      <c r="C470" t="s">
        <v>959</v>
      </c>
      <c r="D470" s="3">
        <v>2</v>
      </c>
      <c r="E470" s="3">
        <v>1</v>
      </c>
      <c r="F470" s="3">
        <v>0</v>
      </c>
      <c r="G470" s="3">
        <v>5</v>
      </c>
      <c r="H470" s="3">
        <v>5</v>
      </c>
      <c r="I470" s="3">
        <v>1</v>
      </c>
      <c r="J470" s="3">
        <v>3</v>
      </c>
      <c r="K470" s="3">
        <v>2</v>
      </c>
      <c r="L470" s="3">
        <v>7</v>
      </c>
      <c r="M470" s="3">
        <v>3</v>
      </c>
      <c r="N470" s="3">
        <v>1</v>
      </c>
      <c r="O470" s="3">
        <v>2</v>
      </c>
      <c r="P470" s="3">
        <v>2</v>
      </c>
      <c r="Q470" s="3">
        <v>5</v>
      </c>
      <c r="R470" s="3">
        <v>0</v>
      </c>
      <c r="T470">
        <f>SUM(Table1[[#This Row],[DTP Received]:[LPO/ LOA/ SOA Issue Date]])</f>
        <v>39</v>
      </c>
    </row>
    <row r="471" spans="2:20" x14ac:dyDescent="0.25">
      <c r="B471" t="s">
        <v>960</v>
      </c>
      <c r="C471" t="s">
        <v>961</v>
      </c>
      <c r="D471" s="3">
        <v>2</v>
      </c>
      <c r="E471" s="3">
        <v>1</v>
      </c>
      <c r="F471" s="3">
        <v>0</v>
      </c>
      <c r="G471" s="3">
        <v>5</v>
      </c>
      <c r="H471" s="3">
        <v>5</v>
      </c>
      <c r="I471" s="3">
        <v>1</v>
      </c>
      <c r="J471" s="3">
        <v>3</v>
      </c>
      <c r="K471" s="3">
        <v>2</v>
      </c>
      <c r="L471" s="3">
        <v>7</v>
      </c>
      <c r="M471" s="3">
        <v>3</v>
      </c>
      <c r="N471" s="3">
        <v>1</v>
      </c>
      <c r="O471" s="3">
        <v>2</v>
      </c>
      <c r="P471" s="3">
        <v>2</v>
      </c>
      <c r="Q471" s="3">
        <v>5</v>
      </c>
      <c r="R471" s="3">
        <v>0</v>
      </c>
      <c r="T471">
        <f>SUM(Table1[[#This Row],[DTP Received]:[LPO/ LOA/ SOA Issue Date]])</f>
        <v>39</v>
      </c>
    </row>
    <row r="472" spans="2:20" x14ac:dyDescent="0.25">
      <c r="B472" t="s">
        <v>962</v>
      </c>
      <c r="C472" t="s">
        <v>963</v>
      </c>
      <c r="D472" s="3">
        <v>2</v>
      </c>
      <c r="E472" s="3">
        <v>1</v>
      </c>
      <c r="F472" s="3">
        <v>0</v>
      </c>
      <c r="G472" s="3">
        <v>5</v>
      </c>
      <c r="H472" s="3">
        <v>5</v>
      </c>
      <c r="I472" s="3">
        <v>1</v>
      </c>
      <c r="J472" s="3">
        <v>3</v>
      </c>
      <c r="K472" s="3">
        <v>2</v>
      </c>
      <c r="L472" s="3">
        <v>7</v>
      </c>
      <c r="M472" s="3">
        <v>3</v>
      </c>
      <c r="N472" s="3">
        <v>1</v>
      </c>
      <c r="O472" s="3">
        <v>2</v>
      </c>
      <c r="P472" s="3">
        <v>2</v>
      </c>
      <c r="Q472" s="3">
        <v>5</v>
      </c>
      <c r="R472" s="3">
        <v>0</v>
      </c>
      <c r="T472">
        <f>SUM(Table1[[#This Row],[DTP Received]:[LPO/ LOA/ SOA Issue Date]])</f>
        <v>39</v>
      </c>
    </row>
    <row r="473" spans="2:20" x14ac:dyDescent="0.25">
      <c r="B473" t="s">
        <v>964</v>
      </c>
      <c r="C473" t="s">
        <v>965</v>
      </c>
      <c r="D473" s="3">
        <v>2</v>
      </c>
      <c r="E473" s="3">
        <v>1</v>
      </c>
      <c r="F473" s="3">
        <v>0</v>
      </c>
      <c r="G473" s="3">
        <v>5</v>
      </c>
      <c r="H473" s="3">
        <v>5</v>
      </c>
      <c r="I473" s="3">
        <v>1</v>
      </c>
      <c r="J473" s="3">
        <v>3</v>
      </c>
      <c r="K473" s="3">
        <v>2</v>
      </c>
      <c r="L473" s="3">
        <v>7</v>
      </c>
      <c r="M473" s="3">
        <v>3</v>
      </c>
      <c r="N473" s="3">
        <v>1</v>
      </c>
      <c r="O473" s="3">
        <v>2</v>
      </c>
      <c r="P473" s="3">
        <v>2</v>
      </c>
      <c r="Q473" s="3">
        <v>5</v>
      </c>
      <c r="R473" s="3">
        <v>0</v>
      </c>
      <c r="T473">
        <f>SUM(Table1[[#This Row],[DTP Received]:[LPO/ LOA/ SOA Issue Date]])</f>
        <v>39</v>
      </c>
    </row>
    <row r="474" spans="2:20" x14ac:dyDescent="0.25">
      <c r="B474" t="s">
        <v>966</v>
      </c>
      <c r="C474" t="s">
        <v>967</v>
      </c>
      <c r="D474" s="3">
        <v>2</v>
      </c>
      <c r="E474" s="3">
        <v>1</v>
      </c>
      <c r="F474" s="3">
        <v>0</v>
      </c>
      <c r="G474" s="3">
        <v>5</v>
      </c>
      <c r="H474" s="3">
        <v>5</v>
      </c>
      <c r="I474" s="3">
        <v>1</v>
      </c>
      <c r="J474" s="3">
        <v>3</v>
      </c>
      <c r="K474" s="3">
        <v>2</v>
      </c>
      <c r="L474" s="3">
        <v>7</v>
      </c>
      <c r="M474" s="3">
        <v>3</v>
      </c>
      <c r="N474" s="3">
        <v>1</v>
      </c>
      <c r="O474" s="3">
        <v>2</v>
      </c>
      <c r="P474" s="3">
        <v>2</v>
      </c>
      <c r="Q474" s="3">
        <v>5</v>
      </c>
      <c r="R474" s="3">
        <v>0</v>
      </c>
      <c r="T474">
        <f>SUM(Table1[[#This Row],[DTP Received]:[LPO/ LOA/ SOA Issue Date]])</f>
        <v>39</v>
      </c>
    </row>
    <row r="475" spans="2:20" x14ac:dyDescent="0.25">
      <c r="B475" t="s">
        <v>968</v>
      </c>
      <c r="C475" t="s">
        <v>969</v>
      </c>
      <c r="D475" s="3">
        <v>2</v>
      </c>
      <c r="E475" s="3">
        <v>1</v>
      </c>
      <c r="F475" s="3">
        <v>0</v>
      </c>
      <c r="G475" s="3">
        <v>5</v>
      </c>
      <c r="H475" s="3">
        <v>5</v>
      </c>
      <c r="I475" s="3">
        <v>1</v>
      </c>
      <c r="J475" s="3">
        <v>3</v>
      </c>
      <c r="K475" s="3">
        <v>2</v>
      </c>
      <c r="L475" s="3">
        <v>7</v>
      </c>
      <c r="M475" s="3">
        <v>3</v>
      </c>
      <c r="N475" s="3">
        <v>1</v>
      </c>
      <c r="O475" s="3">
        <v>2</v>
      </c>
      <c r="P475" s="3">
        <v>2</v>
      </c>
      <c r="Q475" s="3">
        <v>5</v>
      </c>
      <c r="R475" s="3">
        <v>0</v>
      </c>
      <c r="T475">
        <f>SUM(Table1[[#This Row],[DTP Received]:[LPO/ LOA/ SOA Issue Date]])</f>
        <v>39</v>
      </c>
    </row>
    <row r="476" spans="2:20" x14ac:dyDescent="0.25">
      <c r="B476" t="s">
        <v>970</v>
      </c>
      <c r="C476" t="s">
        <v>971</v>
      </c>
      <c r="D476" s="3">
        <v>2</v>
      </c>
      <c r="E476" s="3">
        <v>1</v>
      </c>
      <c r="F476" s="3">
        <v>0</v>
      </c>
      <c r="G476" s="3">
        <v>5</v>
      </c>
      <c r="H476" s="3">
        <v>5</v>
      </c>
      <c r="I476" s="3">
        <v>1</v>
      </c>
      <c r="J476" s="3">
        <v>3</v>
      </c>
      <c r="K476" s="3">
        <v>2</v>
      </c>
      <c r="L476" s="3">
        <v>7</v>
      </c>
      <c r="M476" s="3">
        <v>3</v>
      </c>
      <c r="N476" s="3">
        <v>1</v>
      </c>
      <c r="O476" s="3">
        <v>2</v>
      </c>
      <c r="P476" s="3">
        <v>2</v>
      </c>
      <c r="Q476" s="3">
        <v>5</v>
      </c>
      <c r="R476" s="3">
        <v>0</v>
      </c>
      <c r="T476">
        <f>SUM(Table1[[#This Row],[DTP Received]:[LPO/ LOA/ SOA Issue Date]])</f>
        <v>39</v>
      </c>
    </row>
    <row r="477" spans="2:20" x14ac:dyDescent="0.25">
      <c r="B477" t="s">
        <v>972</v>
      </c>
      <c r="C477" t="s">
        <v>973</v>
      </c>
      <c r="D477" s="3">
        <v>2</v>
      </c>
      <c r="E477" s="3">
        <v>1</v>
      </c>
      <c r="F477" s="3">
        <v>0</v>
      </c>
      <c r="G477" s="3">
        <v>5</v>
      </c>
      <c r="H477" s="3">
        <v>5</v>
      </c>
      <c r="I477" s="3">
        <v>1</v>
      </c>
      <c r="J477" s="3">
        <v>3</v>
      </c>
      <c r="K477" s="3">
        <v>2</v>
      </c>
      <c r="L477" s="3">
        <v>7</v>
      </c>
      <c r="M477" s="3">
        <v>3</v>
      </c>
      <c r="N477" s="3">
        <v>1</v>
      </c>
      <c r="O477" s="3">
        <v>2</v>
      </c>
      <c r="P477" s="3">
        <v>2</v>
      </c>
      <c r="Q477" s="3">
        <v>5</v>
      </c>
      <c r="R477" s="3">
        <v>0</v>
      </c>
      <c r="T477">
        <f>SUM(Table1[[#This Row],[DTP Received]:[LPO/ LOA/ SOA Issue Date]])</f>
        <v>39</v>
      </c>
    </row>
    <row r="478" spans="2:20" x14ac:dyDescent="0.25">
      <c r="B478" t="s">
        <v>974</v>
      </c>
      <c r="C478" t="s">
        <v>371</v>
      </c>
      <c r="D478" s="3">
        <v>2</v>
      </c>
      <c r="E478" s="3">
        <v>1</v>
      </c>
      <c r="F478" s="3">
        <v>0</v>
      </c>
      <c r="G478" s="3">
        <v>5</v>
      </c>
      <c r="H478" s="3">
        <v>5</v>
      </c>
      <c r="I478" s="3">
        <v>1</v>
      </c>
      <c r="J478" s="3">
        <v>3</v>
      </c>
      <c r="K478" s="3">
        <v>2</v>
      </c>
      <c r="L478" s="3">
        <v>7</v>
      </c>
      <c r="M478" s="3">
        <v>3</v>
      </c>
      <c r="N478" s="3">
        <v>1</v>
      </c>
      <c r="O478" s="3">
        <v>2</v>
      </c>
      <c r="P478" s="3">
        <v>2</v>
      </c>
      <c r="Q478" s="3">
        <v>5</v>
      </c>
      <c r="R478" s="3">
        <v>0</v>
      </c>
      <c r="T478">
        <f>SUM(Table1[[#This Row],[DTP Received]:[LPO/ LOA/ SOA Issue Date]])</f>
        <v>39</v>
      </c>
    </row>
    <row r="479" spans="2:20" x14ac:dyDescent="0.25">
      <c r="B479" t="s">
        <v>975</v>
      </c>
      <c r="C479" t="s">
        <v>371</v>
      </c>
      <c r="D479" s="3">
        <v>2</v>
      </c>
      <c r="E479" s="3">
        <v>1</v>
      </c>
      <c r="F479" s="3">
        <v>0</v>
      </c>
      <c r="G479" s="3">
        <v>5</v>
      </c>
      <c r="H479" s="3">
        <v>5</v>
      </c>
      <c r="I479" s="3">
        <v>1</v>
      </c>
      <c r="J479" s="3">
        <v>3</v>
      </c>
      <c r="K479" s="3">
        <v>2</v>
      </c>
      <c r="L479" s="3">
        <v>7</v>
      </c>
      <c r="M479" s="3">
        <v>3</v>
      </c>
      <c r="N479" s="3">
        <v>1</v>
      </c>
      <c r="O479" s="3">
        <v>2</v>
      </c>
      <c r="P479" s="3">
        <v>2</v>
      </c>
      <c r="Q479" s="3">
        <v>5</v>
      </c>
      <c r="R479" s="3">
        <v>0</v>
      </c>
      <c r="T479">
        <f>SUM(Table1[[#This Row],[DTP Received]:[LPO/ LOA/ SOA Issue Date]])</f>
        <v>39</v>
      </c>
    </row>
    <row r="480" spans="2:20" x14ac:dyDescent="0.25">
      <c r="B480" t="s">
        <v>976</v>
      </c>
      <c r="C480" t="s">
        <v>371</v>
      </c>
      <c r="D480" s="3">
        <v>2</v>
      </c>
      <c r="E480" s="3">
        <v>1</v>
      </c>
      <c r="F480" s="3">
        <v>0</v>
      </c>
      <c r="G480" s="3">
        <v>5</v>
      </c>
      <c r="H480" s="3">
        <v>5</v>
      </c>
      <c r="I480" s="3">
        <v>1</v>
      </c>
      <c r="J480" s="3">
        <v>3</v>
      </c>
      <c r="K480" s="3">
        <v>2</v>
      </c>
      <c r="L480" s="3">
        <v>7</v>
      </c>
      <c r="M480" s="3">
        <v>3</v>
      </c>
      <c r="N480" s="3">
        <v>1</v>
      </c>
      <c r="O480" s="3">
        <v>2</v>
      </c>
      <c r="P480" s="3">
        <v>2</v>
      </c>
      <c r="Q480" s="3">
        <v>5</v>
      </c>
      <c r="R480" s="3">
        <v>0</v>
      </c>
      <c r="T480">
        <f>SUM(Table1[[#This Row],[DTP Received]:[LPO/ LOA/ SOA Issue Date]])</f>
        <v>39</v>
      </c>
    </row>
    <row r="481" spans="2:20" x14ac:dyDescent="0.25">
      <c r="B481" t="s">
        <v>229</v>
      </c>
      <c r="C481" t="s">
        <v>348</v>
      </c>
      <c r="D481" s="3">
        <v>2</v>
      </c>
      <c r="E481" s="3">
        <v>1</v>
      </c>
      <c r="F481" s="3">
        <v>0</v>
      </c>
      <c r="G481" s="3">
        <v>10</v>
      </c>
      <c r="H481" s="3">
        <v>5</v>
      </c>
      <c r="I481" s="3">
        <v>1</v>
      </c>
      <c r="J481" s="3">
        <v>3</v>
      </c>
      <c r="K481" s="3">
        <v>2</v>
      </c>
      <c r="L481" s="3">
        <v>3</v>
      </c>
      <c r="M481" s="3">
        <v>3</v>
      </c>
      <c r="N481" s="3">
        <v>1</v>
      </c>
      <c r="O481" s="3">
        <v>2</v>
      </c>
      <c r="P481" s="3">
        <v>2</v>
      </c>
      <c r="Q481" s="3">
        <v>5</v>
      </c>
      <c r="R481" s="3">
        <v>0</v>
      </c>
      <c r="T481">
        <f>SUM(Table1[[#This Row],[DTP Received]:[LPO/ LOA/ SOA Issue Date]])</f>
        <v>40</v>
      </c>
    </row>
    <row r="482" spans="2:20" x14ac:dyDescent="0.25">
      <c r="B482" t="s">
        <v>977</v>
      </c>
      <c r="C482" t="s">
        <v>978</v>
      </c>
      <c r="D482" s="3">
        <v>2</v>
      </c>
      <c r="E482" s="3">
        <v>1</v>
      </c>
      <c r="F482" s="3">
        <v>0</v>
      </c>
      <c r="G482" s="3">
        <v>5</v>
      </c>
      <c r="H482" s="3">
        <v>5</v>
      </c>
      <c r="I482" s="3">
        <v>1</v>
      </c>
      <c r="J482" s="3">
        <v>3</v>
      </c>
      <c r="K482" s="3">
        <v>2</v>
      </c>
      <c r="L482" s="3">
        <v>7</v>
      </c>
      <c r="M482" s="3">
        <v>3</v>
      </c>
      <c r="N482" s="3">
        <v>1</v>
      </c>
      <c r="O482" s="3">
        <v>2</v>
      </c>
      <c r="P482" s="3">
        <v>2</v>
      </c>
      <c r="Q482" s="3">
        <v>5</v>
      </c>
      <c r="R482" s="3">
        <v>0</v>
      </c>
      <c r="T482">
        <f>SUM(Table1[[#This Row],[DTP Received]:[LPO/ LOA/ SOA Issue Date]])</f>
        <v>39</v>
      </c>
    </row>
    <row r="483" spans="2:20" x14ac:dyDescent="0.25">
      <c r="B483" t="s">
        <v>254</v>
      </c>
      <c r="C483" t="s">
        <v>108</v>
      </c>
      <c r="D483" s="3">
        <v>2</v>
      </c>
      <c r="E483" s="3">
        <v>1</v>
      </c>
      <c r="F483" s="3">
        <v>0</v>
      </c>
      <c r="G483" s="3">
        <v>7</v>
      </c>
      <c r="H483" s="3">
        <v>5</v>
      </c>
      <c r="I483" s="3">
        <v>1</v>
      </c>
      <c r="J483" s="3">
        <v>3</v>
      </c>
      <c r="K483" s="3">
        <v>2</v>
      </c>
      <c r="L483" s="3">
        <v>3</v>
      </c>
      <c r="M483" s="3">
        <v>3</v>
      </c>
      <c r="N483" s="3">
        <v>1</v>
      </c>
      <c r="O483" s="3">
        <v>2</v>
      </c>
      <c r="P483" s="3">
        <v>2</v>
      </c>
      <c r="Q483" s="3">
        <v>5</v>
      </c>
      <c r="R483" s="3">
        <v>0</v>
      </c>
      <c r="T483">
        <f>SUM(Table1[[#This Row],[DTP Received]:[LPO/ LOA/ SOA Issue Date]])</f>
        <v>37</v>
      </c>
    </row>
    <row r="484" spans="2:20" x14ac:dyDescent="0.25">
      <c r="B484" t="s">
        <v>979</v>
      </c>
      <c r="C484" t="s">
        <v>980</v>
      </c>
      <c r="D484" s="3">
        <v>2</v>
      </c>
      <c r="E484" s="3">
        <v>1</v>
      </c>
      <c r="F484" s="3">
        <v>0</v>
      </c>
      <c r="G484" s="3">
        <v>5</v>
      </c>
      <c r="H484" s="3">
        <v>5</v>
      </c>
      <c r="I484" s="3">
        <v>1</v>
      </c>
      <c r="J484" s="3">
        <v>3</v>
      </c>
      <c r="K484" s="3">
        <v>2</v>
      </c>
      <c r="L484" s="3">
        <v>7</v>
      </c>
      <c r="M484" s="3">
        <v>3</v>
      </c>
      <c r="N484" s="3">
        <v>1</v>
      </c>
      <c r="O484" s="3">
        <v>2</v>
      </c>
      <c r="P484" s="3">
        <v>2</v>
      </c>
      <c r="Q484" s="3">
        <v>5</v>
      </c>
      <c r="R484" s="3">
        <v>0</v>
      </c>
      <c r="T484">
        <f>SUM(Table1[[#This Row],[DTP Received]:[LPO/ LOA/ SOA Issue Date]])</f>
        <v>39</v>
      </c>
    </row>
    <row r="485" spans="2:20" x14ac:dyDescent="0.25">
      <c r="B485" t="s">
        <v>981</v>
      </c>
      <c r="C485" t="s">
        <v>371</v>
      </c>
      <c r="D485" s="3">
        <v>2</v>
      </c>
      <c r="E485" s="3">
        <v>1</v>
      </c>
      <c r="F485" s="3">
        <v>0</v>
      </c>
      <c r="G485" s="3">
        <v>5</v>
      </c>
      <c r="H485" s="3">
        <v>5</v>
      </c>
      <c r="I485" s="3">
        <v>1</v>
      </c>
      <c r="J485" s="3">
        <v>3</v>
      </c>
      <c r="K485" s="3">
        <v>2</v>
      </c>
      <c r="L485" s="3">
        <v>7</v>
      </c>
      <c r="M485" s="3">
        <v>3</v>
      </c>
      <c r="N485" s="3">
        <v>1</v>
      </c>
      <c r="O485" s="3">
        <v>2</v>
      </c>
      <c r="P485" s="3">
        <v>2</v>
      </c>
      <c r="Q485" s="3">
        <v>5</v>
      </c>
      <c r="R485" s="3">
        <v>0</v>
      </c>
      <c r="T485">
        <f>SUM(Table1[[#This Row],[DTP Received]:[LPO/ LOA/ SOA Issue Date]])</f>
        <v>39</v>
      </c>
    </row>
    <row r="486" spans="2:20" x14ac:dyDescent="0.25">
      <c r="B486" t="s">
        <v>982</v>
      </c>
      <c r="C486" t="s">
        <v>371</v>
      </c>
      <c r="D486" s="3">
        <v>2</v>
      </c>
      <c r="E486" s="3">
        <v>1</v>
      </c>
      <c r="F486" s="3">
        <v>0</v>
      </c>
      <c r="G486" s="3">
        <v>5</v>
      </c>
      <c r="H486" s="3">
        <v>5</v>
      </c>
      <c r="I486" s="3">
        <v>1</v>
      </c>
      <c r="J486" s="3">
        <v>3</v>
      </c>
      <c r="K486" s="3">
        <v>2</v>
      </c>
      <c r="L486" s="3">
        <v>7</v>
      </c>
      <c r="M486" s="3">
        <v>3</v>
      </c>
      <c r="N486" s="3">
        <v>1</v>
      </c>
      <c r="O486" s="3">
        <v>2</v>
      </c>
      <c r="P486" s="3">
        <v>2</v>
      </c>
      <c r="Q486" s="3">
        <v>5</v>
      </c>
      <c r="R486" s="3">
        <v>0</v>
      </c>
      <c r="T486">
        <f>SUM(Table1[[#This Row],[DTP Received]:[LPO/ LOA/ SOA Issue Date]])</f>
        <v>39</v>
      </c>
    </row>
    <row r="487" spans="2:20" x14ac:dyDescent="0.25">
      <c r="B487" t="s">
        <v>983</v>
      </c>
      <c r="C487" t="s">
        <v>371</v>
      </c>
      <c r="D487" s="3">
        <v>2</v>
      </c>
      <c r="E487" s="3">
        <v>1</v>
      </c>
      <c r="F487" s="3">
        <v>0</v>
      </c>
      <c r="G487" s="3">
        <v>5</v>
      </c>
      <c r="H487" s="3">
        <v>5</v>
      </c>
      <c r="I487" s="3">
        <v>1</v>
      </c>
      <c r="J487" s="3">
        <v>3</v>
      </c>
      <c r="K487" s="3">
        <v>2</v>
      </c>
      <c r="L487" s="3">
        <v>7</v>
      </c>
      <c r="M487" s="3">
        <v>3</v>
      </c>
      <c r="N487" s="3">
        <v>1</v>
      </c>
      <c r="O487" s="3">
        <v>2</v>
      </c>
      <c r="P487" s="3">
        <v>2</v>
      </c>
      <c r="Q487" s="3">
        <v>5</v>
      </c>
      <c r="R487" s="3">
        <v>0</v>
      </c>
      <c r="T487">
        <f>SUM(Table1[[#This Row],[DTP Received]:[LPO/ LOA/ SOA Issue Date]])</f>
        <v>39</v>
      </c>
    </row>
    <row r="488" spans="2:20" x14ac:dyDescent="0.25">
      <c r="B488" t="s">
        <v>984</v>
      </c>
      <c r="C488" t="s">
        <v>371</v>
      </c>
      <c r="D488" s="3">
        <v>2</v>
      </c>
      <c r="E488" s="3">
        <v>1</v>
      </c>
      <c r="F488" s="3">
        <v>0</v>
      </c>
      <c r="G488" s="3">
        <v>5</v>
      </c>
      <c r="H488" s="3">
        <v>5</v>
      </c>
      <c r="I488" s="3">
        <v>1</v>
      </c>
      <c r="J488" s="3">
        <v>3</v>
      </c>
      <c r="K488" s="3">
        <v>2</v>
      </c>
      <c r="L488" s="3">
        <v>7</v>
      </c>
      <c r="M488" s="3">
        <v>3</v>
      </c>
      <c r="N488" s="3">
        <v>1</v>
      </c>
      <c r="O488" s="3">
        <v>2</v>
      </c>
      <c r="P488" s="3">
        <v>2</v>
      </c>
      <c r="Q488" s="3">
        <v>5</v>
      </c>
      <c r="R488" s="3">
        <v>0</v>
      </c>
      <c r="T488">
        <f>SUM(Table1[[#This Row],[DTP Received]:[LPO/ LOA/ SOA Issue Date]])</f>
        <v>39</v>
      </c>
    </row>
    <row r="489" spans="2:20" x14ac:dyDescent="0.25">
      <c r="B489" t="s">
        <v>985</v>
      </c>
      <c r="C489" t="s">
        <v>371</v>
      </c>
      <c r="D489" s="3">
        <v>2</v>
      </c>
      <c r="E489" s="3">
        <v>1</v>
      </c>
      <c r="F489" s="3">
        <v>0</v>
      </c>
      <c r="G489" s="3">
        <v>5</v>
      </c>
      <c r="H489" s="3">
        <v>5</v>
      </c>
      <c r="I489" s="3">
        <v>1</v>
      </c>
      <c r="J489" s="3">
        <v>3</v>
      </c>
      <c r="K489" s="3">
        <v>2</v>
      </c>
      <c r="L489" s="3">
        <v>7</v>
      </c>
      <c r="M489" s="3">
        <v>3</v>
      </c>
      <c r="N489" s="3">
        <v>1</v>
      </c>
      <c r="O489" s="3">
        <v>2</v>
      </c>
      <c r="P489" s="3">
        <v>2</v>
      </c>
      <c r="Q489" s="3">
        <v>5</v>
      </c>
      <c r="R489" s="3">
        <v>0</v>
      </c>
      <c r="T489">
        <f>SUM(Table1[[#This Row],[DTP Received]:[LPO/ LOA/ SOA Issue Date]])</f>
        <v>39</v>
      </c>
    </row>
    <row r="490" spans="2:20" x14ac:dyDescent="0.25">
      <c r="B490" t="s">
        <v>264</v>
      </c>
      <c r="C490" t="s">
        <v>986</v>
      </c>
      <c r="D490" s="3">
        <v>2</v>
      </c>
      <c r="E490" s="3">
        <v>1</v>
      </c>
      <c r="F490" s="3">
        <v>0</v>
      </c>
      <c r="G490" s="3">
        <v>5</v>
      </c>
      <c r="H490" s="3">
        <v>5</v>
      </c>
      <c r="I490" s="3">
        <v>1</v>
      </c>
      <c r="J490" s="3">
        <v>3</v>
      </c>
      <c r="K490" s="3">
        <v>2</v>
      </c>
      <c r="L490" s="3">
        <v>7</v>
      </c>
      <c r="M490" s="3">
        <v>3</v>
      </c>
      <c r="N490" s="3">
        <v>1</v>
      </c>
      <c r="O490" s="3">
        <v>2</v>
      </c>
      <c r="P490" s="3">
        <v>2</v>
      </c>
      <c r="Q490" s="3">
        <v>5</v>
      </c>
      <c r="R490" s="3">
        <v>0</v>
      </c>
      <c r="T490">
        <f>SUM(Table1[[#This Row],[DTP Received]:[LPO/ LOA/ SOA Issue Date]])</f>
        <v>39</v>
      </c>
    </row>
    <row r="491" spans="2:20" x14ac:dyDescent="0.25">
      <c r="B491" t="s">
        <v>987</v>
      </c>
      <c r="C491" t="s">
        <v>988</v>
      </c>
      <c r="D491" s="3">
        <v>2</v>
      </c>
      <c r="E491" s="3">
        <v>1</v>
      </c>
      <c r="F491" s="3">
        <v>0</v>
      </c>
      <c r="G491" s="3">
        <v>5</v>
      </c>
      <c r="H491" s="3">
        <v>5</v>
      </c>
      <c r="I491" s="3">
        <v>1</v>
      </c>
      <c r="J491" s="3">
        <v>3</v>
      </c>
      <c r="K491" s="3">
        <v>2</v>
      </c>
      <c r="L491" s="3">
        <v>7</v>
      </c>
      <c r="M491" s="3">
        <v>3</v>
      </c>
      <c r="N491" s="3">
        <v>1</v>
      </c>
      <c r="O491" s="3">
        <v>2</v>
      </c>
      <c r="P491" s="3">
        <v>2</v>
      </c>
      <c r="Q491" s="3">
        <v>5</v>
      </c>
      <c r="R491" s="3">
        <v>0</v>
      </c>
      <c r="T491">
        <f>SUM(Table1[[#This Row],[DTP Received]:[LPO/ LOA/ SOA Issue Date]])</f>
        <v>39</v>
      </c>
    </row>
    <row r="492" spans="2:20" x14ac:dyDescent="0.25">
      <c r="B492" t="s">
        <v>249</v>
      </c>
      <c r="C492" t="s">
        <v>359</v>
      </c>
      <c r="D492" s="3">
        <v>2</v>
      </c>
      <c r="E492" s="3">
        <v>1</v>
      </c>
      <c r="F492" s="3">
        <v>0</v>
      </c>
      <c r="G492" s="3">
        <v>5</v>
      </c>
      <c r="H492" s="3">
        <v>5</v>
      </c>
      <c r="I492" s="3">
        <v>1</v>
      </c>
      <c r="J492" s="3">
        <v>3</v>
      </c>
      <c r="K492" s="3">
        <v>2</v>
      </c>
      <c r="L492" s="3">
        <v>7</v>
      </c>
      <c r="M492" s="3">
        <v>3</v>
      </c>
      <c r="N492" s="3">
        <v>1</v>
      </c>
      <c r="O492" s="3">
        <v>2</v>
      </c>
      <c r="P492" s="3">
        <v>2</v>
      </c>
      <c r="Q492" s="3">
        <v>5</v>
      </c>
      <c r="R492" s="3">
        <v>0</v>
      </c>
      <c r="T492">
        <f>SUM(Table1[[#This Row],[DTP Received]:[LPO/ LOA/ SOA Issue Date]])</f>
        <v>39</v>
      </c>
    </row>
    <row r="493" spans="2:20" x14ac:dyDescent="0.25">
      <c r="B493" t="s">
        <v>989</v>
      </c>
      <c r="C493" t="s">
        <v>371</v>
      </c>
      <c r="D493" s="3">
        <v>2</v>
      </c>
      <c r="E493" s="3">
        <v>1</v>
      </c>
      <c r="F493" s="3">
        <v>0</v>
      </c>
      <c r="G493" s="3">
        <v>5</v>
      </c>
      <c r="H493" s="3">
        <v>5</v>
      </c>
      <c r="I493" s="3">
        <v>1</v>
      </c>
      <c r="J493" s="3">
        <v>3</v>
      </c>
      <c r="K493" s="3">
        <v>2</v>
      </c>
      <c r="L493" s="3">
        <v>7</v>
      </c>
      <c r="M493" s="3">
        <v>3</v>
      </c>
      <c r="N493" s="3">
        <v>1</v>
      </c>
      <c r="O493" s="3">
        <v>2</v>
      </c>
      <c r="P493" s="3">
        <v>2</v>
      </c>
      <c r="Q493" s="3">
        <v>5</v>
      </c>
      <c r="R493" s="3">
        <v>0</v>
      </c>
      <c r="T493">
        <f>SUM(Table1[[#This Row],[DTP Received]:[LPO/ LOA/ SOA Issue Date]])</f>
        <v>39</v>
      </c>
    </row>
    <row r="494" spans="2:20" x14ac:dyDescent="0.25">
      <c r="B494" t="s">
        <v>990</v>
      </c>
      <c r="C494" t="s">
        <v>371</v>
      </c>
      <c r="D494" s="3">
        <v>2</v>
      </c>
      <c r="E494" s="3">
        <v>1</v>
      </c>
      <c r="F494" s="3">
        <v>0</v>
      </c>
      <c r="G494" s="3">
        <v>5</v>
      </c>
      <c r="H494" s="3">
        <v>5</v>
      </c>
      <c r="I494" s="3">
        <v>1</v>
      </c>
      <c r="J494" s="3">
        <v>3</v>
      </c>
      <c r="K494" s="3">
        <v>2</v>
      </c>
      <c r="L494" s="3">
        <v>7</v>
      </c>
      <c r="M494" s="3">
        <v>3</v>
      </c>
      <c r="N494" s="3">
        <v>1</v>
      </c>
      <c r="O494" s="3">
        <v>2</v>
      </c>
      <c r="P494" s="3">
        <v>2</v>
      </c>
      <c r="Q494" s="3">
        <v>5</v>
      </c>
      <c r="R494" s="3">
        <v>0</v>
      </c>
      <c r="T494">
        <f>SUM(Table1[[#This Row],[DTP Received]:[LPO/ LOA/ SOA Issue Date]])</f>
        <v>39</v>
      </c>
    </row>
    <row r="495" spans="2:20" x14ac:dyDescent="0.25">
      <c r="B495" t="s">
        <v>991</v>
      </c>
      <c r="C495" t="s">
        <v>371</v>
      </c>
      <c r="D495" s="3">
        <v>2</v>
      </c>
      <c r="E495" s="3">
        <v>1</v>
      </c>
      <c r="F495" s="3">
        <v>0</v>
      </c>
      <c r="G495" s="3">
        <v>5</v>
      </c>
      <c r="H495" s="3">
        <v>5</v>
      </c>
      <c r="I495" s="3">
        <v>1</v>
      </c>
      <c r="J495" s="3">
        <v>3</v>
      </c>
      <c r="K495" s="3">
        <v>2</v>
      </c>
      <c r="L495" s="3">
        <v>7</v>
      </c>
      <c r="M495" s="3">
        <v>3</v>
      </c>
      <c r="N495" s="3">
        <v>1</v>
      </c>
      <c r="O495" s="3">
        <v>2</v>
      </c>
      <c r="P495" s="3">
        <v>2</v>
      </c>
      <c r="Q495" s="3">
        <v>5</v>
      </c>
      <c r="R495" s="3">
        <v>0</v>
      </c>
      <c r="T495">
        <f>SUM(Table1[[#This Row],[DTP Received]:[LPO/ LOA/ SOA Issue Date]])</f>
        <v>39</v>
      </c>
    </row>
    <row r="496" spans="2:20" x14ac:dyDescent="0.25">
      <c r="B496" t="s">
        <v>992</v>
      </c>
      <c r="C496" t="s">
        <v>371</v>
      </c>
      <c r="D496" s="3">
        <v>2</v>
      </c>
      <c r="E496" s="3">
        <v>1</v>
      </c>
      <c r="F496" s="3">
        <v>0</v>
      </c>
      <c r="G496" s="3">
        <v>5</v>
      </c>
      <c r="H496" s="3">
        <v>5</v>
      </c>
      <c r="I496" s="3">
        <v>1</v>
      </c>
      <c r="J496" s="3">
        <v>3</v>
      </c>
      <c r="K496" s="3">
        <v>2</v>
      </c>
      <c r="L496" s="3">
        <v>7</v>
      </c>
      <c r="M496" s="3">
        <v>3</v>
      </c>
      <c r="N496" s="3">
        <v>1</v>
      </c>
      <c r="O496" s="3">
        <v>2</v>
      </c>
      <c r="P496" s="3">
        <v>2</v>
      </c>
      <c r="Q496" s="3">
        <v>5</v>
      </c>
      <c r="R496" s="3">
        <v>0</v>
      </c>
      <c r="T496">
        <f>SUM(Table1[[#This Row],[DTP Received]:[LPO/ LOA/ SOA Issue Date]])</f>
        <v>39</v>
      </c>
    </row>
    <row r="497" spans="2:20" x14ac:dyDescent="0.25">
      <c r="B497" t="s">
        <v>993</v>
      </c>
      <c r="C497" t="s">
        <v>371</v>
      </c>
      <c r="D497" s="3">
        <v>2</v>
      </c>
      <c r="E497" s="3">
        <v>1</v>
      </c>
      <c r="F497" s="3">
        <v>0</v>
      </c>
      <c r="G497" s="3">
        <v>5</v>
      </c>
      <c r="H497" s="3">
        <v>5</v>
      </c>
      <c r="I497" s="3">
        <v>1</v>
      </c>
      <c r="J497" s="3">
        <v>3</v>
      </c>
      <c r="K497" s="3">
        <v>2</v>
      </c>
      <c r="L497" s="3">
        <v>7</v>
      </c>
      <c r="M497" s="3">
        <v>3</v>
      </c>
      <c r="N497" s="3">
        <v>1</v>
      </c>
      <c r="O497" s="3">
        <v>2</v>
      </c>
      <c r="P497" s="3">
        <v>2</v>
      </c>
      <c r="Q497" s="3">
        <v>5</v>
      </c>
      <c r="R497" s="3">
        <v>0</v>
      </c>
      <c r="T497">
        <f>SUM(Table1[[#This Row],[DTP Received]:[LPO/ LOA/ SOA Issue Date]])</f>
        <v>39</v>
      </c>
    </row>
    <row r="498" spans="2:20" x14ac:dyDescent="0.25">
      <c r="B498" t="s">
        <v>253</v>
      </c>
      <c r="C498" t="s">
        <v>107</v>
      </c>
      <c r="D498" s="3">
        <v>2</v>
      </c>
      <c r="E498" s="3">
        <v>1</v>
      </c>
      <c r="F498" s="3">
        <v>0</v>
      </c>
      <c r="G498" s="3">
        <v>7</v>
      </c>
      <c r="H498" s="3">
        <v>5</v>
      </c>
      <c r="I498" s="3">
        <v>1</v>
      </c>
      <c r="J498" s="3">
        <v>3</v>
      </c>
      <c r="K498" s="3">
        <v>2</v>
      </c>
      <c r="L498" s="3">
        <v>3</v>
      </c>
      <c r="M498" s="3">
        <v>3</v>
      </c>
      <c r="N498" s="3">
        <v>1</v>
      </c>
      <c r="O498" s="3">
        <v>2</v>
      </c>
      <c r="P498" s="3">
        <v>2</v>
      </c>
      <c r="Q498" s="3">
        <v>5</v>
      </c>
      <c r="R498" s="3">
        <v>0</v>
      </c>
      <c r="T498">
        <f>SUM(Table1[[#This Row],[DTP Received]:[LPO/ LOA/ SOA Issue Date]])</f>
        <v>37</v>
      </c>
    </row>
    <row r="499" spans="2:20" x14ac:dyDescent="0.25">
      <c r="B499" t="s">
        <v>994</v>
      </c>
      <c r="C499" t="s">
        <v>995</v>
      </c>
      <c r="D499" s="3">
        <v>2</v>
      </c>
      <c r="E499" s="3">
        <v>1</v>
      </c>
      <c r="F499" s="3">
        <v>0</v>
      </c>
      <c r="G499" s="3">
        <v>7</v>
      </c>
      <c r="H499" s="3">
        <v>5</v>
      </c>
      <c r="I499" s="3">
        <v>1</v>
      </c>
      <c r="J499" s="3">
        <v>3</v>
      </c>
      <c r="K499" s="3">
        <v>2</v>
      </c>
      <c r="L499" s="3">
        <v>3</v>
      </c>
      <c r="M499" s="3">
        <v>3</v>
      </c>
      <c r="N499" s="3">
        <v>1</v>
      </c>
      <c r="O499" s="3">
        <v>2</v>
      </c>
      <c r="P499" s="3">
        <v>2</v>
      </c>
      <c r="Q499" s="3">
        <v>5</v>
      </c>
      <c r="R499" s="3">
        <v>0</v>
      </c>
      <c r="T499">
        <f>SUM(Table1[[#This Row],[DTP Received]:[LPO/ LOA/ SOA Issue Date]])</f>
        <v>37</v>
      </c>
    </row>
    <row r="500" spans="2:20" x14ac:dyDescent="0.25">
      <c r="B500" t="s">
        <v>996</v>
      </c>
      <c r="C500" t="s">
        <v>997</v>
      </c>
      <c r="D500" s="3">
        <v>2</v>
      </c>
      <c r="E500" s="3">
        <v>1</v>
      </c>
      <c r="F500" s="3">
        <v>0</v>
      </c>
      <c r="G500" s="3">
        <v>7</v>
      </c>
      <c r="H500" s="3">
        <v>5</v>
      </c>
      <c r="I500" s="3">
        <v>1</v>
      </c>
      <c r="J500" s="3">
        <v>3</v>
      </c>
      <c r="K500" s="3">
        <v>2</v>
      </c>
      <c r="L500" s="3">
        <v>3</v>
      </c>
      <c r="M500" s="3">
        <v>3</v>
      </c>
      <c r="N500" s="3">
        <v>1</v>
      </c>
      <c r="O500" s="3">
        <v>2</v>
      </c>
      <c r="P500" s="3">
        <v>2</v>
      </c>
      <c r="Q500" s="3">
        <v>5</v>
      </c>
      <c r="R500" s="3">
        <v>0</v>
      </c>
      <c r="T500">
        <f>SUM(Table1[[#This Row],[DTP Received]:[LPO/ LOA/ SOA Issue Date]])</f>
        <v>37</v>
      </c>
    </row>
    <row r="501" spans="2:20" x14ac:dyDescent="0.25">
      <c r="B501" t="s">
        <v>998</v>
      </c>
      <c r="C501" t="s">
        <v>371</v>
      </c>
      <c r="D501" s="3">
        <v>2</v>
      </c>
      <c r="E501" s="3">
        <v>1</v>
      </c>
      <c r="F501" s="3">
        <v>0</v>
      </c>
      <c r="G501" s="3">
        <v>5</v>
      </c>
      <c r="H501" s="3">
        <v>5</v>
      </c>
      <c r="I501" s="3">
        <v>1</v>
      </c>
      <c r="J501" s="3">
        <v>3</v>
      </c>
      <c r="K501" s="3">
        <v>2</v>
      </c>
      <c r="L501" s="3">
        <v>7</v>
      </c>
      <c r="M501" s="3">
        <v>3</v>
      </c>
      <c r="N501" s="3">
        <v>1</v>
      </c>
      <c r="O501" s="3">
        <v>2</v>
      </c>
      <c r="P501" s="3">
        <v>2</v>
      </c>
      <c r="Q501" s="3">
        <v>5</v>
      </c>
      <c r="R501" s="3">
        <v>0</v>
      </c>
      <c r="T501">
        <f>SUM(Table1[[#This Row],[DTP Received]:[LPO/ LOA/ SOA Issue Date]])</f>
        <v>39</v>
      </c>
    </row>
    <row r="502" spans="2:20" x14ac:dyDescent="0.25">
      <c r="B502" t="s">
        <v>999</v>
      </c>
      <c r="C502" t="s">
        <v>371</v>
      </c>
      <c r="D502" s="3">
        <v>2</v>
      </c>
      <c r="E502" s="3">
        <v>1</v>
      </c>
      <c r="F502" s="3">
        <v>0</v>
      </c>
      <c r="G502" s="3">
        <v>5</v>
      </c>
      <c r="H502" s="3">
        <v>5</v>
      </c>
      <c r="I502" s="3">
        <v>1</v>
      </c>
      <c r="J502" s="3">
        <v>3</v>
      </c>
      <c r="K502" s="3">
        <v>2</v>
      </c>
      <c r="L502" s="3">
        <v>7</v>
      </c>
      <c r="M502" s="3">
        <v>3</v>
      </c>
      <c r="N502" s="3">
        <v>1</v>
      </c>
      <c r="O502" s="3">
        <v>2</v>
      </c>
      <c r="P502" s="3">
        <v>2</v>
      </c>
      <c r="Q502" s="3">
        <v>5</v>
      </c>
      <c r="R502" s="3">
        <v>0</v>
      </c>
      <c r="T502">
        <f>SUM(Table1[[#This Row],[DTP Received]:[LPO/ LOA/ SOA Issue Date]])</f>
        <v>39</v>
      </c>
    </row>
    <row r="503" spans="2:20" x14ac:dyDescent="0.25">
      <c r="B503" t="s">
        <v>1000</v>
      </c>
      <c r="C503" t="s">
        <v>371</v>
      </c>
      <c r="D503" s="3">
        <v>2</v>
      </c>
      <c r="E503" s="3">
        <v>1</v>
      </c>
      <c r="F503" s="3">
        <v>0</v>
      </c>
      <c r="G503" s="3">
        <v>5</v>
      </c>
      <c r="H503" s="3">
        <v>5</v>
      </c>
      <c r="I503" s="3">
        <v>1</v>
      </c>
      <c r="J503" s="3">
        <v>3</v>
      </c>
      <c r="K503" s="3">
        <v>2</v>
      </c>
      <c r="L503" s="3">
        <v>7</v>
      </c>
      <c r="M503" s="3">
        <v>3</v>
      </c>
      <c r="N503" s="3">
        <v>1</v>
      </c>
      <c r="O503" s="3">
        <v>2</v>
      </c>
      <c r="P503" s="3">
        <v>2</v>
      </c>
      <c r="Q503" s="3">
        <v>5</v>
      </c>
      <c r="R503" s="3">
        <v>0</v>
      </c>
      <c r="T503">
        <f>SUM(Table1[[#This Row],[DTP Received]:[LPO/ LOA/ SOA Issue Date]])</f>
        <v>39</v>
      </c>
    </row>
    <row r="504" spans="2:20" x14ac:dyDescent="0.25">
      <c r="B504" t="s">
        <v>1001</v>
      </c>
      <c r="C504" t="s">
        <v>371</v>
      </c>
      <c r="D504" s="3">
        <v>2</v>
      </c>
      <c r="E504" s="3">
        <v>1</v>
      </c>
      <c r="F504" s="3">
        <v>0</v>
      </c>
      <c r="G504" s="3">
        <v>5</v>
      </c>
      <c r="H504" s="3">
        <v>5</v>
      </c>
      <c r="I504" s="3">
        <v>1</v>
      </c>
      <c r="J504" s="3">
        <v>3</v>
      </c>
      <c r="K504" s="3">
        <v>2</v>
      </c>
      <c r="L504" s="3">
        <v>7</v>
      </c>
      <c r="M504" s="3">
        <v>3</v>
      </c>
      <c r="N504" s="3">
        <v>1</v>
      </c>
      <c r="O504" s="3">
        <v>2</v>
      </c>
      <c r="P504" s="3">
        <v>2</v>
      </c>
      <c r="Q504" s="3">
        <v>5</v>
      </c>
      <c r="R504" s="3">
        <v>0</v>
      </c>
      <c r="T504">
        <f>SUM(Table1[[#This Row],[DTP Received]:[LPO/ LOA/ SOA Issue Date]])</f>
        <v>39</v>
      </c>
    </row>
    <row r="505" spans="2:20" x14ac:dyDescent="0.25">
      <c r="B505" t="s">
        <v>1002</v>
      </c>
      <c r="C505" t="s">
        <v>371</v>
      </c>
      <c r="D505" s="3">
        <v>2</v>
      </c>
      <c r="E505" s="3">
        <v>1</v>
      </c>
      <c r="F505" s="3">
        <v>0</v>
      </c>
      <c r="G505" s="3">
        <v>5</v>
      </c>
      <c r="H505" s="3">
        <v>5</v>
      </c>
      <c r="I505" s="3">
        <v>1</v>
      </c>
      <c r="J505" s="3">
        <v>3</v>
      </c>
      <c r="K505" s="3">
        <v>2</v>
      </c>
      <c r="L505" s="3">
        <v>7</v>
      </c>
      <c r="M505" s="3">
        <v>3</v>
      </c>
      <c r="N505" s="3">
        <v>1</v>
      </c>
      <c r="O505" s="3">
        <v>2</v>
      </c>
      <c r="P505" s="3">
        <v>2</v>
      </c>
      <c r="Q505" s="3">
        <v>5</v>
      </c>
      <c r="R505" s="3">
        <v>0</v>
      </c>
      <c r="T505">
        <f>SUM(Table1[[#This Row],[DTP Received]:[LPO/ LOA/ SOA Issue Date]])</f>
        <v>39</v>
      </c>
    </row>
    <row r="506" spans="2:20" x14ac:dyDescent="0.25">
      <c r="B506" t="s">
        <v>239</v>
      </c>
      <c r="C506" t="s">
        <v>92</v>
      </c>
      <c r="D506" s="3">
        <v>2</v>
      </c>
      <c r="E506" s="3">
        <v>1</v>
      </c>
      <c r="F506" s="3">
        <v>0</v>
      </c>
      <c r="G506" s="3">
        <v>5</v>
      </c>
      <c r="H506" s="3">
        <v>5</v>
      </c>
      <c r="I506" s="3">
        <v>1</v>
      </c>
      <c r="J506" s="3">
        <v>3</v>
      </c>
      <c r="K506" s="3">
        <v>2</v>
      </c>
      <c r="L506" s="3">
        <v>7</v>
      </c>
      <c r="M506" s="3">
        <v>3</v>
      </c>
      <c r="N506" s="3">
        <v>1</v>
      </c>
      <c r="O506" s="3">
        <v>2</v>
      </c>
      <c r="P506" s="3">
        <v>2</v>
      </c>
      <c r="Q506" s="3">
        <v>5</v>
      </c>
      <c r="R506" s="3">
        <v>0</v>
      </c>
      <c r="T506">
        <f>SUM(Table1[[#This Row],[DTP Received]:[LPO/ LOA/ SOA Issue Date]])</f>
        <v>39</v>
      </c>
    </row>
    <row r="507" spans="2:20" x14ac:dyDescent="0.25">
      <c r="B507" t="s">
        <v>1003</v>
      </c>
      <c r="C507" t="s">
        <v>1004</v>
      </c>
      <c r="D507" s="3">
        <v>2</v>
      </c>
      <c r="E507" s="3">
        <v>1</v>
      </c>
      <c r="F507" s="3">
        <v>0</v>
      </c>
      <c r="G507" s="3">
        <v>5</v>
      </c>
      <c r="H507" s="3">
        <v>5</v>
      </c>
      <c r="I507" s="3">
        <v>1</v>
      </c>
      <c r="J507" s="3">
        <v>3</v>
      </c>
      <c r="K507" s="3">
        <v>2</v>
      </c>
      <c r="L507" s="3">
        <v>7</v>
      </c>
      <c r="M507" s="3">
        <v>3</v>
      </c>
      <c r="N507" s="3">
        <v>1</v>
      </c>
      <c r="O507" s="3">
        <v>2</v>
      </c>
      <c r="P507" s="3">
        <v>2</v>
      </c>
      <c r="Q507" s="3">
        <v>5</v>
      </c>
      <c r="R507" s="3">
        <v>0</v>
      </c>
      <c r="T507">
        <f>SUM(Table1[[#This Row],[DTP Received]:[LPO/ LOA/ SOA Issue Date]])</f>
        <v>39</v>
      </c>
    </row>
    <row r="508" spans="2:20" x14ac:dyDescent="0.25">
      <c r="B508" t="s">
        <v>1005</v>
      </c>
      <c r="C508" t="s">
        <v>1006</v>
      </c>
      <c r="D508" s="3">
        <v>2</v>
      </c>
      <c r="E508" s="3">
        <v>1</v>
      </c>
      <c r="F508" s="3">
        <v>0</v>
      </c>
      <c r="G508" s="3">
        <v>5</v>
      </c>
      <c r="H508" s="3">
        <v>5</v>
      </c>
      <c r="I508" s="3">
        <v>1</v>
      </c>
      <c r="J508" s="3">
        <v>3</v>
      </c>
      <c r="K508" s="3">
        <v>2</v>
      </c>
      <c r="L508" s="3">
        <v>7</v>
      </c>
      <c r="M508" s="3">
        <v>3</v>
      </c>
      <c r="N508" s="3">
        <v>1</v>
      </c>
      <c r="O508" s="3">
        <v>2</v>
      </c>
      <c r="P508" s="3">
        <v>2</v>
      </c>
      <c r="Q508" s="3">
        <v>5</v>
      </c>
      <c r="R508" s="3">
        <v>0</v>
      </c>
      <c r="T508">
        <f>SUM(Table1[[#This Row],[DTP Received]:[LPO/ LOA/ SOA Issue Date]])</f>
        <v>39</v>
      </c>
    </row>
    <row r="509" spans="2:20" x14ac:dyDescent="0.25">
      <c r="B509" t="s">
        <v>1007</v>
      </c>
      <c r="C509" t="s">
        <v>1008</v>
      </c>
      <c r="D509" s="3">
        <v>2</v>
      </c>
      <c r="E509" s="3">
        <v>1</v>
      </c>
      <c r="F509" s="3">
        <v>0</v>
      </c>
      <c r="G509" s="3">
        <v>5</v>
      </c>
      <c r="H509" s="3">
        <v>5</v>
      </c>
      <c r="I509" s="3">
        <v>1</v>
      </c>
      <c r="J509" s="3">
        <v>3</v>
      </c>
      <c r="K509" s="3">
        <v>2</v>
      </c>
      <c r="L509" s="3">
        <v>7</v>
      </c>
      <c r="M509" s="3">
        <v>3</v>
      </c>
      <c r="N509" s="3">
        <v>1</v>
      </c>
      <c r="O509" s="3">
        <v>2</v>
      </c>
      <c r="P509" s="3">
        <v>2</v>
      </c>
      <c r="Q509" s="3">
        <v>5</v>
      </c>
      <c r="R509" s="3">
        <v>0</v>
      </c>
      <c r="T509">
        <f>SUM(Table1[[#This Row],[DTP Received]:[LPO/ LOA/ SOA Issue Date]])</f>
        <v>39</v>
      </c>
    </row>
    <row r="510" spans="2:20" x14ac:dyDescent="0.25">
      <c r="B510" t="s">
        <v>362</v>
      </c>
      <c r="C510" t="s">
        <v>361</v>
      </c>
      <c r="D510" s="3">
        <v>2</v>
      </c>
      <c r="E510" s="3">
        <v>1</v>
      </c>
      <c r="F510" s="3">
        <v>0</v>
      </c>
      <c r="G510" s="3">
        <v>5</v>
      </c>
      <c r="H510" s="3">
        <v>5</v>
      </c>
      <c r="I510" s="3">
        <v>1</v>
      </c>
      <c r="J510" s="3">
        <v>3</v>
      </c>
      <c r="K510" s="3">
        <v>2</v>
      </c>
      <c r="L510" s="3">
        <v>7</v>
      </c>
      <c r="M510" s="3">
        <v>3</v>
      </c>
      <c r="N510" s="3">
        <v>1</v>
      </c>
      <c r="O510" s="3">
        <v>2</v>
      </c>
      <c r="P510" s="3">
        <v>2</v>
      </c>
      <c r="Q510" s="3">
        <v>5</v>
      </c>
      <c r="R510" s="3">
        <v>0</v>
      </c>
      <c r="T510">
        <f>SUM(Table1[[#This Row],[DTP Received]:[LPO/ LOA/ SOA Issue Date]])</f>
        <v>39</v>
      </c>
    </row>
    <row r="511" spans="2:20" x14ac:dyDescent="0.25">
      <c r="B511" t="s">
        <v>1009</v>
      </c>
      <c r="C511" t="s">
        <v>371</v>
      </c>
      <c r="D511" s="3">
        <v>2</v>
      </c>
      <c r="E511" s="3">
        <v>1</v>
      </c>
      <c r="F511" s="3">
        <v>0</v>
      </c>
      <c r="G511" s="3">
        <v>5</v>
      </c>
      <c r="H511" s="3">
        <v>5</v>
      </c>
      <c r="I511" s="3">
        <v>1</v>
      </c>
      <c r="J511" s="3">
        <v>3</v>
      </c>
      <c r="K511" s="3">
        <v>2</v>
      </c>
      <c r="L511" s="3">
        <v>7</v>
      </c>
      <c r="M511" s="3">
        <v>3</v>
      </c>
      <c r="N511" s="3">
        <v>1</v>
      </c>
      <c r="O511" s="3">
        <v>2</v>
      </c>
      <c r="P511" s="3">
        <v>2</v>
      </c>
      <c r="Q511" s="3">
        <v>5</v>
      </c>
      <c r="R511" s="3">
        <v>0</v>
      </c>
      <c r="T511">
        <f>SUM(Table1[[#This Row],[DTP Received]:[LPO/ LOA/ SOA Issue Date]])</f>
        <v>39</v>
      </c>
    </row>
    <row r="512" spans="2:20" x14ac:dyDescent="0.25">
      <c r="B512" t="s">
        <v>1010</v>
      </c>
      <c r="C512" t="s">
        <v>371</v>
      </c>
      <c r="D512" s="3">
        <v>2</v>
      </c>
      <c r="E512" s="3">
        <v>1</v>
      </c>
      <c r="F512" s="3">
        <v>0</v>
      </c>
      <c r="G512" s="3">
        <v>5</v>
      </c>
      <c r="H512" s="3">
        <v>5</v>
      </c>
      <c r="I512" s="3">
        <v>1</v>
      </c>
      <c r="J512" s="3">
        <v>3</v>
      </c>
      <c r="K512" s="3">
        <v>2</v>
      </c>
      <c r="L512" s="3">
        <v>7</v>
      </c>
      <c r="M512" s="3">
        <v>3</v>
      </c>
      <c r="N512" s="3">
        <v>1</v>
      </c>
      <c r="O512" s="3">
        <v>2</v>
      </c>
      <c r="P512" s="3">
        <v>2</v>
      </c>
      <c r="Q512" s="3">
        <v>5</v>
      </c>
      <c r="R512" s="3">
        <v>0</v>
      </c>
      <c r="T512">
        <f>SUM(Table1[[#This Row],[DTP Received]:[LPO/ LOA/ SOA Issue Date]])</f>
        <v>39</v>
      </c>
    </row>
    <row r="513" spans="2:20" x14ac:dyDescent="0.25">
      <c r="B513" t="s">
        <v>1011</v>
      </c>
      <c r="C513" t="s">
        <v>371</v>
      </c>
      <c r="D513" s="3">
        <v>2</v>
      </c>
      <c r="E513" s="3">
        <v>1</v>
      </c>
      <c r="F513" s="3">
        <v>0</v>
      </c>
      <c r="G513" s="3">
        <v>5</v>
      </c>
      <c r="H513" s="3">
        <v>5</v>
      </c>
      <c r="I513" s="3">
        <v>1</v>
      </c>
      <c r="J513" s="3">
        <v>3</v>
      </c>
      <c r="K513" s="3">
        <v>2</v>
      </c>
      <c r="L513" s="3">
        <v>7</v>
      </c>
      <c r="M513" s="3">
        <v>3</v>
      </c>
      <c r="N513" s="3">
        <v>1</v>
      </c>
      <c r="O513" s="3">
        <v>2</v>
      </c>
      <c r="P513" s="3">
        <v>2</v>
      </c>
      <c r="Q513" s="3">
        <v>5</v>
      </c>
      <c r="R513" s="3">
        <v>0</v>
      </c>
      <c r="T513">
        <f>SUM(Table1[[#This Row],[DTP Received]:[LPO/ LOA/ SOA Issue Date]])</f>
        <v>39</v>
      </c>
    </row>
    <row r="514" spans="2:20" x14ac:dyDescent="0.25">
      <c r="B514" t="s">
        <v>1012</v>
      </c>
      <c r="C514" t="s">
        <v>371</v>
      </c>
      <c r="D514" s="3">
        <v>2</v>
      </c>
      <c r="E514" s="3">
        <v>1</v>
      </c>
      <c r="F514" s="3">
        <v>0</v>
      </c>
      <c r="G514" s="3">
        <v>5</v>
      </c>
      <c r="H514" s="3">
        <v>5</v>
      </c>
      <c r="I514" s="3">
        <v>1</v>
      </c>
      <c r="J514" s="3">
        <v>3</v>
      </c>
      <c r="K514" s="3">
        <v>2</v>
      </c>
      <c r="L514" s="3">
        <v>7</v>
      </c>
      <c r="M514" s="3">
        <v>3</v>
      </c>
      <c r="N514" s="3">
        <v>1</v>
      </c>
      <c r="O514" s="3">
        <v>2</v>
      </c>
      <c r="P514" s="3">
        <v>2</v>
      </c>
      <c r="Q514" s="3">
        <v>5</v>
      </c>
      <c r="R514" s="3">
        <v>0</v>
      </c>
      <c r="T514">
        <f>SUM(Table1[[#This Row],[DTP Received]:[LPO/ LOA/ SOA Issue Date]])</f>
        <v>39</v>
      </c>
    </row>
    <row r="515" spans="2:20" x14ac:dyDescent="0.25">
      <c r="B515" t="s">
        <v>1013</v>
      </c>
      <c r="C515" t="s">
        <v>1014</v>
      </c>
      <c r="D515" s="3">
        <v>2</v>
      </c>
      <c r="E515" s="3">
        <v>1</v>
      </c>
      <c r="F515" s="3">
        <v>0</v>
      </c>
      <c r="G515" s="3">
        <v>5</v>
      </c>
      <c r="H515" s="3">
        <v>5</v>
      </c>
      <c r="I515" s="3">
        <v>1</v>
      </c>
      <c r="J515" s="3">
        <v>3</v>
      </c>
      <c r="K515" s="3">
        <v>2</v>
      </c>
      <c r="L515" s="3">
        <v>7</v>
      </c>
      <c r="M515" s="3">
        <v>3</v>
      </c>
      <c r="N515" s="3">
        <v>1</v>
      </c>
      <c r="O515" s="3">
        <v>2</v>
      </c>
      <c r="P515" s="3">
        <v>2</v>
      </c>
      <c r="Q515" s="3">
        <v>5</v>
      </c>
      <c r="R515" s="3">
        <v>0</v>
      </c>
      <c r="T515">
        <f>SUM(Table1[[#This Row],[DTP Received]:[LPO/ LOA/ SOA Issue Date]])</f>
        <v>39</v>
      </c>
    </row>
    <row r="516" spans="2:20" x14ac:dyDescent="0.25">
      <c r="B516" t="s">
        <v>1015</v>
      </c>
      <c r="C516" t="s">
        <v>1016</v>
      </c>
      <c r="D516" s="3">
        <v>2</v>
      </c>
      <c r="E516" s="3">
        <v>1</v>
      </c>
      <c r="F516" s="3">
        <v>0</v>
      </c>
      <c r="G516" s="3">
        <v>5</v>
      </c>
      <c r="H516" s="3">
        <v>5</v>
      </c>
      <c r="I516" s="3">
        <v>1</v>
      </c>
      <c r="J516" s="3">
        <v>3</v>
      </c>
      <c r="K516" s="3">
        <v>2</v>
      </c>
      <c r="L516" s="3">
        <v>7</v>
      </c>
      <c r="M516" s="3">
        <v>3</v>
      </c>
      <c r="N516" s="3">
        <v>1</v>
      </c>
      <c r="O516" s="3">
        <v>2</v>
      </c>
      <c r="P516" s="3">
        <v>2</v>
      </c>
      <c r="Q516" s="3">
        <v>5</v>
      </c>
      <c r="R516" s="3">
        <v>0</v>
      </c>
      <c r="T516">
        <f>SUM(Table1[[#This Row],[DTP Received]:[LPO/ LOA/ SOA Issue Date]])</f>
        <v>39</v>
      </c>
    </row>
    <row r="517" spans="2:20" x14ac:dyDescent="0.25">
      <c r="B517" t="s">
        <v>1017</v>
      </c>
      <c r="C517" t="s">
        <v>1018</v>
      </c>
      <c r="D517" s="3">
        <v>2</v>
      </c>
      <c r="E517" s="3">
        <v>1</v>
      </c>
      <c r="F517" s="3">
        <v>0</v>
      </c>
      <c r="G517" s="3">
        <v>5</v>
      </c>
      <c r="H517" s="3">
        <v>5</v>
      </c>
      <c r="I517" s="3">
        <v>1</v>
      </c>
      <c r="J517" s="3">
        <v>3</v>
      </c>
      <c r="K517" s="3">
        <v>2</v>
      </c>
      <c r="L517" s="3">
        <v>7</v>
      </c>
      <c r="M517" s="3">
        <v>3</v>
      </c>
      <c r="N517" s="3">
        <v>1</v>
      </c>
      <c r="O517" s="3">
        <v>2</v>
      </c>
      <c r="P517" s="3">
        <v>2</v>
      </c>
      <c r="Q517" s="3">
        <v>5</v>
      </c>
      <c r="R517" s="3">
        <v>0</v>
      </c>
      <c r="T517">
        <f>SUM(Table1[[#This Row],[DTP Received]:[LPO/ LOA/ SOA Issue Date]])</f>
        <v>39</v>
      </c>
    </row>
    <row r="518" spans="2:20" x14ac:dyDescent="0.25">
      <c r="B518" t="s">
        <v>1019</v>
      </c>
      <c r="C518" t="s">
        <v>1020</v>
      </c>
      <c r="D518" s="3">
        <v>2</v>
      </c>
      <c r="E518" s="3">
        <v>1</v>
      </c>
      <c r="F518" s="3">
        <v>0</v>
      </c>
      <c r="G518" s="3">
        <v>5</v>
      </c>
      <c r="H518" s="3">
        <v>5</v>
      </c>
      <c r="I518" s="3">
        <v>1</v>
      </c>
      <c r="J518" s="3">
        <v>3</v>
      </c>
      <c r="K518" s="3">
        <v>2</v>
      </c>
      <c r="L518" s="3">
        <v>7</v>
      </c>
      <c r="M518" s="3">
        <v>3</v>
      </c>
      <c r="N518" s="3">
        <v>1</v>
      </c>
      <c r="O518" s="3">
        <v>2</v>
      </c>
      <c r="P518" s="3">
        <v>2</v>
      </c>
      <c r="Q518" s="3">
        <v>5</v>
      </c>
      <c r="R518" s="3">
        <v>0</v>
      </c>
      <c r="T518">
        <f>SUM(Table1[[#This Row],[DTP Received]:[LPO/ LOA/ SOA Issue Date]])</f>
        <v>39</v>
      </c>
    </row>
    <row r="519" spans="2:20" x14ac:dyDescent="0.25">
      <c r="B519" t="s">
        <v>1021</v>
      </c>
      <c r="C519" t="s">
        <v>1022</v>
      </c>
      <c r="D519" s="3">
        <v>2</v>
      </c>
      <c r="E519" s="3">
        <v>1</v>
      </c>
      <c r="F519" s="3">
        <v>0</v>
      </c>
      <c r="G519" s="3">
        <v>5</v>
      </c>
      <c r="H519" s="3">
        <v>5</v>
      </c>
      <c r="I519" s="3">
        <v>1</v>
      </c>
      <c r="J519" s="3">
        <v>3</v>
      </c>
      <c r="K519" s="3">
        <v>2</v>
      </c>
      <c r="L519" s="3">
        <v>7</v>
      </c>
      <c r="M519" s="3">
        <v>3</v>
      </c>
      <c r="N519" s="3">
        <v>1</v>
      </c>
      <c r="O519" s="3">
        <v>2</v>
      </c>
      <c r="P519" s="3">
        <v>2</v>
      </c>
      <c r="Q519" s="3">
        <v>5</v>
      </c>
      <c r="R519" s="3">
        <v>0</v>
      </c>
      <c r="T519">
        <f>SUM(Table1[[#This Row],[DTP Received]:[LPO/ LOA/ SOA Issue Date]])</f>
        <v>39</v>
      </c>
    </row>
    <row r="520" spans="2:20" x14ac:dyDescent="0.25">
      <c r="B520" t="s">
        <v>1023</v>
      </c>
      <c r="C520" t="s">
        <v>1024</v>
      </c>
      <c r="D520" s="3">
        <v>2</v>
      </c>
      <c r="E520" s="3">
        <v>1</v>
      </c>
      <c r="F520" s="3">
        <v>0</v>
      </c>
      <c r="G520" s="3">
        <v>5</v>
      </c>
      <c r="H520" s="3">
        <v>5</v>
      </c>
      <c r="I520" s="3">
        <v>1</v>
      </c>
      <c r="J520" s="3">
        <v>3</v>
      </c>
      <c r="K520" s="3">
        <v>2</v>
      </c>
      <c r="L520" s="3">
        <v>7</v>
      </c>
      <c r="M520" s="3">
        <v>3</v>
      </c>
      <c r="N520" s="3">
        <v>1</v>
      </c>
      <c r="O520" s="3">
        <v>2</v>
      </c>
      <c r="P520" s="3">
        <v>2</v>
      </c>
      <c r="Q520" s="3">
        <v>5</v>
      </c>
      <c r="R520" s="3">
        <v>0</v>
      </c>
      <c r="T520">
        <f>SUM(Table1[[#This Row],[DTP Received]:[LPO/ LOA/ SOA Issue Date]])</f>
        <v>39</v>
      </c>
    </row>
    <row r="521" spans="2:20" x14ac:dyDescent="0.25">
      <c r="B521" t="s">
        <v>1025</v>
      </c>
      <c r="C521" t="s">
        <v>1026</v>
      </c>
      <c r="D521" s="3">
        <v>2</v>
      </c>
      <c r="E521" s="3">
        <v>1</v>
      </c>
      <c r="F521" s="3">
        <v>0</v>
      </c>
      <c r="G521" s="3">
        <v>5</v>
      </c>
      <c r="H521" s="3">
        <v>5</v>
      </c>
      <c r="I521" s="3">
        <v>1</v>
      </c>
      <c r="J521" s="3">
        <v>3</v>
      </c>
      <c r="K521" s="3">
        <v>2</v>
      </c>
      <c r="L521" s="3">
        <v>7</v>
      </c>
      <c r="M521" s="3">
        <v>3</v>
      </c>
      <c r="N521" s="3">
        <v>1</v>
      </c>
      <c r="O521" s="3">
        <v>2</v>
      </c>
      <c r="P521" s="3">
        <v>2</v>
      </c>
      <c r="Q521" s="3">
        <v>5</v>
      </c>
      <c r="R521" s="3">
        <v>0</v>
      </c>
      <c r="T521">
        <f>SUM(Table1[[#This Row],[DTP Received]:[LPO/ LOA/ SOA Issue Date]])</f>
        <v>39</v>
      </c>
    </row>
    <row r="522" spans="2:20" x14ac:dyDescent="0.25">
      <c r="B522" t="s">
        <v>1027</v>
      </c>
      <c r="C522" t="s">
        <v>1028</v>
      </c>
      <c r="D522" s="3">
        <v>2</v>
      </c>
      <c r="E522" s="3">
        <v>1</v>
      </c>
      <c r="F522" s="3">
        <v>0</v>
      </c>
      <c r="G522" s="3">
        <v>5</v>
      </c>
      <c r="H522" s="3">
        <v>5</v>
      </c>
      <c r="I522" s="3">
        <v>1</v>
      </c>
      <c r="J522" s="3">
        <v>3</v>
      </c>
      <c r="K522" s="3">
        <v>2</v>
      </c>
      <c r="L522" s="3">
        <v>7</v>
      </c>
      <c r="M522" s="3">
        <v>3</v>
      </c>
      <c r="N522" s="3">
        <v>1</v>
      </c>
      <c r="O522" s="3">
        <v>2</v>
      </c>
      <c r="P522" s="3">
        <v>2</v>
      </c>
      <c r="Q522" s="3">
        <v>5</v>
      </c>
      <c r="R522" s="3">
        <v>0</v>
      </c>
      <c r="T522">
        <f>SUM(Table1[[#This Row],[DTP Received]:[LPO/ LOA/ SOA Issue Date]])</f>
        <v>39</v>
      </c>
    </row>
    <row r="523" spans="2:20" x14ac:dyDescent="0.25">
      <c r="B523" t="s">
        <v>1029</v>
      </c>
      <c r="C523" t="s">
        <v>371</v>
      </c>
      <c r="D523" s="3">
        <v>2</v>
      </c>
      <c r="E523" s="3">
        <v>1</v>
      </c>
      <c r="F523" s="3">
        <v>0</v>
      </c>
      <c r="G523" s="3">
        <v>5</v>
      </c>
      <c r="H523" s="3">
        <v>5</v>
      </c>
      <c r="I523" s="3">
        <v>1</v>
      </c>
      <c r="J523" s="3">
        <v>3</v>
      </c>
      <c r="K523" s="3">
        <v>2</v>
      </c>
      <c r="L523" s="3">
        <v>7</v>
      </c>
      <c r="M523" s="3">
        <v>3</v>
      </c>
      <c r="N523" s="3">
        <v>1</v>
      </c>
      <c r="O523" s="3">
        <v>2</v>
      </c>
      <c r="P523" s="3">
        <v>2</v>
      </c>
      <c r="Q523" s="3">
        <v>5</v>
      </c>
      <c r="R523" s="3">
        <v>0</v>
      </c>
      <c r="T523">
        <f>SUM(Table1[[#This Row],[DTP Received]:[LPO/ LOA/ SOA Issue Date]])</f>
        <v>39</v>
      </c>
    </row>
    <row r="524" spans="2:20" x14ac:dyDescent="0.25">
      <c r="B524" t="s">
        <v>1030</v>
      </c>
      <c r="C524" t="s">
        <v>371</v>
      </c>
      <c r="D524" s="3">
        <v>2</v>
      </c>
      <c r="E524" s="3">
        <v>1</v>
      </c>
      <c r="F524" s="3">
        <v>0</v>
      </c>
      <c r="G524" s="3">
        <v>5</v>
      </c>
      <c r="H524" s="3">
        <v>5</v>
      </c>
      <c r="I524" s="3">
        <v>1</v>
      </c>
      <c r="J524" s="3">
        <v>3</v>
      </c>
      <c r="K524" s="3">
        <v>2</v>
      </c>
      <c r="L524" s="3">
        <v>7</v>
      </c>
      <c r="M524" s="3">
        <v>3</v>
      </c>
      <c r="N524" s="3">
        <v>1</v>
      </c>
      <c r="O524" s="3">
        <v>2</v>
      </c>
      <c r="P524" s="3">
        <v>2</v>
      </c>
      <c r="Q524" s="3">
        <v>5</v>
      </c>
      <c r="R524" s="3">
        <v>0</v>
      </c>
      <c r="T524">
        <f>SUM(Table1[[#This Row],[DTP Received]:[LPO/ LOA/ SOA Issue Date]])</f>
        <v>39</v>
      </c>
    </row>
    <row r="525" spans="2:20" x14ac:dyDescent="0.25">
      <c r="B525" t="s">
        <v>1031</v>
      </c>
      <c r="C525" t="s">
        <v>371</v>
      </c>
      <c r="D525" s="3">
        <v>2</v>
      </c>
      <c r="E525" s="3">
        <v>1</v>
      </c>
      <c r="F525" s="3">
        <v>0</v>
      </c>
      <c r="G525" s="3">
        <v>5</v>
      </c>
      <c r="H525" s="3">
        <v>5</v>
      </c>
      <c r="I525" s="3">
        <v>1</v>
      </c>
      <c r="J525" s="3">
        <v>3</v>
      </c>
      <c r="K525" s="3">
        <v>2</v>
      </c>
      <c r="L525" s="3">
        <v>7</v>
      </c>
      <c r="M525" s="3">
        <v>3</v>
      </c>
      <c r="N525" s="3">
        <v>1</v>
      </c>
      <c r="O525" s="3">
        <v>2</v>
      </c>
      <c r="P525" s="3">
        <v>2</v>
      </c>
      <c r="Q525" s="3">
        <v>5</v>
      </c>
      <c r="R525" s="3">
        <v>0</v>
      </c>
      <c r="T525">
        <f>SUM(Table1[[#This Row],[DTP Received]:[LPO/ LOA/ SOA Issue Date]])</f>
        <v>39</v>
      </c>
    </row>
    <row r="526" spans="2:20" x14ac:dyDescent="0.25">
      <c r="B526" t="s">
        <v>1032</v>
      </c>
      <c r="C526" t="s">
        <v>371</v>
      </c>
      <c r="D526" s="3">
        <v>2</v>
      </c>
      <c r="E526" s="3">
        <v>1</v>
      </c>
      <c r="F526" s="3">
        <v>0</v>
      </c>
      <c r="G526" s="3">
        <v>5</v>
      </c>
      <c r="H526" s="3">
        <v>5</v>
      </c>
      <c r="I526" s="3">
        <v>1</v>
      </c>
      <c r="J526" s="3">
        <v>3</v>
      </c>
      <c r="K526" s="3">
        <v>2</v>
      </c>
      <c r="L526" s="3">
        <v>7</v>
      </c>
      <c r="M526" s="3">
        <v>3</v>
      </c>
      <c r="N526" s="3">
        <v>1</v>
      </c>
      <c r="O526" s="3">
        <v>2</v>
      </c>
      <c r="P526" s="3">
        <v>2</v>
      </c>
      <c r="Q526" s="3">
        <v>5</v>
      </c>
      <c r="R526" s="3">
        <v>0</v>
      </c>
      <c r="T526">
        <f>SUM(Table1[[#This Row],[DTP Received]:[LPO/ LOA/ SOA Issue Date]])</f>
        <v>39</v>
      </c>
    </row>
    <row r="527" spans="2:20" x14ac:dyDescent="0.25">
      <c r="B527" t="s">
        <v>1033</v>
      </c>
      <c r="C527" t="s">
        <v>371</v>
      </c>
      <c r="D527" s="3">
        <v>2</v>
      </c>
      <c r="E527" s="3">
        <v>1</v>
      </c>
      <c r="F527" s="3">
        <v>0</v>
      </c>
      <c r="G527" s="3">
        <v>5</v>
      </c>
      <c r="H527" s="3">
        <v>5</v>
      </c>
      <c r="I527" s="3">
        <v>1</v>
      </c>
      <c r="J527" s="3">
        <v>3</v>
      </c>
      <c r="K527" s="3">
        <v>2</v>
      </c>
      <c r="L527" s="3">
        <v>7</v>
      </c>
      <c r="M527" s="3">
        <v>3</v>
      </c>
      <c r="N527" s="3">
        <v>1</v>
      </c>
      <c r="O527" s="3">
        <v>2</v>
      </c>
      <c r="P527" s="3">
        <v>2</v>
      </c>
      <c r="Q527" s="3">
        <v>5</v>
      </c>
      <c r="R527" s="3">
        <v>0</v>
      </c>
      <c r="T527">
        <f>SUM(Table1[[#This Row],[DTP Received]:[LPO/ LOA/ SOA Issue Date]])</f>
        <v>39</v>
      </c>
    </row>
    <row r="528" spans="2:20" x14ac:dyDescent="0.25">
      <c r="B528" t="s">
        <v>164</v>
      </c>
      <c r="C528" t="s">
        <v>45</v>
      </c>
      <c r="D528" s="3">
        <v>2</v>
      </c>
      <c r="E528" s="3">
        <v>1</v>
      </c>
      <c r="F528" s="3">
        <v>0</v>
      </c>
      <c r="G528" s="3">
        <v>14</v>
      </c>
      <c r="H528" s="3">
        <v>10</v>
      </c>
      <c r="I528" s="3">
        <v>1</v>
      </c>
      <c r="J528" s="3">
        <v>3</v>
      </c>
      <c r="K528" s="3">
        <v>2</v>
      </c>
      <c r="L528" s="3">
        <v>7</v>
      </c>
      <c r="M528" s="3">
        <v>5</v>
      </c>
      <c r="N528" s="3">
        <v>1</v>
      </c>
      <c r="O528" s="3">
        <v>2</v>
      </c>
      <c r="P528" s="3">
        <v>2</v>
      </c>
      <c r="Q528" s="3">
        <v>5</v>
      </c>
      <c r="R528" s="3">
        <v>0</v>
      </c>
      <c r="T528">
        <f>SUM(Table1[[#This Row],[DTP Received]:[LPO/ LOA/ SOA Issue Date]])</f>
        <v>55</v>
      </c>
    </row>
    <row r="529" spans="2:20" x14ac:dyDescent="0.25">
      <c r="B529" t="s">
        <v>1034</v>
      </c>
      <c r="C529" t="s">
        <v>1035</v>
      </c>
      <c r="D529" s="3">
        <v>2</v>
      </c>
      <c r="E529" s="3">
        <v>1</v>
      </c>
      <c r="F529" s="3">
        <v>0</v>
      </c>
      <c r="G529" s="3">
        <v>14</v>
      </c>
      <c r="H529" s="3">
        <v>10</v>
      </c>
      <c r="I529" s="3">
        <v>1</v>
      </c>
      <c r="J529" s="3">
        <v>3</v>
      </c>
      <c r="K529" s="3">
        <v>2</v>
      </c>
      <c r="L529" s="3">
        <v>7</v>
      </c>
      <c r="M529" s="3">
        <v>5</v>
      </c>
      <c r="N529" s="3">
        <v>1</v>
      </c>
      <c r="O529" s="3">
        <v>2</v>
      </c>
      <c r="P529" s="3">
        <v>2</v>
      </c>
      <c r="Q529" s="3">
        <v>5</v>
      </c>
      <c r="R529" s="3">
        <v>0</v>
      </c>
      <c r="T529">
        <f>SUM(Table1[[#This Row],[DTP Received]:[LPO/ LOA/ SOA Issue Date]])</f>
        <v>55</v>
      </c>
    </row>
    <row r="530" spans="2:20" x14ac:dyDescent="0.25">
      <c r="B530" t="s">
        <v>1036</v>
      </c>
      <c r="C530" t="s">
        <v>1037</v>
      </c>
      <c r="D530" s="3">
        <v>2</v>
      </c>
      <c r="E530" s="3">
        <v>1</v>
      </c>
      <c r="F530" s="3">
        <v>0</v>
      </c>
      <c r="G530" s="3">
        <v>14</v>
      </c>
      <c r="H530" s="3">
        <v>10</v>
      </c>
      <c r="I530" s="3">
        <v>1</v>
      </c>
      <c r="J530" s="3">
        <v>3</v>
      </c>
      <c r="K530" s="3">
        <v>2</v>
      </c>
      <c r="L530" s="3">
        <v>7</v>
      </c>
      <c r="M530" s="3">
        <v>5</v>
      </c>
      <c r="N530" s="3">
        <v>1</v>
      </c>
      <c r="O530" s="3">
        <v>2</v>
      </c>
      <c r="P530" s="3">
        <v>2</v>
      </c>
      <c r="Q530" s="3">
        <v>5</v>
      </c>
      <c r="R530" s="3">
        <v>0</v>
      </c>
      <c r="T530">
        <f>SUM(Table1[[#This Row],[DTP Received]:[LPO/ LOA/ SOA Issue Date]])</f>
        <v>55</v>
      </c>
    </row>
    <row r="531" spans="2:20" x14ac:dyDescent="0.25">
      <c r="B531" t="s">
        <v>1038</v>
      </c>
      <c r="C531" t="s">
        <v>1039</v>
      </c>
      <c r="D531" s="3">
        <v>2</v>
      </c>
      <c r="E531" s="3">
        <v>1</v>
      </c>
      <c r="F531" s="3">
        <v>0</v>
      </c>
      <c r="G531" s="3">
        <v>14</v>
      </c>
      <c r="H531" s="3">
        <v>10</v>
      </c>
      <c r="I531" s="3">
        <v>1</v>
      </c>
      <c r="J531" s="3">
        <v>3</v>
      </c>
      <c r="K531" s="3">
        <v>2</v>
      </c>
      <c r="L531" s="3">
        <v>7</v>
      </c>
      <c r="M531" s="3">
        <v>5</v>
      </c>
      <c r="N531" s="3">
        <v>1</v>
      </c>
      <c r="O531" s="3">
        <v>2</v>
      </c>
      <c r="P531" s="3">
        <v>2</v>
      </c>
      <c r="Q531" s="3">
        <v>5</v>
      </c>
      <c r="R531" s="3">
        <v>0</v>
      </c>
      <c r="T531">
        <f>SUM(Table1[[#This Row],[DTP Received]:[LPO/ LOA/ SOA Issue Date]])</f>
        <v>55</v>
      </c>
    </row>
    <row r="532" spans="2:20" x14ac:dyDescent="0.25">
      <c r="B532" t="s">
        <v>1040</v>
      </c>
      <c r="C532" t="s">
        <v>1041</v>
      </c>
      <c r="D532" s="3">
        <v>2</v>
      </c>
      <c r="E532" s="3">
        <v>1</v>
      </c>
      <c r="F532" s="3">
        <v>0</v>
      </c>
      <c r="G532" s="3">
        <v>14</v>
      </c>
      <c r="H532" s="3">
        <v>10</v>
      </c>
      <c r="I532" s="3">
        <v>1</v>
      </c>
      <c r="J532" s="3">
        <v>3</v>
      </c>
      <c r="K532" s="3">
        <v>2</v>
      </c>
      <c r="L532" s="3">
        <v>7</v>
      </c>
      <c r="M532" s="3">
        <v>5</v>
      </c>
      <c r="N532" s="3">
        <v>1</v>
      </c>
      <c r="O532" s="3">
        <v>2</v>
      </c>
      <c r="P532" s="3">
        <v>2</v>
      </c>
      <c r="Q532" s="3">
        <v>5</v>
      </c>
      <c r="R532" s="3">
        <v>0</v>
      </c>
      <c r="T532">
        <f>SUM(Table1[[#This Row],[DTP Received]:[LPO/ LOA/ SOA Issue Date]])</f>
        <v>55</v>
      </c>
    </row>
    <row r="533" spans="2:20" x14ac:dyDescent="0.25">
      <c r="B533" t="s">
        <v>1042</v>
      </c>
      <c r="C533" t="s">
        <v>1043</v>
      </c>
      <c r="D533" s="3">
        <v>2</v>
      </c>
      <c r="E533" s="3">
        <v>1</v>
      </c>
      <c r="F533" s="3">
        <v>0</v>
      </c>
      <c r="G533" s="3">
        <v>14</v>
      </c>
      <c r="H533" s="3">
        <v>10</v>
      </c>
      <c r="I533" s="3">
        <v>1</v>
      </c>
      <c r="J533" s="3">
        <v>3</v>
      </c>
      <c r="K533" s="3">
        <v>2</v>
      </c>
      <c r="L533" s="3">
        <v>7</v>
      </c>
      <c r="M533" s="3">
        <v>5</v>
      </c>
      <c r="N533" s="3">
        <v>1</v>
      </c>
      <c r="O533" s="3">
        <v>2</v>
      </c>
      <c r="P533" s="3">
        <v>2</v>
      </c>
      <c r="Q533" s="3">
        <v>5</v>
      </c>
      <c r="R533" s="3">
        <v>0</v>
      </c>
      <c r="T533">
        <f>SUM(Table1[[#This Row],[DTP Received]:[LPO/ LOA/ SOA Issue Date]])</f>
        <v>55</v>
      </c>
    </row>
    <row r="534" spans="2:20" x14ac:dyDescent="0.25">
      <c r="B534" t="s">
        <v>1044</v>
      </c>
      <c r="C534" t="s">
        <v>1045</v>
      </c>
      <c r="D534" s="3">
        <v>2</v>
      </c>
      <c r="E534" s="3">
        <v>1</v>
      </c>
      <c r="F534" s="3">
        <v>0</v>
      </c>
      <c r="G534" s="3">
        <v>14</v>
      </c>
      <c r="H534" s="3">
        <v>10</v>
      </c>
      <c r="I534" s="3">
        <v>1</v>
      </c>
      <c r="J534" s="3">
        <v>3</v>
      </c>
      <c r="K534" s="3">
        <v>2</v>
      </c>
      <c r="L534" s="3">
        <v>7</v>
      </c>
      <c r="M534" s="3">
        <v>5</v>
      </c>
      <c r="N534" s="3">
        <v>1</v>
      </c>
      <c r="O534" s="3">
        <v>2</v>
      </c>
      <c r="P534" s="3">
        <v>2</v>
      </c>
      <c r="Q534" s="3">
        <v>5</v>
      </c>
      <c r="R534" s="3">
        <v>0</v>
      </c>
      <c r="T534">
        <f>SUM(Table1[[#This Row],[DTP Received]:[LPO/ LOA/ SOA Issue Date]])</f>
        <v>55</v>
      </c>
    </row>
    <row r="535" spans="2:20" x14ac:dyDescent="0.25">
      <c r="B535" t="s">
        <v>185</v>
      </c>
      <c r="C535" t="s">
        <v>318</v>
      </c>
      <c r="D535" s="3">
        <v>2</v>
      </c>
      <c r="E535" s="3">
        <v>1</v>
      </c>
      <c r="F535" s="3">
        <v>0</v>
      </c>
      <c r="G535" s="3">
        <v>5</v>
      </c>
      <c r="H535" s="3">
        <v>5</v>
      </c>
      <c r="I535" s="3">
        <v>1</v>
      </c>
      <c r="J535" s="3">
        <v>3</v>
      </c>
      <c r="K535" s="3">
        <v>2</v>
      </c>
      <c r="L535" s="3">
        <v>7</v>
      </c>
      <c r="M535" s="3">
        <v>3</v>
      </c>
      <c r="N535" s="3">
        <v>1</v>
      </c>
      <c r="O535" s="3">
        <v>2</v>
      </c>
      <c r="P535" s="3">
        <v>2</v>
      </c>
      <c r="Q535" s="3">
        <v>5</v>
      </c>
      <c r="R535" s="3">
        <v>0</v>
      </c>
      <c r="T535">
        <f>SUM(Table1[[#This Row],[DTP Received]:[LPO/ LOA/ SOA Issue Date]])</f>
        <v>39</v>
      </c>
    </row>
    <row r="536" spans="2:20" x14ac:dyDescent="0.25">
      <c r="B536" t="s">
        <v>183</v>
      </c>
      <c r="C536" t="s">
        <v>54</v>
      </c>
      <c r="D536" s="3">
        <v>2</v>
      </c>
      <c r="E536" s="3">
        <v>1</v>
      </c>
      <c r="F536" s="3">
        <v>0</v>
      </c>
      <c r="G536" s="3">
        <v>5</v>
      </c>
      <c r="H536" s="3">
        <v>5</v>
      </c>
      <c r="I536" s="3">
        <v>1</v>
      </c>
      <c r="J536" s="3">
        <v>3</v>
      </c>
      <c r="K536" s="3">
        <v>2</v>
      </c>
      <c r="L536" s="3">
        <v>7</v>
      </c>
      <c r="M536" s="3">
        <v>3</v>
      </c>
      <c r="N536" s="3">
        <v>1</v>
      </c>
      <c r="O536" s="3">
        <v>2</v>
      </c>
      <c r="P536" s="3">
        <v>2</v>
      </c>
      <c r="Q536" s="3">
        <v>5</v>
      </c>
      <c r="R536" s="3">
        <v>0</v>
      </c>
      <c r="T536">
        <f>SUM(Table1[[#This Row],[DTP Received]:[LPO/ LOA/ SOA Issue Date]])</f>
        <v>39</v>
      </c>
    </row>
    <row r="537" spans="2:20" x14ac:dyDescent="0.25">
      <c r="B537" t="s">
        <v>1046</v>
      </c>
      <c r="C537" t="s">
        <v>1047</v>
      </c>
      <c r="D537" s="3">
        <v>2</v>
      </c>
      <c r="E537" s="3">
        <v>1</v>
      </c>
      <c r="F537" s="3">
        <v>0</v>
      </c>
      <c r="G537" s="3">
        <v>14</v>
      </c>
      <c r="H537" s="3">
        <v>10</v>
      </c>
      <c r="I537" s="3">
        <v>1</v>
      </c>
      <c r="J537" s="3">
        <v>3</v>
      </c>
      <c r="K537" s="3">
        <v>2</v>
      </c>
      <c r="L537" s="3">
        <v>7</v>
      </c>
      <c r="M537" s="3">
        <v>5</v>
      </c>
      <c r="N537" s="3">
        <v>1</v>
      </c>
      <c r="O537" s="3">
        <v>2</v>
      </c>
      <c r="P537" s="3">
        <v>2</v>
      </c>
      <c r="Q537" s="3">
        <v>5</v>
      </c>
      <c r="R537" s="3">
        <v>0</v>
      </c>
      <c r="T537">
        <f>SUM(Table1[[#This Row],[DTP Received]:[LPO/ LOA/ SOA Issue Date]])</f>
        <v>55</v>
      </c>
    </row>
    <row r="538" spans="2:20" x14ac:dyDescent="0.25">
      <c r="B538" t="s">
        <v>1048</v>
      </c>
      <c r="C538" t="s">
        <v>1049</v>
      </c>
      <c r="D538" s="3">
        <v>2</v>
      </c>
      <c r="E538" s="3">
        <v>1</v>
      </c>
      <c r="F538" s="3">
        <v>0</v>
      </c>
      <c r="G538" s="3">
        <v>5</v>
      </c>
      <c r="H538" s="3">
        <v>5</v>
      </c>
      <c r="I538" s="3">
        <v>1</v>
      </c>
      <c r="J538" s="3">
        <v>3</v>
      </c>
      <c r="K538" s="3">
        <v>2</v>
      </c>
      <c r="L538" s="3">
        <v>7</v>
      </c>
      <c r="M538" s="3">
        <v>3</v>
      </c>
      <c r="N538" s="3">
        <v>1</v>
      </c>
      <c r="O538" s="3">
        <v>2</v>
      </c>
      <c r="P538" s="3">
        <v>2</v>
      </c>
      <c r="Q538" s="3">
        <v>5</v>
      </c>
      <c r="R538" s="3">
        <v>0</v>
      </c>
      <c r="T538">
        <f>SUM(Table1[[#This Row],[DTP Received]:[LPO/ LOA/ SOA Issue Date]])</f>
        <v>39</v>
      </c>
    </row>
    <row r="539" spans="2:20" x14ac:dyDescent="0.25">
      <c r="B539" t="s">
        <v>1050</v>
      </c>
      <c r="C539" t="s">
        <v>371</v>
      </c>
      <c r="D539" s="3">
        <v>2</v>
      </c>
      <c r="E539" s="3">
        <v>1</v>
      </c>
      <c r="F539" s="3">
        <v>0</v>
      </c>
      <c r="G539" s="3">
        <v>5</v>
      </c>
      <c r="H539" s="3">
        <v>5</v>
      </c>
      <c r="I539" s="3">
        <v>1</v>
      </c>
      <c r="J539" s="3">
        <v>3</v>
      </c>
      <c r="K539" s="3">
        <v>2</v>
      </c>
      <c r="L539" s="3">
        <v>7</v>
      </c>
      <c r="M539" s="3">
        <v>3</v>
      </c>
      <c r="N539" s="3">
        <v>1</v>
      </c>
      <c r="O539" s="3">
        <v>2</v>
      </c>
      <c r="P539" s="3">
        <v>2</v>
      </c>
      <c r="Q539" s="3">
        <v>5</v>
      </c>
      <c r="R539" s="3">
        <v>0</v>
      </c>
      <c r="T539">
        <f>SUM(Table1[[#This Row],[DTP Received]:[LPO/ LOA/ SOA Issue Date]])</f>
        <v>39</v>
      </c>
    </row>
    <row r="540" spans="2:20" x14ac:dyDescent="0.25">
      <c r="B540" t="s">
        <v>1051</v>
      </c>
      <c r="C540" t="s">
        <v>371</v>
      </c>
      <c r="D540" s="3">
        <v>2</v>
      </c>
      <c r="E540" s="3">
        <v>1</v>
      </c>
      <c r="F540" s="3">
        <v>0</v>
      </c>
      <c r="G540" s="3">
        <v>5</v>
      </c>
      <c r="H540" s="3">
        <v>5</v>
      </c>
      <c r="I540" s="3">
        <v>1</v>
      </c>
      <c r="J540" s="3">
        <v>3</v>
      </c>
      <c r="K540" s="3">
        <v>2</v>
      </c>
      <c r="L540" s="3">
        <v>7</v>
      </c>
      <c r="M540" s="3">
        <v>3</v>
      </c>
      <c r="N540" s="3">
        <v>1</v>
      </c>
      <c r="O540" s="3">
        <v>2</v>
      </c>
      <c r="P540" s="3">
        <v>2</v>
      </c>
      <c r="Q540" s="3">
        <v>5</v>
      </c>
      <c r="R540" s="3">
        <v>0</v>
      </c>
      <c r="T540">
        <f>SUM(Table1[[#This Row],[DTP Received]:[LPO/ LOA/ SOA Issue Date]])</f>
        <v>39</v>
      </c>
    </row>
    <row r="541" spans="2:20" x14ac:dyDescent="0.25">
      <c r="B541" t="s">
        <v>1052</v>
      </c>
      <c r="C541" t="s">
        <v>371</v>
      </c>
      <c r="D541" s="3">
        <v>2</v>
      </c>
      <c r="E541" s="3">
        <v>1</v>
      </c>
      <c r="F541" s="3">
        <v>0</v>
      </c>
      <c r="G541" s="3">
        <v>5</v>
      </c>
      <c r="H541" s="3">
        <v>5</v>
      </c>
      <c r="I541" s="3">
        <v>1</v>
      </c>
      <c r="J541" s="3">
        <v>3</v>
      </c>
      <c r="K541" s="3">
        <v>2</v>
      </c>
      <c r="L541" s="3">
        <v>7</v>
      </c>
      <c r="M541" s="3">
        <v>3</v>
      </c>
      <c r="N541" s="3">
        <v>1</v>
      </c>
      <c r="O541" s="3">
        <v>2</v>
      </c>
      <c r="P541" s="3">
        <v>2</v>
      </c>
      <c r="Q541" s="3">
        <v>5</v>
      </c>
      <c r="R541" s="3">
        <v>0</v>
      </c>
      <c r="T541">
        <f>SUM(Table1[[#This Row],[DTP Received]:[LPO/ LOA/ SOA Issue Date]])</f>
        <v>39</v>
      </c>
    </row>
    <row r="542" spans="2:20" x14ac:dyDescent="0.25">
      <c r="B542" t="s">
        <v>180</v>
      </c>
      <c r="C542" t="s">
        <v>51</v>
      </c>
      <c r="D542" s="3">
        <v>2</v>
      </c>
      <c r="E542" s="3">
        <v>1</v>
      </c>
      <c r="F542" s="3">
        <v>0</v>
      </c>
      <c r="G542" s="3">
        <v>21</v>
      </c>
      <c r="H542" s="3">
        <v>10</v>
      </c>
      <c r="I542" s="3">
        <v>1</v>
      </c>
      <c r="J542" s="3">
        <v>3</v>
      </c>
      <c r="K542" s="3">
        <v>2</v>
      </c>
      <c r="L542" s="3">
        <v>5</v>
      </c>
      <c r="M542" s="3">
        <v>5</v>
      </c>
      <c r="N542" s="3">
        <v>1</v>
      </c>
      <c r="O542" s="3">
        <v>2</v>
      </c>
      <c r="P542" s="3">
        <v>2</v>
      </c>
      <c r="Q542" s="3">
        <v>5</v>
      </c>
      <c r="R542" s="3">
        <v>0</v>
      </c>
      <c r="T542">
        <f>SUM(Table1[[#This Row],[DTP Received]:[LPO/ LOA/ SOA Issue Date]])</f>
        <v>60</v>
      </c>
    </row>
    <row r="543" spans="2:20" x14ac:dyDescent="0.25">
      <c r="B543" t="s">
        <v>1053</v>
      </c>
      <c r="C543" t="s">
        <v>1054</v>
      </c>
      <c r="D543" s="3">
        <v>2</v>
      </c>
      <c r="E543" s="3">
        <v>1</v>
      </c>
      <c r="F543" s="3">
        <v>0</v>
      </c>
      <c r="G543" s="3">
        <v>5</v>
      </c>
      <c r="H543" s="3">
        <v>5</v>
      </c>
      <c r="I543" s="3">
        <v>1</v>
      </c>
      <c r="J543" s="3">
        <v>3</v>
      </c>
      <c r="K543" s="3">
        <v>2</v>
      </c>
      <c r="L543" s="3">
        <v>7</v>
      </c>
      <c r="M543" s="3">
        <v>3</v>
      </c>
      <c r="N543" s="3">
        <v>1</v>
      </c>
      <c r="O543" s="3">
        <v>2</v>
      </c>
      <c r="P543" s="3">
        <v>2</v>
      </c>
      <c r="Q543" s="3">
        <v>5</v>
      </c>
      <c r="R543" s="3">
        <v>0</v>
      </c>
      <c r="T543">
        <f>SUM(Table1[[#This Row],[DTP Received]:[LPO/ LOA/ SOA Issue Date]])</f>
        <v>39</v>
      </c>
    </row>
    <row r="544" spans="2:20" x14ac:dyDescent="0.25">
      <c r="B544" t="s">
        <v>1055</v>
      </c>
      <c r="C544" t="s">
        <v>1056</v>
      </c>
      <c r="D544" s="3">
        <v>2</v>
      </c>
      <c r="E544" s="3">
        <v>1</v>
      </c>
      <c r="F544" s="3">
        <v>0</v>
      </c>
      <c r="G544" s="3">
        <v>5</v>
      </c>
      <c r="H544" s="3">
        <v>5</v>
      </c>
      <c r="I544" s="3">
        <v>1</v>
      </c>
      <c r="J544" s="3">
        <v>3</v>
      </c>
      <c r="K544" s="3">
        <v>2</v>
      </c>
      <c r="L544" s="3">
        <v>7</v>
      </c>
      <c r="M544" s="3">
        <v>3</v>
      </c>
      <c r="N544" s="3">
        <v>1</v>
      </c>
      <c r="O544" s="3">
        <v>2</v>
      </c>
      <c r="P544" s="3">
        <v>2</v>
      </c>
      <c r="Q544" s="3">
        <v>5</v>
      </c>
      <c r="R544" s="3">
        <v>0</v>
      </c>
      <c r="T544">
        <f>SUM(Table1[[#This Row],[DTP Received]:[LPO/ LOA/ SOA Issue Date]])</f>
        <v>39</v>
      </c>
    </row>
    <row r="545" spans="2:20" x14ac:dyDescent="0.25">
      <c r="B545" t="s">
        <v>1057</v>
      </c>
      <c r="C545" t="s">
        <v>371</v>
      </c>
      <c r="D545" s="3">
        <v>2</v>
      </c>
      <c r="E545" s="3">
        <v>1</v>
      </c>
      <c r="F545" s="3">
        <v>0</v>
      </c>
      <c r="G545" s="3">
        <v>5</v>
      </c>
      <c r="H545" s="3">
        <v>5</v>
      </c>
      <c r="I545" s="3">
        <v>1</v>
      </c>
      <c r="J545" s="3">
        <v>3</v>
      </c>
      <c r="K545" s="3">
        <v>2</v>
      </c>
      <c r="L545" s="3">
        <v>7</v>
      </c>
      <c r="M545" s="3">
        <v>3</v>
      </c>
      <c r="N545" s="3">
        <v>1</v>
      </c>
      <c r="O545" s="3">
        <v>2</v>
      </c>
      <c r="P545" s="3">
        <v>2</v>
      </c>
      <c r="Q545" s="3">
        <v>5</v>
      </c>
      <c r="R545" s="3">
        <v>0</v>
      </c>
      <c r="T545">
        <f>SUM(Table1[[#This Row],[DTP Received]:[LPO/ LOA/ SOA Issue Date]])</f>
        <v>39</v>
      </c>
    </row>
    <row r="546" spans="2:20" x14ac:dyDescent="0.25">
      <c r="B546" t="s">
        <v>1058</v>
      </c>
      <c r="C546" t="s">
        <v>371</v>
      </c>
      <c r="D546" s="3">
        <v>2</v>
      </c>
      <c r="E546" s="3">
        <v>1</v>
      </c>
      <c r="F546" s="3">
        <v>0</v>
      </c>
      <c r="G546" s="3">
        <v>5</v>
      </c>
      <c r="H546" s="3">
        <v>5</v>
      </c>
      <c r="I546" s="3">
        <v>1</v>
      </c>
      <c r="J546" s="3">
        <v>3</v>
      </c>
      <c r="K546" s="3">
        <v>2</v>
      </c>
      <c r="L546" s="3">
        <v>7</v>
      </c>
      <c r="M546" s="3">
        <v>3</v>
      </c>
      <c r="N546" s="3">
        <v>1</v>
      </c>
      <c r="O546" s="3">
        <v>2</v>
      </c>
      <c r="P546" s="3">
        <v>2</v>
      </c>
      <c r="Q546" s="3">
        <v>5</v>
      </c>
      <c r="R546" s="3">
        <v>0</v>
      </c>
      <c r="T546">
        <f>SUM(Table1[[#This Row],[DTP Received]:[LPO/ LOA/ SOA Issue Date]])</f>
        <v>39</v>
      </c>
    </row>
    <row r="547" spans="2:20" x14ac:dyDescent="0.25">
      <c r="B547" t="s">
        <v>1059</v>
      </c>
      <c r="C547" t="s">
        <v>371</v>
      </c>
      <c r="D547" s="3">
        <v>2</v>
      </c>
      <c r="E547" s="3">
        <v>1</v>
      </c>
      <c r="F547" s="3">
        <v>0</v>
      </c>
      <c r="G547" s="3">
        <v>5</v>
      </c>
      <c r="H547" s="3">
        <v>5</v>
      </c>
      <c r="I547" s="3">
        <v>1</v>
      </c>
      <c r="J547" s="3">
        <v>3</v>
      </c>
      <c r="K547" s="3">
        <v>2</v>
      </c>
      <c r="L547" s="3">
        <v>7</v>
      </c>
      <c r="M547" s="3">
        <v>3</v>
      </c>
      <c r="N547" s="3">
        <v>1</v>
      </c>
      <c r="O547" s="3">
        <v>2</v>
      </c>
      <c r="P547" s="3">
        <v>2</v>
      </c>
      <c r="Q547" s="3">
        <v>5</v>
      </c>
      <c r="R547" s="3">
        <v>0</v>
      </c>
      <c r="T547">
        <f>SUM(Table1[[#This Row],[DTP Received]:[LPO/ LOA/ SOA Issue Date]])</f>
        <v>39</v>
      </c>
    </row>
    <row r="548" spans="2:20" x14ac:dyDescent="0.25">
      <c r="B548" t="s">
        <v>1060</v>
      </c>
      <c r="C548" t="s">
        <v>371</v>
      </c>
      <c r="D548" s="3">
        <v>2</v>
      </c>
      <c r="E548" s="3">
        <v>1</v>
      </c>
      <c r="F548" s="3">
        <v>0</v>
      </c>
      <c r="G548" s="3">
        <v>5</v>
      </c>
      <c r="H548" s="3">
        <v>5</v>
      </c>
      <c r="I548" s="3">
        <v>1</v>
      </c>
      <c r="J548" s="3">
        <v>3</v>
      </c>
      <c r="K548" s="3">
        <v>2</v>
      </c>
      <c r="L548" s="3">
        <v>7</v>
      </c>
      <c r="M548" s="3">
        <v>3</v>
      </c>
      <c r="N548" s="3">
        <v>1</v>
      </c>
      <c r="O548" s="3">
        <v>2</v>
      </c>
      <c r="P548" s="3">
        <v>2</v>
      </c>
      <c r="Q548" s="3">
        <v>5</v>
      </c>
      <c r="R548" s="3">
        <v>0</v>
      </c>
      <c r="T548">
        <f>SUM(Table1[[#This Row],[DTP Received]:[LPO/ LOA/ SOA Issue Date]])</f>
        <v>39</v>
      </c>
    </row>
    <row r="549" spans="2:20" x14ac:dyDescent="0.25">
      <c r="B549" t="s">
        <v>1061</v>
      </c>
      <c r="C549" t="s">
        <v>371</v>
      </c>
      <c r="D549" s="3">
        <v>2</v>
      </c>
      <c r="E549" s="3">
        <v>1</v>
      </c>
      <c r="F549" s="3">
        <v>0</v>
      </c>
      <c r="G549" s="3">
        <v>5</v>
      </c>
      <c r="H549" s="3">
        <v>5</v>
      </c>
      <c r="I549" s="3">
        <v>1</v>
      </c>
      <c r="J549" s="3">
        <v>3</v>
      </c>
      <c r="K549" s="3">
        <v>2</v>
      </c>
      <c r="L549" s="3">
        <v>7</v>
      </c>
      <c r="M549" s="3">
        <v>3</v>
      </c>
      <c r="N549" s="3">
        <v>1</v>
      </c>
      <c r="O549" s="3">
        <v>2</v>
      </c>
      <c r="P549" s="3">
        <v>2</v>
      </c>
      <c r="Q549" s="3">
        <v>5</v>
      </c>
      <c r="R549" s="3">
        <v>0</v>
      </c>
      <c r="T549">
        <f>SUM(Table1[[#This Row],[DTP Received]:[LPO/ LOA/ SOA Issue Date]])</f>
        <v>39</v>
      </c>
    </row>
    <row r="550" spans="2:20" x14ac:dyDescent="0.25">
      <c r="B550" t="s">
        <v>1062</v>
      </c>
      <c r="C550" t="s">
        <v>1063</v>
      </c>
      <c r="D550" s="3">
        <v>2</v>
      </c>
      <c r="E550" s="3">
        <v>1</v>
      </c>
      <c r="F550" s="3">
        <v>0</v>
      </c>
      <c r="G550" s="3">
        <v>5</v>
      </c>
      <c r="H550" s="3">
        <v>5</v>
      </c>
      <c r="I550" s="3">
        <v>1</v>
      </c>
      <c r="J550" s="3">
        <v>3</v>
      </c>
      <c r="K550" s="3">
        <v>2</v>
      </c>
      <c r="L550" s="3">
        <v>7</v>
      </c>
      <c r="M550" s="3">
        <v>3</v>
      </c>
      <c r="N550" s="3">
        <v>1</v>
      </c>
      <c r="O550" s="3">
        <v>2</v>
      </c>
      <c r="P550" s="3">
        <v>2</v>
      </c>
      <c r="Q550" s="3">
        <v>5</v>
      </c>
      <c r="R550" s="3">
        <v>0</v>
      </c>
      <c r="T550">
        <f>SUM(Table1[[#This Row],[DTP Received]:[LPO/ LOA/ SOA Issue Date]])</f>
        <v>39</v>
      </c>
    </row>
    <row r="551" spans="2:20" x14ac:dyDescent="0.25">
      <c r="B551" t="s">
        <v>257</v>
      </c>
      <c r="C551" t="s">
        <v>364</v>
      </c>
      <c r="D551" s="3">
        <v>2</v>
      </c>
      <c r="E551" s="3">
        <v>1</v>
      </c>
      <c r="F551" s="3">
        <v>0</v>
      </c>
      <c r="G551" s="3">
        <v>5</v>
      </c>
      <c r="H551" s="3">
        <v>5</v>
      </c>
      <c r="I551" s="3">
        <v>1</v>
      </c>
      <c r="J551" s="3">
        <v>3</v>
      </c>
      <c r="K551" s="3">
        <v>2</v>
      </c>
      <c r="L551" s="3">
        <v>7</v>
      </c>
      <c r="M551" s="3">
        <v>3</v>
      </c>
      <c r="N551" s="3">
        <v>1</v>
      </c>
      <c r="O551" s="3">
        <v>2</v>
      </c>
      <c r="P551" s="3">
        <v>2</v>
      </c>
      <c r="Q551" s="3">
        <v>5</v>
      </c>
      <c r="R551" s="3">
        <v>0</v>
      </c>
      <c r="T551">
        <f>SUM(Table1[[#This Row],[DTP Received]:[LPO/ LOA/ SOA Issue Date]])</f>
        <v>39</v>
      </c>
    </row>
    <row r="552" spans="2:20" x14ac:dyDescent="0.25">
      <c r="B552" t="s">
        <v>1064</v>
      </c>
      <c r="C552" t="s">
        <v>1065</v>
      </c>
      <c r="D552" s="3">
        <v>2</v>
      </c>
      <c r="E552" s="3">
        <v>1</v>
      </c>
      <c r="F552" s="3">
        <v>0</v>
      </c>
      <c r="G552" s="3">
        <v>10</v>
      </c>
      <c r="H552" s="3">
        <v>5</v>
      </c>
      <c r="I552" s="3">
        <v>1</v>
      </c>
      <c r="J552" s="3">
        <v>3</v>
      </c>
      <c r="K552" s="3">
        <v>2</v>
      </c>
      <c r="L552" s="3">
        <v>3</v>
      </c>
      <c r="M552" s="3">
        <v>3</v>
      </c>
      <c r="N552" s="3">
        <v>1</v>
      </c>
      <c r="O552" s="3">
        <v>2</v>
      </c>
      <c r="P552" s="3">
        <v>2</v>
      </c>
      <c r="Q552" s="3">
        <v>5</v>
      </c>
      <c r="R552" s="3">
        <v>0</v>
      </c>
      <c r="T552">
        <f>SUM(Table1[[#This Row],[DTP Received]:[LPO/ LOA/ SOA Issue Date]])</f>
        <v>40</v>
      </c>
    </row>
    <row r="553" spans="2:20" x14ac:dyDescent="0.25">
      <c r="B553" t="s">
        <v>244</v>
      </c>
      <c r="C553" t="s">
        <v>354</v>
      </c>
      <c r="D553" s="3">
        <v>2</v>
      </c>
      <c r="E553" s="3">
        <v>1</v>
      </c>
      <c r="F553" s="3">
        <v>0</v>
      </c>
      <c r="G553" s="3">
        <v>3</v>
      </c>
      <c r="H553" s="3">
        <v>2</v>
      </c>
      <c r="I553" s="3">
        <v>1</v>
      </c>
      <c r="J553" s="3">
        <v>3</v>
      </c>
      <c r="K553" s="3">
        <v>2</v>
      </c>
      <c r="L553" s="3">
        <v>2</v>
      </c>
      <c r="M553" s="3">
        <v>1</v>
      </c>
      <c r="N553" s="3">
        <v>1</v>
      </c>
      <c r="O553" s="3">
        <v>2</v>
      </c>
      <c r="P553" s="3">
        <v>2</v>
      </c>
      <c r="Q553" s="3">
        <v>5</v>
      </c>
      <c r="R553" s="3">
        <v>0</v>
      </c>
      <c r="T553">
        <f>SUM(Table1[[#This Row],[DTP Received]:[LPO/ LOA/ SOA Issue Date]])</f>
        <v>27</v>
      </c>
    </row>
    <row r="554" spans="2:20" x14ac:dyDescent="0.25">
      <c r="B554" t="s">
        <v>1066</v>
      </c>
      <c r="C554" t="s">
        <v>1067</v>
      </c>
      <c r="D554" s="3">
        <v>2</v>
      </c>
      <c r="E554" s="3">
        <v>1</v>
      </c>
      <c r="F554" s="3">
        <v>0</v>
      </c>
      <c r="G554" s="3">
        <v>5</v>
      </c>
      <c r="H554" s="3">
        <v>5</v>
      </c>
      <c r="I554" s="3">
        <v>1</v>
      </c>
      <c r="J554" s="3">
        <v>3</v>
      </c>
      <c r="K554" s="3">
        <v>2</v>
      </c>
      <c r="L554" s="3">
        <v>7</v>
      </c>
      <c r="M554" s="3">
        <v>3</v>
      </c>
      <c r="N554" s="3">
        <v>1</v>
      </c>
      <c r="O554" s="3">
        <v>2</v>
      </c>
      <c r="P554" s="3">
        <v>2</v>
      </c>
      <c r="Q554" s="3">
        <v>5</v>
      </c>
      <c r="R554" s="3">
        <v>0</v>
      </c>
      <c r="T554">
        <f>SUM(Table1[[#This Row],[DTP Received]:[LPO/ LOA/ SOA Issue Date]])</f>
        <v>39</v>
      </c>
    </row>
    <row r="555" spans="2:20" x14ac:dyDescent="0.25">
      <c r="B555" t="s">
        <v>1068</v>
      </c>
      <c r="C555" t="s">
        <v>1069</v>
      </c>
      <c r="D555" s="3">
        <v>2</v>
      </c>
      <c r="E555" s="3">
        <v>1</v>
      </c>
      <c r="F555" s="3">
        <v>0</v>
      </c>
      <c r="G555" s="3">
        <v>5</v>
      </c>
      <c r="H555" s="3">
        <v>5</v>
      </c>
      <c r="I555" s="3">
        <v>1</v>
      </c>
      <c r="J555" s="3">
        <v>3</v>
      </c>
      <c r="K555" s="3">
        <v>2</v>
      </c>
      <c r="L555" s="3">
        <v>7</v>
      </c>
      <c r="M555" s="3">
        <v>3</v>
      </c>
      <c r="N555" s="3">
        <v>1</v>
      </c>
      <c r="O555" s="3">
        <v>2</v>
      </c>
      <c r="P555" s="3">
        <v>2</v>
      </c>
      <c r="Q555" s="3">
        <v>5</v>
      </c>
      <c r="R555" s="3">
        <v>0</v>
      </c>
      <c r="T555">
        <f>SUM(Table1[[#This Row],[DTP Received]:[LPO/ LOA/ SOA Issue Date]])</f>
        <v>39</v>
      </c>
    </row>
    <row r="556" spans="2:20" x14ac:dyDescent="0.25">
      <c r="B556" t="s">
        <v>1070</v>
      </c>
      <c r="C556" t="s">
        <v>371</v>
      </c>
      <c r="D556" s="3">
        <v>2</v>
      </c>
      <c r="E556" s="3">
        <v>1</v>
      </c>
      <c r="F556" s="3">
        <v>0</v>
      </c>
      <c r="G556" s="3">
        <v>5</v>
      </c>
      <c r="H556" s="3">
        <v>5</v>
      </c>
      <c r="I556" s="3">
        <v>1</v>
      </c>
      <c r="J556" s="3">
        <v>3</v>
      </c>
      <c r="K556" s="3">
        <v>2</v>
      </c>
      <c r="L556" s="3">
        <v>7</v>
      </c>
      <c r="M556" s="3">
        <v>3</v>
      </c>
      <c r="N556" s="3">
        <v>1</v>
      </c>
      <c r="O556" s="3">
        <v>2</v>
      </c>
      <c r="P556" s="3">
        <v>2</v>
      </c>
      <c r="Q556" s="3">
        <v>5</v>
      </c>
      <c r="R556" s="3">
        <v>0</v>
      </c>
      <c r="T556">
        <f>SUM(Table1[[#This Row],[DTP Received]:[LPO/ LOA/ SOA Issue Date]])</f>
        <v>39</v>
      </c>
    </row>
    <row r="557" spans="2:20" x14ac:dyDescent="0.25">
      <c r="B557" t="s">
        <v>1071</v>
      </c>
      <c r="C557" t="s">
        <v>371</v>
      </c>
      <c r="D557" s="3">
        <v>2</v>
      </c>
      <c r="E557" s="3">
        <v>1</v>
      </c>
      <c r="F557" s="3">
        <v>0</v>
      </c>
      <c r="G557" s="3">
        <v>5</v>
      </c>
      <c r="H557" s="3">
        <v>5</v>
      </c>
      <c r="I557" s="3">
        <v>1</v>
      </c>
      <c r="J557" s="3">
        <v>3</v>
      </c>
      <c r="K557" s="3">
        <v>2</v>
      </c>
      <c r="L557" s="3">
        <v>7</v>
      </c>
      <c r="M557" s="3">
        <v>3</v>
      </c>
      <c r="N557" s="3">
        <v>1</v>
      </c>
      <c r="O557" s="3">
        <v>2</v>
      </c>
      <c r="P557" s="3">
        <v>2</v>
      </c>
      <c r="Q557" s="3">
        <v>5</v>
      </c>
      <c r="R557" s="3">
        <v>0</v>
      </c>
      <c r="T557">
        <f>SUM(Table1[[#This Row],[DTP Received]:[LPO/ LOA/ SOA Issue Date]])</f>
        <v>39</v>
      </c>
    </row>
    <row r="558" spans="2:20" x14ac:dyDescent="0.25">
      <c r="B558" t="s">
        <v>1072</v>
      </c>
      <c r="C558" t="s">
        <v>371</v>
      </c>
      <c r="D558" s="3">
        <v>2</v>
      </c>
      <c r="E558" s="3">
        <v>1</v>
      </c>
      <c r="F558" s="3">
        <v>0</v>
      </c>
      <c r="G558" s="3">
        <v>5</v>
      </c>
      <c r="H558" s="3">
        <v>5</v>
      </c>
      <c r="I558" s="3">
        <v>1</v>
      </c>
      <c r="J558" s="3">
        <v>3</v>
      </c>
      <c r="K558" s="3">
        <v>2</v>
      </c>
      <c r="L558" s="3">
        <v>7</v>
      </c>
      <c r="M558" s="3">
        <v>3</v>
      </c>
      <c r="N558" s="3">
        <v>1</v>
      </c>
      <c r="O558" s="3">
        <v>2</v>
      </c>
      <c r="P558" s="3">
        <v>2</v>
      </c>
      <c r="Q558" s="3">
        <v>5</v>
      </c>
      <c r="R558" s="3">
        <v>0</v>
      </c>
      <c r="T558">
        <f>SUM(Table1[[#This Row],[DTP Received]:[LPO/ LOA/ SOA Issue Date]])</f>
        <v>39</v>
      </c>
    </row>
    <row r="559" spans="2:20" x14ac:dyDescent="0.25">
      <c r="B559" t="s">
        <v>1073</v>
      </c>
      <c r="C559" t="s">
        <v>371</v>
      </c>
      <c r="D559" s="3">
        <v>2</v>
      </c>
      <c r="E559" s="3">
        <v>1</v>
      </c>
      <c r="F559" s="3">
        <v>0</v>
      </c>
      <c r="G559" s="3">
        <v>5</v>
      </c>
      <c r="H559" s="3">
        <v>5</v>
      </c>
      <c r="I559" s="3">
        <v>1</v>
      </c>
      <c r="J559" s="3">
        <v>3</v>
      </c>
      <c r="K559" s="3">
        <v>2</v>
      </c>
      <c r="L559" s="3">
        <v>7</v>
      </c>
      <c r="M559" s="3">
        <v>3</v>
      </c>
      <c r="N559" s="3">
        <v>1</v>
      </c>
      <c r="O559" s="3">
        <v>2</v>
      </c>
      <c r="P559" s="3">
        <v>2</v>
      </c>
      <c r="Q559" s="3">
        <v>5</v>
      </c>
      <c r="R559" s="3">
        <v>0</v>
      </c>
      <c r="T559">
        <f>SUM(Table1[[#This Row],[DTP Received]:[LPO/ LOA/ SOA Issue Date]])</f>
        <v>39</v>
      </c>
    </row>
    <row r="560" spans="2:20" x14ac:dyDescent="0.25">
      <c r="B560" t="s">
        <v>1074</v>
      </c>
      <c r="C560" t="s">
        <v>371</v>
      </c>
      <c r="D560" s="3">
        <v>2</v>
      </c>
      <c r="E560" s="3">
        <v>1</v>
      </c>
      <c r="F560" s="3">
        <v>0</v>
      </c>
      <c r="G560" s="3">
        <v>5</v>
      </c>
      <c r="H560" s="3">
        <v>5</v>
      </c>
      <c r="I560" s="3">
        <v>1</v>
      </c>
      <c r="J560" s="3">
        <v>3</v>
      </c>
      <c r="K560" s="3">
        <v>2</v>
      </c>
      <c r="L560" s="3">
        <v>7</v>
      </c>
      <c r="M560" s="3">
        <v>3</v>
      </c>
      <c r="N560" s="3">
        <v>1</v>
      </c>
      <c r="O560" s="3">
        <v>2</v>
      </c>
      <c r="P560" s="3">
        <v>2</v>
      </c>
      <c r="Q560" s="3">
        <v>5</v>
      </c>
      <c r="R560" s="3">
        <v>0</v>
      </c>
      <c r="T560">
        <f>SUM(Table1[[#This Row],[DTP Received]:[LPO/ LOA/ SOA Issue Date]])</f>
        <v>39</v>
      </c>
    </row>
    <row r="561" spans="2:20" x14ac:dyDescent="0.25">
      <c r="B561" t="s">
        <v>1075</v>
      </c>
      <c r="C561" t="s">
        <v>1076</v>
      </c>
      <c r="D561" s="3">
        <v>2</v>
      </c>
      <c r="E561" s="3">
        <v>1</v>
      </c>
      <c r="F561" s="3">
        <v>0</v>
      </c>
      <c r="G561" s="3">
        <v>14</v>
      </c>
      <c r="H561" s="3">
        <v>5</v>
      </c>
      <c r="I561" s="3">
        <v>1</v>
      </c>
      <c r="J561" s="3">
        <v>3</v>
      </c>
      <c r="K561" s="3">
        <v>2</v>
      </c>
      <c r="L561" s="3">
        <v>3</v>
      </c>
      <c r="M561" s="3">
        <v>3</v>
      </c>
      <c r="N561" s="3">
        <v>1</v>
      </c>
      <c r="O561" s="3">
        <v>2</v>
      </c>
      <c r="P561" s="3">
        <v>2</v>
      </c>
      <c r="Q561" s="3">
        <v>5</v>
      </c>
      <c r="R561" s="3">
        <v>0</v>
      </c>
      <c r="T561">
        <f>SUM(Table1[[#This Row],[DTP Received]:[LPO/ LOA/ SOA Issue Date]])</f>
        <v>44</v>
      </c>
    </row>
    <row r="562" spans="2:20" x14ac:dyDescent="0.25">
      <c r="B562" t="s">
        <v>245</v>
      </c>
      <c r="C562" t="s">
        <v>356</v>
      </c>
      <c r="D562" s="3">
        <v>2</v>
      </c>
      <c r="E562" s="3">
        <v>1</v>
      </c>
      <c r="F562" s="3">
        <v>0</v>
      </c>
      <c r="G562" s="3">
        <v>14</v>
      </c>
      <c r="H562" s="3">
        <v>5</v>
      </c>
      <c r="I562" s="3">
        <v>1</v>
      </c>
      <c r="J562" s="3">
        <v>3</v>
      </c>
      <c r="K562" s="3">
        <v>2</v>
      </c>
      <c r="L562" s="3">
        <v>3</v>
      </c>
      <c r="M562" s="3">
        <v>3</v>
      </c>
      <c r="N562" s="3">
        <v>1</v>
      </c>
      <c r="O562" s="3">
        <v>2</v>
      </c>
      <c r="P562" s="3">
        <v>2</v>
      </c>
      <c r="Q562" s="3">
        <v>5</v>
      </c>
      <c r="R562" s="3">
        <v>0</v>
      </c>
      <c r="T562">
        <f>SUM(Table1[[#This Row],[DTP Received]:[LPO/ LOA/ SOA Issue Date]])</f>
        <v>44</v>
      </c>
    </row>
    <row r="563" spans="2:20" x14ac:dyDescent="0.25">
      <c r="B563" t="s">
        <v>1077</v>
      </c>
      <c r="C563" t="s">
        <v>1078</v>
      </c>
      <c r="D563" s="3">
        <v>2</v>
      </c>
      <c r="E563" s="3">
        <v>1</v>
      </c>
      <c r="F563" s="3">
        <v>0</v>
      </c>
      <c r="G563" s="3">
        <v>14</v>
      </c>
      <c r="H563" s="3">
        <v>5</v>
      </c>
      <c r="I563" s="3">
        <v>1</v>
      </c>
      <c r="J563" s="3">
        <v>3</v>
      </c>
      <c r="K563" s="3">
        <v>2</v>
      </c>
      <c r="L563" s="3">
        <v>3</v>
      </c>
      <c r="M563" s="3">
        <v>3</v>
      </c>
      <c r="N563" s="3">
        <v>1</v>
      </c>
      <c r="O563" s="3">
        <v>2</v>
      </c>
      <c r="P563" s="3">
        <v>2</v>
      </c>
      <c r="Q563" s="3">
        <v>5</v>
      </c>
      <c r="R563" s="3">
        <v>0</v>
      </c>
      <c r="T563">
        <f>SUM(Table1[[#This Row],[DTP Received]:[LPO/ LOA/ SOA Issue Date]])</f>
        <v>44</v>
      </c>
    </row>
    <row r="564" spans="2:20" x14ac:dyDescent="0.25">
      <c r="B564" t="s">
        <v>1079</v>
      </c>
      <c r="C564" t="s">
        <v>371</v>
      </c>
      <c r="D564" s="3">
        <v>2</v>
      </c>
      <c r="E564" s="3">
        <v>1</v>
      </c>
      <c r="F564" s="3">
        <v>0</v>
      </c>
      <c r="G564" s="3">
        <v>5</v>
      </c>
      <c r="H564" s="3">
        <v>5</v>
      </c>
      <c r="I564" s="3">
        <v>1</v>
      </c>
      <c r="J564" s="3">
        <v>3</v>
      </c>
      <c r="K564" s="3">
        <v>2</v>
      </c>
      <c r="L564" s="3">
        <v>7</v>
      </c>
      <c r="M564" s="3">
        <v>3</v>
      </c>
      <c r="N564" s="3">
        <v>1</v>
      </c>
      <c r="O564" s="3">
        <v>2</v>
      </c>
      <c r="P564" s="3">
        <v>2</v>
      </c>
      <c r="Q564" s="3">
        <v>5</v>
      </c>
      <c r="R564" s="3">
        <v>0</v>
      </c>
      <c r="T564">
        <f>SUM(Table1[[#This Row],[DTP Received]:[LPO/ LOA/ SOA Issue Date]])</f>
        <v>39</v>
      </c>
    </row>
    <row r="565" spans="2:20" x14ac:dyDescent="0.25">
      <c r="B565" t="s">
        <v>1080</v>
      </c>
      <c r="C565" t="s">
        <v>371</v>
      </c>
      <c r="D565" s="3">
        <v>2</v>
      </c>
      <c r="E565" s="3">
        <v>1</v>
      </c>
      <c r="F565" s="3">
        <v>0</v>
      </c>
      <c r="G565" s="3">
        <v>5</v>
      </c>
      <c r="H565" s="3">
        <v>5</v>
      </c>
      <c r="I565" s="3">
        <v>1</v>
      </c>
      <c r="J565" s="3">
        <v>3</v>
      </c>
      <c r="K565" s="3">
        <v>2</v>
      </c>
      <c r="L565" s="3">
        <v>7</v>
      </c>
      <c r="M565" s="3">
        <v>3</v>
      </c>
      <c r="N565" s="3">
        <v>1</v>
      </c>
      <c r="O565" s="3">
        <v>2</v>
      </c>
      <c r="P565" s="3">
        <v>2</v>
      </c>
      <c r="Q565" s="3">
        <v>5</v>
      </c>
      <c r="R565" s="3">
        <v>0</v>
      </c>
      <c r="T565">
        <f>SUM(Table1[[#This Row],[DTP Received]:[LPO/ LOA/ SOA Issue Date]])</f>
        <v>39</v>
      </c>
    </row>
    <row r="566" spans="2:20" x14ac:dyDescent="0.25">
      <c r="B566" t="s">
        <v>1081</v>
      </c>
      <c r="C566" t="s">
        <v>371</v>
      </c>
      <c r="D566" s="3">
        <v>2</v>
      </c>
      <c r="E566" s="3">
        <v>1</v>
      </c>
      <c r="F566" s="3">
        <v>0</v>
      </c>
      <c r="G566" s="3">
        <v>5</v>
      </c>
      <c r="H566" s="3">
        <v>5</v>
      </c>
      <c r="I566" s="3">
        <v>1</v>
      </c>
      <c r="J566" s="3">
        <v>3</v>
      </c>
      <c r="K566" s="3">
        <v>2</v>
      </c>
      <c r="L566" s="3">
        <v>7</v>
      </c>
      <c r="M566" s="3">
        <v>3</v>
      </c>
      <c r="N566" s="3">
        <v>1</v>
      </c>
      <c r="O566" s="3">
        <v>2</v>
      </c>
      <c r="P566" s="3">
        <v>2</v>
      </c>
      <c r="Q566" s="3">
        <v>5</v>
      </c>
      <c r="R566" s="3">
        <v>0</v>
      </c>
      <c r="T566">
        <f>SUM(Table1[[#This Row],[DTP Received]:[LPO/ LOA/ SOA Issue Date]])</f>
        <v>39</v>
      </c>
    </row>
    <row r="567" spans="2:20" x14ac:dyDescent="0.25">
      <c r="B567" t="s">
        <v>1082</v>
      </c>
      <c r="C567" t="s">
        <v>371</v>
      </c>
      <c r="D567" s="3">
        <v>2</v>
      </c>
      <c r="E567" s="3">
        <v>1</v>
      </c>
      <c r="F567" s="3">
        <v>0</v>
      </c>
      <c r="G567" s="3">
        <v>5</v>
      </c>
      <c r="H567" s="3">
        <v>5</v>
      </c>
      <c r="I567" s="3">
        <v>1</v>
      </c>
      <c r="J567" s="3">
        <v>3</v>
      </c>
      <c r="K567" s="3">
        <v>2</v>
      </c>
      <c r="L567" s="3">
        <v>7</v>
      </c>
      <c r="M567" s="3">
        <v>3</v>
      </c>
      <c r="N567" s="3">
        <v>1</v>
      </c>
      <c r="O567" s="3">
        <v>2</v>
      </c>
      <c r="P567" s="3">
        <v>2</v>
      </c>
      <c r="Q567" s="3">
        <v>5</v>
      </c>
      <c r="R567" s="3">
        <v>0</v>
      </c>
      <c r="T567">
        <f>SUM(Table1[[#This Row],[DTP Received]:[LPO/ LOA/ SOA Issue Date]])</f>
        <v>39</v>
      </c>
    </row>
    <row r="568" spans="2:20" x14ac:dyDescent="0.25">
      <c r="B568" t="s">
        <v>1083</v>
      </c>
      <c r="C568" t="s">
        <v>371</v>
      </c>
      <c r="D568" s="3">
        <v>2</v>
      </c>
      <c r="E568" s="3">
        <v>1</v>
      </c>
      <c r="F568" s="3">
        <v>0</v>
      </c>
      <c r="G568" s="3">
        <v>5</v>
      </c>
      <c r="H568" s="3">
        <v>5</v>
      </c>
      <c r="I568" s="3">
        <v>1</v>
      </c>
      <c r="J568" s="3">
        <v>3</v>
      </c>
      <c r="K568" s="3">
        <v>2</v>
      </c>
      <c r="L568" s="3">
        <v>7</v>
      </c>
      <c r="M568" s="3">
        <v>3</v>
      </c>
      <c r="N568" s="3">
        <v>1</v>
      </c>
      <c r="O568" s="3">
        <v>2</v>
      </c>
      <c r="P568" s="3">
        <v>2</v>
      </c>
      <c r="Q568" s="3">
        <v>5</v>
      </c>
      <c r="R568" s="3">
        <v>0</v>
      </c>
      <c r="T568">
        <f>SUM(Table1[[#This Row],[DTP Received]:[LPO/ LOA/ SOA Issue Date]])</f>
        <v>39</v>
      </c>
    </row>
    <row r="569" spans="2:20" x14ac:dyDescent="0.25">
      <c r="B569" t="s">
        <v>1084</v>
      </c>
      <c r="C569" t="s">
        <v>1085</v>
      </c>
      <c r="D569" s="3">
        <v>2</v>
      </c>
      <c r="E569" s="3">
        <v>1</v>
      </c>
      <c r="F569" s="3">
        <v>0</v>
      </c>
      <c r="G569" s="3">
        <v>5</v>
      </c>
      <c r="H569" s="3">
        <v>5</v>
      </c>
      <c r="I569" s="3">
        <v>1</v>
      </c>
      <c r="J569" s="3">
        <v>3</v>
      </c>
      <c r="K569" s="3">
        <v>2</v>
      </c>
      <c r="L569" s="3">
        <v>7</v>
      </c>
      <c r="M569" s="3">
        <v>3</v>
      </c>
      <c r="N569" s="3">
        <v>1</v>
      </c>
      <c r="O569" s="3">
        <v>2</v>
      </c>
      <c r="P569" s="3">
        <v>2</v>
      </c>
      <c r="Q569" s="3">
        <v>5</v>
      </c>
      <c r="R569" s="3">
        <v>0</v>
      </c>
      <c r="T569">
        <f>SUM(Table1[[#This Row],[DTP Received]:[LPO/ LOA/ SOA Issue Date]])</f>
        <v>39</v>
      </c>
    </row>
    <row r="570" spans="2:20" x14ac:dyDescent="0.25">
      <c r="B570" t="s">
        <v>1086</v>
      </c>
      <c r="C570" t="s">
        <v>1087</v>
      </c>
      <c r="D570" s="3">
        <v>2</v>
      </c>
      <c r="E570" s="3">
        <v>1</v>
      </c>
      <c r="F570" s="3">
        <v>0</v>
      </c>
      <c r="G570" s="3">
        <v>5</v>
      </c>
      <c r="H570" s="3">
        <v>5</v>
      </c>
      <c r="I570" s="3">
        <v>1</v>
      </c>
      <c r="J570" s="3">
        <v>3</v>
      </c>
      <c r="K570" s="3">
        <v>2</v>
      </c>
      <c r="L570" s="3">
        <v>7</v>
      </c>
      <c r="M570" s="3">
        <v>3</v>
      </c>
      <c r="N570" s="3">
        <v>1</v>
      </c>
      <c r="O570" s="3">
        <v>2</v>
      </c>
      <c r="P570" s="3">
        <v>2</v>
      </c>
      <c r="Q570" s="3">
        <v>5</v>
      </c>
      <c r="R570" s="3">
        <v>0</v>
      </c>
      <c r="T570">
        <f>SUM(Table1[[#This Row],[DTP Received]:[LPO/ LOA/ SOA Issue Date]])</f>
        <v>39</v>
      </c>
    </row>
    <row r="571" spans="2:20" x14ac:dyDescent="0.25">
      <c r="B571" t="s">
        <v>1088</v>
      </c>
      <c r="C571" t="s">
        <v>1089</v>
      </c>
      <c r="D571" s="3">
        <v>2</v>
      </c>
      <c r="E571" s="3">
        <v>1</v>
      </c>
      <c r="F571" s="3">
        <v>0</v>
      </c>
      <c r="G571" s="3">
        <v>5</v>
      </c>
      <c r="H571" s="3">
        <v>5</v>
      </c>
      <c r="I571" s="3">
        <v>1</v>
      </c>
      <c r="J571" s="3">
        <v>3</v>
      </c>
      <c r="K571" s="3">
        <v>2</v>
      </c>
      <c r="L571" s="3">
        <v>7</v>
      </c>
      <c r="M571" s="3">
        <v>3</v>
      </c>
      <c r="N571" s="3">
        <v>1</v>
      </c>
      <c r="O571" s="3">
        <v>2</v>
      </c>
      <c r="P571" s="3">
        <v>2</v>
      </c>
      <c r="Q571" s="3">
        <v>5</v>
      </c>
      <c r="R571" s="3">
        <v>0</v>
      </c>
      <c r="T571">
        <f>SUM(Table1[[#This Row],[DTP Received]:[LPO/ LOA/ SOA Issue Date]])</f>
        <v>39</v>
      </c>
    </row>
    <row r="572" spans="2:20" x14ac:dyDescent="0.25">
      <c r="B572" t="s">
        <v>1090</v>
      </c>
      <c r="C572" t="s">
        <v>1091</v>
      </c>
      <c r="D572" s="3">
        <v>2</v>
      </c>
      <c r="E572" s="3">
        <v>1</v>
      </c>
      <c r="F572" s="3">
        <v>0</v>
      </c>
      <c r="G572" s="3">
        <v>5</v>
      </c>
      <c r="H572" s="3">
        <v>5</v>
      </c>
      <c r="I572" s="3">
        <v>1</v>
      </c>
      <c r="J572" s="3">
        <v>3</v>
      </c>
      <c r="K572" s="3">
        <v>2</v>
      </c>
      <c r="L572" s="3">
        <v>7</v>
      </c>
      <c r="M572" s="3">
        <v>3</v>
      </c>
      <c r="N572" s="3">
        <v>1</v>
      </c>
      <c r="O572" s="3">
        <v>2</v>
      </c>
      <c r="P572" s="3">
        <v>2</v>
      </c>
      <c r="Q572" s="3">
        <v>5</v>
      </c>
      <c r="R572" s="3">
        <v>0</v>
      </c>
      <c r="T572">
        <f>SUM(Table1[[#This Row],[DTP Received]:[LPO/ LOA/ SOA Issue Date]])</f>
        <v>39</v>
      </c>
    </row>
    <row r="573" spans="2:20" x14ac:dyDescent="0.25">
      <c r="B573" t="s">
        <v>1092</v>
      </c>
      <c r="C573" t="s">
        <v>1093</v>
      </c>
      <c r="D573" s="3">
        <v>2</v>
      </c>
      <c r="E573" s="3">
        <v>1</v>
      </c>
      <c r="F573" s="3">
        <v>0</v>
      </c>
      <c r="G573" s="3">
        <v>5</v>
      </c>
      <c r="H573" s="3">
        <v>5</v>
      </c>
      <c r="I573" s="3">
        <v>1</v>
      </c>
      <c r="J573" s="3">
        <v>3</v>
      </c>
      <c r="K573" s="3">
        <v>2</v>
      </c>
      <c r="L573" s="3">
        <v>7</v>
      </c>
      <c r="M573" s="3">
        <v>3</v>
      </c>
      <c r="N573" s="3">
        <v>1</v>
      </c>
      <c r="O573" s="3">
        <v>2</v>
      </c>
      <c r="P573" s="3">
        <v>2</v>
      </c>
      <c r="Q573" s="3">
        <v>5</v>
      </c>
      <c r="R573" s="3">
        <v>0</v>
      </c>
      <c r="T573">
        <f>SUM(Table1[[#This Row],[DTP Received]:[LPO/ LOA/ SOA Issue Date]])</f>
        <v>39</v>
      </c>
    </row>
    <row r="574" spans="2:20" x14ac:dyDescent="0.25">
      <c r="B574" t="s">
        <v>1094</v>
      </c>
      <c r="C574" t="s">
        <v>1095</v>
      </c>
      <c r="D574" s="3">
        <v>2</v>
      </c>
      <c r="E574" s="3">
        <v>1</v>
      </c>
      <c r="F574" s="3">
        <v>0</v>
      </c>
      <c r="G574" s="3">
        <v>5</v>
      </c>
      <c r="H574" s="3">
        <v>5</v>
      </c>
      <c r="I574" s="3">
        <v>1</v>
      </c>
      <c r="J574" s="3">
        <v>3</v>
      </c>
      <c r="K574" s="3">
        <v>2</v>
      </c>
      <c r="L574" s="3">
        <v>7</v>
      </c>
      <c r="M574" s="3">
        <v>3</v>
      </c>
      <c r="N574" s="3">
        <v>1</v>
      </c>
      <c r="O574" s="3">
        <v>2</v>
      </c>
      <c r="P574" s="3">
        <v>2</v>
      </c>
      <c r="Q574" s="3">
        <v>5</v>
      </c>
      <c r="R574" s="3">
        <v>0</v>
      </c>
      <c r="T574">
        <f>SUM(Table1[[#This Row],[DTP Received]:[LPO/ LOA/ SOA Issue Date]])</f>
        <v>39</v>
      </c>
    </row>
    <row r="575" spans="2:20" x14ac:dyDescent="0.25">
      <c r="B575" t="s">
        <v>1096</v>
      </c>
      <c r="C575" t="s">
        <v>1097</v>
      </c>
      <c r="D575" s="3">
        <v>2</v>
      </c>
      <c r="E575" s="3">
        <v>1</v>
      </c>
      <c r="F575" s="3">
        <v>0</v>
      </c>
      <c r="G575" s="3">
        <v>5</v>
      </c>
      <c r="H575" s="3">
        <v>5</v>
      </c>
      <c r="I575" s="3">
        <v>1</v>
      </c>
      <c r="J575" s="3">
        <v>3</v>
      </c>
      <c r="K575" s="3">
        <v>2</v>
      </c>
      <c r="L575" s="3">
        <v>7</v>
      </c>
      <c r="M575" s="3">
        <v>3</v>
      </c>
      <c r="N575" s="3">
        <v>1</v>
      </c>
      <c r="O575" s="3">
        <v>2</v>
      </c>
      <c r="P575" s="3">
        <v>2</v>
      </c>
      <c r="Q575" s="3">
        <v>5</v>
      </c>
      <c r="R575" s="3">
        <v>0</v>
      </c>
      <c r="T575">
        <f>SUM(Table1[[#This Row],[DTP Received]:[LPO/ LOA/ SOA Issue Date]])</f>
        <v>39</v>
      </c>
    </row>
    <row r="576" spans="2:20" x14ac:dyDescent="0.25">
      <c r="B576" t="s">
        <v>1098</v>
      </c>
      <c r="C576" t="s">
        <v>1099</v>
      </c>
      <c r="D576" s="3">
        <v>2</v>
      </c>
      <c r="E576" s="3">
        <v>1</v>
      </c>
      <c r="F576" s="3">
        <v>0</v>
      </c>
      <c r="G576" s="3">
        <v>5</v>
      </c>
      <c r="H576" s="3">
        <v>5</v>
      </c>
      <c r="I576" s="3">
        <v>1</v>
      </c>
      <c r="J576" s="3">
        <v>3</v>
      </c>
      <c r="K576" s="3">
        <v>2</v>
      </c>
      <c r="L576" s="3">
        <v>7</v>
      </c>
      <c r="M576" s="3">
        <v>3</v>
      </c>
      <c r="N576" s="3">
        <v>1</v>
      </c>
      <c r="O576" s="3">
        <v>2</v>
      </c>
      <c r="P576" s="3">
        <v>2</v>
      </c>
      <c r="Q576" s="3">
        <v>5</v>
      </c>
      <c r="R576" s="3">
        <v>0</v>
      </c>
      <c r="T576">
        <f>SUM(Table1[[#This Row],[DTP Received]:[LPO/ LOA/ SOA Issue Date]])</f>
        <v>39</v>
      </c>
    </row>
    <row r="577" spans="2:20" x14ac:dyDescent="0.25">
      <c r="B577" t="s">
        <v>1100</v>
      </c>
      <c r="C577" t="s">
        <v>1101</v>
      </c>
      <c r="D577" s="3">
        <v>2</v>
      </c>
      <c r="E577" s="3">
        <v>1</v>
      </c>
      <c r="F577" s="3">
        <v>0</v>
      </c>
      <c r="G577" s="3">
        <v>5</v>
      </c>
      <c r="H577" s="3">
        <v>5</v>
      </c>
      <c r="I577" s="3">
        <v>1</v>
      </c>
      <c r="J577" s="3">
        <v>3</v>
      </c>
      <c r="K577" s="3">
        <v>2</v>
      </c>
      <c r="L577" s="3">
        <v>7</v>
      </c>
      <c r="M577" s="3">
        <v>3</v>
      </c>
      <c r="N577" s="3">
        <v>1</v>
      </c>
      <c r="O577" s="3">
        <v>2</v>
      </c>
      <c r="P577" s="3">
        <v>2</v>
      </c>
      <c r="Q577" s="3">
        <v>5</v>
      </c>
      <c r="R577" s="3">
        <v>0</v>
      </c>
      <c r="T577">
        <f>SUM(Table1[[#This Row],[DTP Received]:[LPO/ LOA/ SOA Issue Date]])</f>
        <v>39</v>
      </c>
    </row>
    <row r="578" spans="2:20" x14ac:dyDescent="0.25">
      <c r="B578" t="s">
        <v>1102</v>
      </c>
      <c r="C578" t="s">
        <v>371</v>
      </c>
      <c r="D578" s="3">
        <v>2</v>
      </c>
      <c r="E578" s="3">
        <v>1</v>
      </c>
      <c r="F578" s="3">
        <v>0</v>
      </c>
      <c r="G578" s="3">
        <v>5</v>
      </c>
      <c r="H578" s="3">
        <v>5</v>
      </c>
      <c r="I578" s="3">
        <v>1</v>
      </c>
      <c r="J578" s="3">
        <v>3</v>
      </c>
      <c r="K578" s="3">
        <v>2</v>
      </c>
      <c r="L578" s="3">
        <v>7</v>
      </c>
      <c r="M578" s="3">
        <v>3</v>
      </c>
      <c r="N578" s="3">
        <v>1</v>
      </c>
      <c r="O578" s="3">
        <v>2</v>
      </c>
      <c r="P578" s="3">
        <v>2</v>
      </c>
      <c r="Q578" s="3">
        <v>5</v>
      </c>
      <c r="R578" s="3">
        <v>0</v>
      </c>
      <c r="T578">
        <f>SUM(Table1[[#This Row],[DTP Received]:[LPO/ LOA/ SOA Issue Date]])</f>
        <v>39</v>
      </c>
    </row>
    <row r="579" spans="2:20" x14ac:dyDescent="0.25">
      <c r="B579" t="s">
        <v>1103</v>
      </c>
      <c r="C579" t="s">
        <v>371</v>
      </c>
      <c r="D579" s="3">
        <v>2</v>
      </c>
      <c r="E579" s="3">
        <v>1</v>
      </c>
      <c r="F579" s="3">
        <v>0</v>
      </c>
      <c r="G579" s="3">
        <v>5</v>
      </c>
      <c r="H579" s="3">
        <v>5</v>
      </c>
      <c r="I579" s="3">
        <v>1</v>
      </c>
      <c r="J579" s="3">
        <v>3</v>
      </c>
      <c r="K579" s="3">
        <v>2</v>
      </c>
      <c r="L579" s="3">
        <v>7</v>
      </c>
      <c r="M579" s="3">
        <v>3</v>
      </c>
      <c r="N579" s="3">
        <v>1</v>
      </c>
      <c r="O579" s="3">
        <v>2</v>
      </c>
      <c r="P579" s="3">
        <v>2</v>
      </c>
      <c r="Q579" s="3">
        <v>5</v>
      </c>
      <c r="R579" s="3">
        <v>0</v>
      </c>
      <c r="T579">
        <f>SUM(Table1[[#This Row],[DTP Received]:[LPO/ LOA/ SOA Issue Date]])</f>
        <v>39</v>
      </c>
    </row>
    <row r="580" spans="2:20" x14ac:dyDescent="0.25">
      <c r="B580" t="s">
        <v>1104</v>
      </c>
      <c r="C580" t="s">
        <v>371</v>
      </c>
      <c r="D580" s="3">
        <v>2</v>
      </c>
      <c r="E580" s="3">
        <v>1</v>
      </c>
      <c r="F580" s="3">
        <v>0</v>
      </c>
      <c r="G580" s="3">
        <v>5</v>
      </c>
      <c r="H580" s="3">
        <v>5</v>
      </c>
      <c r="I580" s="3">
        <v>1</v>
      </c>
      <c r="J580" s="3">
        <v>3</v>
      </c>
      <c r="K580" s="3">
        <v>2</v>
      </c>
      <c r="L580" s="3">
        <v>7</v>
      </c>
      <c r="M580" s="3">
        <v>3</v>
      </c>
      <c r="N580" s="3">
        <v>1</v>
      </c>
      <c r="O580" s="3">
        <v>2</v>
      </c>
      <c r="P580" s="3">
        <v>2</v>
      </c>
      <c r="Q580" s="3">
        <v>5</v>
      </c>
      <c r="R580" s="3">
        <v>0</v>
      </c>
      <c r="T580">
        <f>SUM(Table1[[#This Row],[DTP Received]:[LPO/ LOA/ SOA Issue Date]])</f>
        <v>39</v>
      </c>
    </row>
    <row r="581" spans="2:20" x14ac:dyDescent="0.25">
      <c r="B581" t="s">
        <v>1105</v>
      </c>
      <c r="C581" t="s">
        <v>1106</v>
      </c>
      <c r="D581" s="3">
        <v>2</v>
      </c>
      <c r="E581" s="3">
        <v>1</v>
      </c>
      <c r="F581" s="3">
        <v>0</v>
      </c>
      <c r="G581" s="3">
        <v>5</v>
      </c>
      <c r="H581" s="3">
        <v>5</v>
      </c>
      <c r="I581" s="3">
        <v>1</v>
      </c>
      <c r="J581" s="3">
        <v>3</v>
      </c>
      <c r="K581" s="3">
        <v>2</v>
      </c>
      <c r="L581" s="3">
        <v>7</v>
      </c>
      <c r="M581" s="3">
        <v>3</v>
      </c>
      <c r="N581" s="3">
        <v>1</v>
      </c>
      <c r="O581" s="3">
        <v>2</v>
      </c>
      <c r="P581" s="3">
        <v>2</v>
      </c>
      <c r="Q581" s="3">
        <v>5</v>
      </c>
      <c r="R581" s="3">
        <v>0</v>
      </c>
      <c r="T581">
        <f>SUM(Table1[[#This Row],[DTP Received]:[LPO/ LOA/ SOA Issue Date]])</f>
        <v>39</v>
      </c>
    </row>
    <row r="582" spans="2:20" x14ac:dyDescent="0.25">
      <c r="B582" t="s">
        <v>1107</v>
      </c>
      <c r="C582" t="s">
        <v>1108</v>
      </c>
      <c r="D582" s="3">
        <v>2</v>
      </c>
      <c r="E582" s="3">
        <v>1</v>
      </c>
      <c r="F582" s="3">
        <v>0</v>
      </c>
      <c r="G582" s="3">
        <v>5</v>
      </c>
      <c r="H582" s="3">
        <v>5</v>
      </c>
      <c r="I582" s="3">
        <v>1</v>
      </c>
      <c r="J582" s="3">
        <v>3</v>
      </c>
      <c r="K582" s="3">
        <v>2</v>
      </c>
      <c r="L582" s="3">
        <v>7</v>
      </c>
      <c r="M582" s="3">
        <v>3</v>
      </c>
      <c r="N582" s="3">
        <v>1</v>
      </c>
      <c r="O582" s="3">
        <v>2</v>
      </c>
      <c r="P582" s="3">
        <v>2</v>
      </c>
      <c r="Q582" s="3">
        <v>5</v>
      </c>
      <c r="R582" s="3">
        <v>0</v>
      </c>
      <c r="T582">
        <f>SUM(Table1[[#This Row],[DTP Received]:[LPO/ LOA/ SOA Issue Date]])</f>
        <v>39</v>
      </c>
    </row>
    <row r="583" spans="2:20" x14ac:dyDescent="0.25">
      <c r="B583" t="s">
        <v>1109</v>
      </c>
      <c r="C583" t="s">
        <v>371</v>
      </c>
      <c r="D583" s="3">
        <v>2</v>
      </c>
      <c r="E583" s="3">
        <v>1</v>
      </c>
      <c r="F583" s="3">
        <v>0</v>
      </c>
      <c r="G583" s="3">
        <v>5</v>
      </c>
      <c r="H583" s="3">
        <v>5</v>
      </c>
      <c r="I583" s="3">
        <v>1</v>
      </c>
      <c r="J583" s="3">
        <v>3</v>
      </c>
      <c r="K583" s="3">
        <v>2</v>
      </c>
      <c r="L583" s="3">
        <v>7</v>
      </c>
      <c r="M583" s="3">
        <v>3</v>
      </c>
      <c r="N583" s="3">
        <v>1</v>
      </c>
      <c r="O583" s="3">
        <v>2</v>
      </c>
      <c r="P583" s="3">
        <v>2</v>
      </c>
      <c r="Q583" s="3">
        <v>5</v>
      </c>
      <c r="R583" s="3">
        <v>0</v>
      </c>
      <c r="T583">
        <f>SUM(Table1[[#This Row],[DTP Received]:[LPO/ LOA/ SOA Issue Date]])</f>
        <v>39</v>
      </c>
    </row>
    <row r="584" spans="2:20" x14ac:dyDescent="0.25">
      <c r="B584" t="s">
        <v>1110</v>
      </c>
      <c r="C584" t="s">
        <v>371</v>
      </c>
      <c r="D584" s="3">
        <v>2</v>
      </c>
      <c r="E584" s="3">
        <v>1</v>
      </c>
      <c r="F584" s="3">
        <v>0</v>
      </c>
      <c r="G584" s="3">
        <v>5</v>
      </c>
      <c r="H584" s="3">
        <v>5</v>
      </c>
      <c r="I584" s="3">
        <v>1</v>
      </c>
      <c r="J584" s="3">
        <v>3</v>
      </c>
      <c r="K584" s="3">
        <v>2</v>
      </c>
      <c r="L584" s="3">
        <v>7</v>
      </c>
      <c r="M584" s="3">
        <v>3</v>
      </c>
      <c r="N584" s="3">
        <v>1</v>
      </c>
      <c r="O584" s="3">
        <v>2</v>
      </c>
      <c r="P584" s="3">
        <v>2</v>
      </c>
      <c r="Q584" s="3">
        <v>5</v>
      </c>
      <c r="R584" s="3">
        <v>0</v>
      </c>
      <c r="T584">
        <f>SUM(Table1[[#This Row],[DTP Received]:[LPO/ LOA/ SOA Issue Date]])</f>
        <v>39</v>
      </c>
    </row>
    <row r="585" spans="2:20" x14ac:dyDescent="0.25">
      <c r="B585" t="s">
        <v>1111</v>
      </c>
      <c r="C585" t="s">
        <v>371</v>
      </c>
      <c r="D585" s="3">
        <v>2</v>
      </c>
      <c r="E585" s="3">
        <v>1</v>
      </c>
      <c r="F585" s="3">
        <v>0</v>
      </c>
      <c r="G585" s="3">
        <v>5</v>
      </c>
      <c r="H585" s="3">
        <v>5</v>
      </c>
      <c r="I585" s="3">
        <v>1</v>
      </c>
      <c r="J585" s="3">
        <v>3</v>
      </c>
      <c r="K585" s="3">
        <v>2</v>
      </c>
      <c r="L585" s="3">
        <v>7</v>
      </c>
      <c r="M585" s="3">
        <v>3</v>
      </c>
      <c r="N585" s="3">
        <v>1</v>
      </c>
      <c r="O585" s="3">
        <v>2</v>
      </c>
      <c r="P585" s="3">
        <v>2</v>
      </c>
      <c r="Q585" s="3">
        <v>5</v>
      </c>
      <c r="R585" s="3">
        <v>0</v>
      </c>
      <c r="T585">
        <f>SUM(Table1[[#This Row],[DTP Received]:[LPO/ LOA/ SOA Issue Date]])</f>
        <v>39</v>
      </c>
    </row>
    <row r="586" spans="2:20" x14ac:dyDescent="0.25">
      <c r="B586" t="s">
        <v>1112</v>
      </c>
      <c r="C586" t="s">
        <v>371</v>
      </c>
      <c r="D586" s="3">
        <v>2</v>
      </c>
      <c r="E586" s="3">
        <v>1</v>
      </c>
      <c r="F586" s="3">
        <v>0</v>
      </c>
      <c r="G586" s="3">
        <v>5</v>
      </c>
      <c r="H586" s="3">
        <v>5</v>
      </c>
      <c r="I586" s="3">
        <v>1</v>
      </c>
      <c r="J586" s="3">
        <v>3</v>
      </c>
      <c r="K586" s="3">
        <v>2</v>
      </c>
      <c r="L586" s="3">
        <v>7</v>
      </c>
      <c r="M586" s="3">
        <v>3</v>
      </c>
      <c r="N586" s="3">
        <v>1</v>
      </c>
      <c r="O586" s="3">
        <v>2</v>
      </c>
      <c r="P586" s="3">
        <v>2</v>
      </c>
      <c r="Q586" s="3">
        <v>5</v>
      </c>
      <c r="R586" s="3">
        <v>0</v>
      </c>
      <c r="T586">
        <f>SUM(Table1[[#This Row],[DTP Received]:[LPO/ LOA/ SOA Issue Date]])</f>
        <v>39</v>
      </c>
    </row>
    <row r="587" spans="2:20" x14ac:dyDescent="0.25">
      <c r="B587" t="s">
        <v>1113</v>
      </c>
      <c r="C587" t="s">
        <v>371</v>
      </c>
      <c r="D587" s="3">
        <v>2</v>
      </c>
      <c r="E587" s="3">
        <v>1</v>
      </c>
      <c r="F587" s="3">
        <v>0</v>
      </c>
      <c r="G587" s="3">
        <v>5</v>
      </c>
      <c r="H587" s="3">
        <v>5</v>
      </c>
      <c r="I587" s="3">
        <v>1</v>
      </c>
      <c r="J587" s="3">
        <v>7</v>
      </c>
      <c r="K587" s="3">
        <v>2</v>
      </c>
      <c r="L587" s="3">
        <v>7</v>
      </c>
      <c r="M587" s="3">
        <v>7</v>
      </c>
      <c r="N587" s="3">
        <v>1</v>
      </c>
      <c r="O587" s="3">
        <v>2</v>
      </c>
      <c r="P587" s="3">
        <v>2</v>
      </c>
      <c r="Q587" s="3">
        <v>5</v>
      </c>
      <c r="R587" s="3">
        <v>0</v>
      </c>
      <c r="T587">
        <f>SUM(Table1[[#This Row],[DTP Received]:[LPO/ LOA/ SOA Issue Date]])</f>
        <v>47</v>
      </c>
    </row>
    <row r="588" spans="2:20" x14ac:dyDescent="0.25">
      <c r="B588" t="s">
        <v>1114</v>
      </c>
      <c r="C588" t="s">
        <v>1115</v>
      </c>
      <c r="D588" s="3">
        <v>2</v>
      </c>
      <c r="E588" s="3">
        <v>1</v>
      </c>
      <c r="F588" s="3">
        <v>0</v>
      </c>
      <c r="G588" s="3">
        <v>5</v>
      </c>
      <c r="H588" s="3">
        <v>5</v>
      </c>
      <c r="I588" s="3">
        <v>1</v>
      </c>
      <c r="J588" s="3">
        <v>3</v>
      </c>
      <c r="K588" s="3">
        <v>2</v>
      </c>
      <c r="L588" s="3">
        <v>7</v>
      </c>
      <c r="M588" s="3">
        <v>3</v>
      </c>
      <c r="N588" s="3">
        <v>1</v>
      </c>
      <c r="O588" s="3">
        <v>2</v>
      </c>
      <c r="P588" s="3">
        <v>2</v>
      </c>
      <c r="Q588" s="3">
        <v>5</v>
      </c>
      <c r="R588" s="3">
        <v>0</v>
      </c>
      <c r="T588">
        <f>SUM(Table1[[#This Row],[DTP Received]:[LPO/ LOA/ SOA Issue Date]])</f>
        <v>39</v>
      </c>
    </row>
    <row r="589" spans="2:20" x14ac:dyDescent="0.25">
      <c r="B589" t="s">
        <v>1116</v>
      </c>
      <c r="C589" t="s">
        <v>1117</v>
      </c>
      <c r="D589" s="3">
        <v>2</v>
      </c>
      <c r="E589" s="3">
        <v>1</v>
      </c>
      <c r="F589" s="3">
        <v>0</v>
      </c>
      <c r="G589" s="3">
        <v>5</v>
      </c>
      <c r="H589" s="3">
        <v>5</v>
      </c>
      <c r="I589" s="3">
        <v>1</v>
      </c>
      <c r="J589" s="3">
        <v>3</v>
      </c>
      <c r="K589" s="3">
        <v>2</v>
      </c>
      <c r="L589" s="3">
        <v>7</v>
      </c>
      <c r="M589" s="3">
        <v>3</v>
      </c>
      <c r="N589" s="3">
        <v>1</v>
      </c>
      <c r="O589" s="3">
        <v>2</v>
      </c>
      <c r="P589" s="3">
        <v>2</v>
      </c>
      <c r="Q589" s="3">
        <v>5</v>
      </c>
      <c r="R589" s="3">
        <v>0</v>
      </c>
      <c r="T589">
        <f>SUM(Table1[[#This Row],[DTP Received]:[LPO/ LOA/ SOA Issue Date]])</f>
        <v>39</v>
      </c>
    </row>
    <row r="590" spans="2:20" x14ac:dyDescent="0.25">
      <c r="B590" t="s">
        <v>1118</v>
      </c>
      <c r="C590" t="s">
        <v>1119</v>
      </c>
      <c r="D590" s="3">
        <v>2</v>
      </c>
      <c r="E590" s="3">
        <v>1</v>
      </c>
      <c r="F590" s="3">
        <v>0</v>
      </c>
      <c r="G590" s="3">
        <v>5</v>
      </c>
      <c r="H590" s="3">
        <v>5</v>
      </c>
      <c r="I590" s="3">
        <v>1</v>
      </c>
      <c r="J590" s="3">
        <v>3</v>
      </c>
      <c r="K590" s="3">
        <v>2</v>
      </c>
      <c r="L590" s="3">
        <v>7</v>
      </c>
      <c r="M590" s="3">
        <v>3</v>
      </c>
      <c r="N590" s="3">
        <v>1</v>
      </c>
      <c r="O590" s="3">
        <v>2</v>
      </c>
      <c r="P590" s="3">
        <v>2</v>
      </c>
      <c r="Q590" s="3">
        <v>5</v>
      </c>
      <c r="R590" s="3">
        <v>0</v>
      </c>
      <c r="T590">
        <f>SUM(Table1[[#This Row],[DTP Received]:[LPO/ LOA/ SOA Issue Date]])</f>
        <v>39</v>
      </c>
    </row>
    <row r="591" spans="2:20" x14ac:dyDescent="0.25">
      <c r="B591" t="s">
        <v>1120</v>
      </c>
      <c r="C591" t="s">
        <v>371</v>
      </c>
      <c r="D591" s="3">
        <v>2</v>
      </c>
      <c r="E591" s="3">
        <v>1</v>
      </c>
      <c r="F591" s="3">
        <v>0</v>
      </c>
      <c r="G591" s="3">
        <v>5</v>
      </c>
      <c r="H591" s="3">
        <v>5</v>
      </c>
      <c r="I591" s="3">
        <v>1</v>
      </c>
      <c r="J591" s="3">
        <v>3</v>
      </c>
      <c r="K591" s="3">
        <v>2</v>
      </c>
      <c r="L591" s="3">
        <v>7</v>
      </c>
      <c r="M591" s="3">
        <v>3</v>
      </c>
      <c r="N591" s="3">
        <v>1</v>
      </c>
      <c r="O591" s="3">
        <v>2</v>
      </c>
      <c r="P591" s="3">
        <v>2</v>
      </c>
      <c r="Q591" s="3">
        <v>5</v>
      </c>
      <c r="R591" s="3">
        <v>0</v>
      </c>
      <c r="T591">
        <f>SUM(Table1[[#This Row],[DTP Received]:[LPO/ LOA/ SOA Issue Date]])</f>
        <v>39</v>
      </c>
    </row>
    <row r="592" spans="2:20" x14ac:dyDescent="0.25">
      <c r="B592" t="s">
        <v>1121</v>
      </c>
      <c r="C592" t="s">
        <v>371</v>
      </c>
      <c r="D592" s="3">
        <v>2</v>
      </c>
      <c r="E592" s="3">
        <v>1</v>
      </c>
      <c r="F592" s="3">
        <v>0</v>
      </c>
      <c r="G592" s="3">
        <v>5</v>
      </c>
      <c r="H592" s="3">
        <v>5</v>
      </c>
      <c r="I592" s="3">
        <v>1</v>
      </c>
      <c r="J592" s="3">
        <v>3</v>
      </c>
      <c r="K592" s="3">
        <v>2</v>
      </c>
      <c r="L592" s="3">
        <v>7</v>
      </c>
      <c r="M592" s="3">
        <v>3</v>
      </c>
      <c r="N592" s="3">
        <v>1</v>
      </c>
      <c r="O592" s="3">
        <v>2</v>
      </c>
      <c r="P592" s="3">
        <v>2</v>
      </c>
      <c r="Q592" s="3">
        <v>5</v>
      </c>
      <c r="R592" s="3">
        <v>0</v>
      </c>
      <c r="T592">
        <f>SUM(Table1[[#This Row],[DTP Received]:[LPO/ LOA/ SOA Issue Date]])</f>
        <v>39</v>
      </c>
    </row>
    <row r="593" spans="2:20" x14ac:dyDescent="0.25">
      <c r="B593" t="s">
        <v>1122</v>
      </c>
      <c r="C593" t="s">
        <v>371</v>
      </c>
      <c r="D593" s="3">
        <v>2</v>
      </c>
      <c r="E593" s="3">
        <v>1</v>
      </c>
      <c r="F593" s="3">
        <v>0</v>
      </c>
      <c r="G593" s="3">
        <v>5</v>
      </c>
      <c r="H593" s="3">
        <v>5</v>
      </c>
      <c r="I593" s="3">
        <v>1</v>
      </c>
      <c r="J593" s="3">
        <v>3</v>
      </c>
      <c r="K593" s="3">
        <v>2</v>
      </c>
      <c r="L593" s="3">
        <v>7</v>
      </c>
      <c r="M593" s="3">
        <v>3</v>
      </c>
      <c r="N593" s="3">
        <v>1</v>
      </c>
      <c r="O593" s="3">
        <v>2</v>
      </c>
      <c r="P593" s="3">
        <v>2</v>
      </c>
      <c r="Q593" s="3">
        <v>5</v>
      </c>
      <c r="R593" s="3">
        <v>0</v>
      </c>
      <c r="T593">
        <f>SUM(Table1[[#This Row],[DTP Received]:[LPO/ LOA/ SOA Issue Date]])</f>
        <v>39</v>
      </c>
    </row>
    <row r="594" spans="2:20" x14ac:dyDescent="0.25">
      <c r="B594" t="s">
        <v>1123</v>
      </c>
      <c r="C594" t="s">
        <v>371</v>
      </c>
      <c r="D594" s="3">
        <v>2</v>
      </c>
      <c r="E594" s="3">
        <v>1</v>
      </c>
      <c r="F594" s="3">
        <v>0</v>
      </c>
      <c r="G594" s="3">
        <v>5</v>
      </c>
      <c r="H594" s="3">
        <v>5</v>
      </c>
      <c r="I594" s="3">
        <v>1</v>
      </c>
      <c r="J594" s="3">
        <v>3</v>
      </c>
      <c r="K594" s="3">
        <v>2</v>
      </c>
      <c r="L594" s="3">
        <v>7</v>
      </c>
      <c r="M594" s="3">
        <v>3</v>
      </c>
      <c r="N594" s="3">
        <v>1</v>
      </c>
      <c r="O594" s="3">
        <v>2</v>
      </c>
      <c r="P594" s="3">
        <v>2</v>
      </c>
      <c r="Q594" s="3">
        <v>5</v>
      </c>
      <c r="R594" s="3">
        <v>0</v>
      </c>
      <c r="T594">
        <f>SUM(Table1[[#This Row],[DTP Received]:[LPO/ LOA/ SOA Issue Date]])</f>
        <v>39</v>
      </c>
    </row>
    <row r="595" spans="2:20" x14ac:dyDescent="0.25">
      <c r="B595" t="s">
        <v>1124</v>
      </c>
      <c r="C595" t="s">
        <v>371</v>
      </c>
      <c r="D595" s="3">
        <v>2</v>
      </c>
      <c r="E595" s="3">
        <v>1</v>
      </c>
      <c r="F595" s="3">
        <v>0</v>
      </c>
      <c r="G595" s="3">
        <v>5</v>
      </c>
      <c r="H595" s="3">
        <v>5</v>
      </c>
      <c r="I595" s="3">
        <v>1</v>
      </c>
      <c r="J595" s="3">
        <v>3</v>
      </c>
      <c r="K595" s="3">
        <v>2</v>
      </c>
      <c r="L595" s="3">
        <v>7</v>
      </c>
      <c r="M595" s="3">
        <v>3</v>
      </c>
      <c r="N595" s="3">
        <v>1</v>
      </c>
      <c r="O595" s="3">
        <v>2</v>
      </c>
      <c r="P595" s="3">
        <v>2</v>
      </c>
      <c r="Q595" s="3">
        <v>5</v>
      </c>
      <c r="R595" s="3">
        <v>0</v>
      </c>
      <c r="T595">
        <f>SUM(Table1[[#This Row],[DTP Received]:[LPO/ LOA/ SOA Issue Date]])</f>
        <v>39</v>
      </c>
    </row>
    <row r="596" spans="2:20" x14ac:dyDescent="0.25">
      <c r="B596" t="s">
        <v>1125</v>
      </c>
      <c r="C596" t="s">
        <v>1126</v>
      </c>
      <c r="D596" s="3">
        <v>2</v>
      </c>
      <c r="E596" s="3">
        <v>1</v>
      </c>
      <c r="F596" s="3">
        <v>0</v>
      </c>
      <c r="G596" s="3">
        <v>5</v>
      </c>
      <c r="H596" s="3">
        <v>5</v>
      </c>
      <c r="I596" s="3">
        <v>1</v>
      </c>
      <c r="J596" s="3">
        <v>3</v>
      </c>
      <c r="K596" s="3">
        <v>2</v>
      </c>
      <c r="L596" s="3">
        <v>7</v>
      </c>
      <c r="M596" s="3">
        <v>3</v>
      </c>
      <c r="N596" s="3">
        <v>1</v>
      </c>
      <c r="O596" s="3">
        <v>2</v>
      </c>
      <c r="P596" s="3">
        <v>2</v>
      </c>
      <c r="Q596" s="3">
        <v>5</v>
      </c>
      <c r="R596" s="3">
        <v>0</v>
      </c>
      <c r="T596">
        <f>SUM(Table1[[#This Row],[DTP Received]:[LPO/ LOA/ SOA Issue Date]])</f>
        <v>39</v>
      </c>
    </row>
    <row r="597" spans="2:20" x14ac:dyDescent="0.25">
      <c r="B597" t="s">
        <v>1127</v>
      </c>
      <c r="C597" t="s">
        <v>1128</v>
      </c>
      <c r="D597" s="3">
        <v>2</v>
      </c>
      <c r="E597" s="3">
        <v>1</v>
      </c>
      <c r="F597" s="3">
        <v>0</v>
      </c>
      <c r="G597" s="3">
        <v>5</v>
      </c>
      <c r="H597" s="3">
        <v>5</v>
      </c>
      <c r="I597" s="3">
        <v>1</v>
      </c>
      <c r="J597" s="3">
        <v>3</v>
      </c>
      <c r="K597" s="3">
        <v>2</v>
      </c>
      <c r="L597" s="3">
        <v>7</v>
      </c>
      <c r="M597" s="3">
        <v>3</v>
      </c>
      <c r="N597" s="3">
        <v>1</v>
      </c>
      <c r="O597" s="3">
        <v>2</v>
      </c>
      <c r="P597" s="3">
        <v>2</v>
      </c>
      <c r="Q597" s="3">
        <v>5</v>
      </c>
      <c r="R597" s="3">
        <v>0</v>
      </c>
      <c r="T597">
        <f>SUM(Table1[[#This Row],[DTP Received]:[LPO/ LOA/ SOA Issue Date]])</f>
        <v>39</v>
      </c>
    </row>
    <row r="598" spans="2:20" x14ac:dyDescent="0.25">
      <c r="B598" t="s">
        <v>1129</v>
      </c>
      <c r="C598" t="s">
        <v>1130</v>
      </c>
      <c r="D598" s="3">
        <v>2</v>
      </c>
      <c r="E598" s="3">
        <v>1</v>
      </c>
      <c r="F598" s="3">
        <v>0</v>
      </c>
      <c r="G598" s="3">
        <v>5</v>
      </c>
      <c r="H598" s="3">
        <v>5</v>
      </c>
      <c r="I598" s="3">
        <v>1</v>
      </c>
      <c r="J598" s="3">
        <v>3</v>
      </c>
      <c r="K598" s="3">
        <v>2</v>
      </c>
      <c r="L598" s="3">
        <v>7</v>
      </c>
      <c r="M598" s="3">
        <v>3</v>
      </c>
      <c r="N598" s="3">
        <v>1</v>
      </c>
      <c r="O598" s="3">
        <v>2</v>
      </c>
      <c r="P598" s="3">
        <v>2</v>
      </c>
      <c r="Q598" s="3">
        <v>5</v>
      </c>
      <c r="R598" s="3">
        <v>0</v>
      </c>
      <c r="T598">
        <f>SUM(Table1[[#This Row],[DTP Received]:[LPO/ LOA/ SOA Issue Date]])</f>
        <v>39</v>
      </c>
    </row>
    <row r="599" spans="2:20" x14ac:dyDescent="0.25">
      <c r="B599" t="s">
        <v>1131</v>
      </c>
      <c r="C599" t="s">
        <v>1132</v>
      </c>
      <c r="D599" s="3">
        <v>2</v>
      </c>
      <c r="E599" s="3">
        <v>1</v>
      </c>
      <c r="F599" s="3">
        <v>0</v>
      </c>
      <c r="G599" s="3">
        <v>5</v>
      </c>
      <c r="H599" s="3">
        <v>5</v>
      </c>
      <c r="I599" s="3">
        <v>1</v>
      </c>
      <c r="J599" s="3">
        <v>3</v>
      </c>
      <c r="K599" s="3">
        <v>2</v>
      </c>
      <c r="L599" s="3">
        <v>7</v>
      </c>
      <c r="M599" s="3">
        <v>3</v>
      </c>
      <c r="N599" s="3">
        <v>1</v>
      </c>
      <c r="O599" s="3">
        <v>2</v>
      </c>
      <c r="P599" s="3">
        <v>2</v>
      </c>
      <c r="Q599" s="3">
        <v>5</v>
      </c>
      <c r="R599" s="3">
        <v>0</v>
      </c>
      <c r="T599">
        <f>SUM(Table1[[#This Row],[DTP Received]:[LPO/ LOA/ SOA Issue Date]])</f>
        <v>39</v>
      </c>
    </row>
    <row r="600" spans="2:20" x14ac:dyDescent="0.25">
      <c r="B600" t="s">
        <v>1133</v>
      </c>
      <c r="C600" t="s">
        <v>1134</v>
      </c>
      <c r="D600" s="3">
        <v>2</v>
      </c>
      <c r="E600" s="3">
        <v>1</v>
      </c>
      <c r="F600" s="3">
        <v>0</v>
      </c>
      <c r="G600" s="3">
        <v>14</v>
      </c>
      <c r="H600" s="3">
        <v>10</v>
      </c>
      <c r="I600" s="3">
        <v>1</v>
      </c>
      <c r="J600" s="3">
        <v>3</v>
      </c>
      <c r="K600" s="3">
        <v>2</v>
      </c>
      <c r="L600" s="3">
        <v>7</v>
      </c>
      <c r="M600" s="3">
        <v>5</v>
      </c>
      <c r="N600" s="3">
        <v>1</v>
      </c>
      <c r="O600" s="3">
        <v>2</v>
      </c>
      <c r="P600" s="3">
        <v>2</v>
      </c>
      <c r="Q600" s="3">
        <v>5</v>
      </c>
      <c r="R600" s="3">
        <v>0</v>
      </c>
      <c r="T600">
        <f>SUM(Table1[[#This Row],[DTP Received]:[LPO/ LOA/ SOA Issue Date]])</f>
        <v>55</v>
      </c>
    </row>
    <row r="601" spans="2:20" x14ac:dyDescent="0.25">
      <c r="B601" t="s">
        <v>1135</v>
      </c>
      <c r="C601" t="s">
        <v>1136</v>
      </c>
      <c r="D601" s="3">
        <v>2</v>
      </c>
      <c r="E601" s="3">
        <v>1</v>
      </c>
      <c r="F601" s="3">
        <v>0</v>
      </c>
      <c r="G601" s="3">
        <v>5</v>
      </c>
      <c r="H601" s="3">
        <v>5</v>
      </c>
      <c r="I601" s="3">
        <v>1</v>
      </c>
      <c r="J601" s="3">
        <v>3</v>
      </c>
      <c r="K601" s="3">
        <v>2</v>
      </c>
      <c r="L601" s="3">
        <v>7</v>
      </c>
      <c r="M601" s="3">
        <v>3</v>
      </c>
      <c r="N601" s="3">
        <v>1</v>
      </c>
      <c r="O601" s="3">
        <v>2</v>
      </c>
      <c r="P601" s="3">
        <v>2</v>
      </c>
      <c r="Q601" s="3">
        <v>5</v>
      </c>
      <c r="R601" s="3">
        <v>0</v>
      </c>
      <c r="T601">
        <f>SUM(Table1[[#This Row],[DTP Received]:[LPO/ LOA/ SOA Issue Date]])</f>
        <v>39</v>
      </c>
    </row>
    <row r="602" spans="2:20" x14ac:dyDescent="0.25">
      <c r="B602" t="s">
        <v>1137</v>
      </c>
      <c r="C602" t="s">
        <v>1138</v>
      </c>
      <c r="D602" s="3">
        <v>2</v>
      </c>
      <c r="E602" s="3">
        <v>1</v>
      </c>
      <c r="F602" s="3">
        <v>0</v>
      </c>
      <c r="G602" s="3">
        <v>5</v>
      </c>
      <c r="H602" s="3">
        <v>5</v>
      </c>
      <c r="I602" s="3">
        <v>1</v>
      </c>
      <c r="J602" s="3">
        <v>3</v>
      </c>
      <c r="K602" s="3">
        <v>2</v>
      </c>
      <c r="L602" s="3">
        <v>7</v>
      </c>
      <c r="M602" s="3">
        <v>3</v>
      </c>
      <c r="N602" s="3">
        <v>1</v>
      </c>
      <c r="O602" s="3">
        <v>2</v>
      </c>
      <c r="P602" s="3">
        <v>2</v>
      </c>
      <c r="Q602" s="3">
        <v>5</v>
      </c>
      <c r="R602" s="3">
        <v>0</v>
      </c>
      <c r="T602">
        <f>SUM(Table1[[#This Row],[DTP Received]:[LPO/ LOA/ SOA Issue Date]])</f>
        <v>39</v>
      </c>
    </row>
    <row r="603" spans="2:20" x14ac:dyDescent="0.25">
      <c r="B603" t="s">
        <v>1139</v>
      </c>
      <c r="C603" t="s">
        <v>1140</v>
      </c>
      <c r="D603" s="3">
        <v>2</v>
      </c>
      <c r="E603" s="3">
        <v>1</v>
      </c>
      <c r="F603" s="3">
        <v>0</v>
      </c>
      <c r="G603" s="3">
        <v>5</v>
      </c>
      <c r="H603" s="3">
        <v>5</v>
      </c>
      <c r="I603" s="3">
        <v>1</v>
      </c>
      <c r="J603" s="3">
        <v>3</v>
      </c>
      <c r="K603" s="3">
        <v>2</v>
      </c>
      <c r="L603" s="3">
        <v>7</v>
      </c>
      <c r="M603" s="3">
        <v>3</v>
      </c>
      <c r="N603" s="3">
        <v>1</v>
      </c>
      <c r="O603" s="3">
        <v>2</v>
      </c>
      <c r="P603" s="3">
        <v>2</v>
      </c>
      <c r="Q603" s="3">
        <v>5</v>
      </c>
      <c r="R603" s="3">
        <v>0</v>
      </c>
      <c r="T603">
        <f>SUM(Table1[[#This Row],[DTP Received]:[LPO/ LOA/ SOA Issue Date]])</f>
        <v>39</v>
      </c>
    </row>
    <row r="604" spans="2:20" x14ac:dyDescent="0.25">
      <c r="B604" t="s">
        <v>1141</v>
      </c>
      <c r="C604" t="s">
        <v>1142</v>
      </c>
      <c r="D604" s="3">
        <v>2</v>
      </c>
      <c r="E604" s="3">
        <v>1</v>
      </c>
      <c r="F604" s="3">
        <v>0</v>
      </c>
      <c r="G604" s="3">
        <v>5</v>
      </c>
      <c r="H604" s="3">
        <v>5</v>
      </c>
      <c r="I604" s="3">
        <v>1</v>
      </c>
      <c r="J604" s="3">
        <v>3</v>
      </c>
      <c r="K604" s="3">
        <v>2</v>
      </c>
      <c r="L604" s="3">
        <v>7</v>
      </c>
      <c r="M604" s="3">
        <v>3</v>
      </c>
      <c r="N604" s="3">
        <v>1</v>
      </c>
      <c r="O604" s="3">
        <v>2</v>
      </c>
      <c r="P604" s="3">
        <v>2</v>
      </c>
      <c r="Q604" s="3">
        <v>5</v>
      </c>
      <c r="R604" s="3">
        <v>0</v>
      </c>
      <c r="T604">
        <f>SUM(Table1[[#This Row],[DTP Received]:[LPO/ LOA/ SOA Issue Date]])</f>
        <v>39</v>
      </c>
    </row>
    <row r="605" spans="2:20" x14ac:dyDescent="0.25">
      <c r="B605" t="s">
        <v>1143</v>
      </c>
      <c r="C605" t="s">
        <v>1144</v>
      </c>
      <c r="D605" s="3">
        <v>2</v>
      </c>
      <c r="E605" s="3">
        <v>1</v>
      </c>
      <c r="F605" s="3">
        <v>0</v>
      </c>
      <c r="G605" s="3">
        <v>5</v>
      </c>
      <c r="H605" s="3">
        <v>5</v>
      </c>
      <c r="I605" s="3">
        <v>1</v>
      </c>
      <c r="J605" s="3">
        <v>3</v>
      </c>
      <c r="K605" s="3">
        <v>2</v>
      </c>
      <c r="L605" s="3">
        <v>7</v>
      </c>
      <c r="M605" s="3">
        <v>3</v>
      </c>
      <c r="N605" s="3">
        <v>1</v>
      </c>
      <c r="O605" s="3">
        <v>2</v>
      </c>
      <c r="P605" s="3">
        <v>2</v>
      </c>
      <c r="Q605" s="3">
        <v>5</v>
      </c>
      <c r="R605" s="3">
        <v>0</v>
      </c>
      <c r="T605">
        <f>SUM(Table1[[#This Row],[DTP Received]:[LPO/ LOA/ SOA Issue Date]])</f>
        <v>39</v>
      </c>
    </row>
    <row r="606" spans="2:20" x14ac:dyDescent="0.25">
      <c r="B606" t="s">
        <v>1145</v>
      </c>
      <c r="C606" t="s">
        <v>1146</v>
      </c>
      <c r="D606" s="3">
        <v>2</v>
      </c>
      <c r="E606" s="3">
        <v>1</v>
      </c>
      <c r="F606" s="3">
        <v>0</v>
      </c>
      <c r="G606" s="3">
        <v>5</v>
      </c>
      <c r="H606" s="3">
        <v>5</v>
      </c>
      <c r="I606" s="3">
        <v>1</v>
      </c>
      <c r="J606" s="3">
        <v>3</v>
      </c>
      <c r="K606" s="3">
        <v>2</v>
      </c>
      <c r="L606" s="3">
        <v>7</v>
      </c>
      <c r="M606" s="3">
        <v>3</v>
      </c>
      <c r="N606" s="3">
        <v>1</v>
      </c>
      <c r="O606" s="3">
        <v>2</v>
      </c>
      <c r="P606" s="3">
        <v>2</v>
      </c>
      <c r="Q606" s="3">
        <v>5</v>
      </c>
      <c r="R606" s="3">
        <v>0</v>
      </c>
      <c r="T606">
        <f>SUM(Table1[[#This Row],[DTP Received]:[LPO/ LOA/ SOA Issue Date]])</f>
        <v>39</v>
      </c>
    </row>
    <row r="607" spans="2:20" x14ac:dyDescent="0.25">
      <c r="B607" t="s">
        <v>1147</v>
      </c>
      <c r="C607" t="s">
        <v>371</v>
      </c>
      <c r="D607" s="3">
        <v>2</v>
      </c>
      <c r="E607" s="3">
        <v>1</v>
      </c>
      <c r="F607" s="3">
        <v>0</v>
      </c>
      <c r="G607" s="3">
        <v>5</v>
      </c>
      <c r="H607" s="3">
        <v>5</v>
      </c>
      <c r="I607" s="3">
        <v>1</v>
      </c>
      <c r="J607" s="3">
        <v>3</v>
      </c>
      <c r="K607" s="3">
        <v>2</v>
      </c>
      <c r="L607" s="3">
        <v>7</v>
      </c>
      <c r="M607" s="3">
        <v>3</v>
      </c>
      <c r="N607" s="3">
        <v>1</v>
      </c>
      <c r="O607" s="3">
        <v>2</v>
      </c>
      <c r="P607" s="3">
        <v>2</v>
      </c>
      <c r="Q607" s="3">
        <v>5</v>
      </c>
      <c r="R607" s="3">
        <v>0</v>
      </c>
      <c r="T607">
        <f>SUM(Table1[[#This Row],[DTP Received]:[LPO/ LOA/ SOA Issue Date]])</f>
        <v>39</v>
      </c>
    </row>
    <row r="608" spans="2:20" x14ac:dyDescent="0.25">
      <c r="B608" t="s">
        <v>1148</v>
      </c>
      <c r="C608" t="s">
        <v>371</v>
      </c>
      <c r="D608" s="3">
        <v>2</v>
      </c>
      <c r="E608" s="3">
        <v>1</v>
      </c>
      <c r="F608" s="3">
        <v>0</v>
      </c>
      <c r="G608" s="3">
        <v>5</v>
      </c>
      <c r="H608" s="3">
        <v>5</v>
      </c>
      <c r="I608" s="3">
        <v>1</v>
      </c>
      <c r="J608" s="3">
        <v>3</v>
      </c>
      <c r="K608" s="3">
        <v>2</v>
      </c>
      <c r="L608" s="3">
        <v>7</v>
      </c>
      <c r="M608" s="3">
        <v>3</v>
      </c>
      <c r="N608" s="3">
        <v>1</v>
      </c>
      <c r="O608" s="3">
        <v>2</v>
      </c>
      <c r="P608" s="3">
        <v>2</v>
      </c>
      <c r="Q608" s="3">
        <v>5</v>
      </c>
      <c r="R608" s="3">
        <v>0</v>
      </c>
      <c r="T608">
        <f>SUM(Table1[[#This Row],[DTP Received]:[LPO/ LOA/ SOA Issue Date]])</f>
        <v>39</v>
      </c>
    </row>
    <row r="609" spans="2:20" x14ac:dyDescent="0.25">
      <c r="B609" t="s">
        <v>1149</v>
      </c>
      <c r="C609" t="s">
        <v>371</v>
      </c>
      <c r="D609" s="3">
        <v>2</v>
      </c>
      <c r="E609" s="3">
        <v>1</v>
      </c>
      <c r="F609" s="3">
        <v>0</v>
      </c>
      <c r="G609" s="3">
        <v>5</v>
      </c>
      <c r="H609" s="3">
        <v>5</v>
      </c>
      <c r="I609" s="3">
        <v>1</v>
      </c>
      <c r="J609" s="3">
        <v>3</v>
      </c>
      <c r="K609" s="3">
        <v>2</v>
      </c>
      <c r="L609" s="3">
        <v>7</v>
      </c>
      <c r="M609" s="3">
        <v>3</v>
      </c>
      <c r="N609" s="3">
        <v>1</v>
      </c>
      <c r="O609" s="3">
        <v>2</v>
      </c>
      <c r="P609" s="3">
        <v>2</v>
      </c>
      <c r="Q609" s="3">
        <v>5</v>
      </c>
      <c r="R609" s="3">
        <v>0</v>
      </c>
      <c r="T609">
        <f>SUM(Table1[[#This Row],[DTP Received]:[LPO/ LOA/ SOA Issue Date]])</f>
        <v>39</v>
      </c>
    </row>
    <row r="610" spans="2:20" x14ac:dyDescent="0.25">
      <c r="B610" t="s">
        <v>1150</v>
      </c>
      <c r="C610" t="s">
        <v>371</v>
      </c>
      <c r="D610" s="3">
        <v>2</v>
      </c>
      <c r="E610" s="3">
        <v>1</v>
      </c>
      <c r="F610" s="3">
        <v>0</v>
      </c>
      <c r="G610" s="3">
        <v>5</v>
      </c>
      <c r="H610" s="3">
        <v>5</v>
      </c>
      <c r="I610" s="3">
        <v>1</v>
      </c>
      <c r="J610" s="3">
        <v>3</v>
      </c>
      <c r="K610" s="3">
        <v>2</v>
      </c>
      <c r="L610" s="3">
        <v>7</v>
      </c>
      <c r="M610" s="3">
        <v>3</v>
      </c>
      <c r="N610" s="3">
        <v>1</v>
      </c>
      <c r="O610" s="3">
        <v>2</v>
      </c>
      <c r="P610" s="3">
        <v>2</v>
      </c>
      <c r="Q610" s="3">
        <v>5</v>
      </c>
      <c r="R610" s="3">
        <v>0</v>
      </c>
      <c r="T610">
        <f>SUM(Table1[[#This Row],[DTP Received]:[LPO/ LOA/ SOA Issue Date]])</f>
        <v>39</v>
      </c>
    </row>
    <row r="611" spans="2:20" x14ac:dyDescent="0.25">
      <c r="B611" t="s">
        <v>1151</v>
      </c>
      <c r="C611" t="s">
        <v>371</v>
      </c>
      <c r="D611" s="3">
        <v>2</v>
      </c>
      <c r="E611" s="3">
        <v>1</v>
      </c>
      <c r="F611" s="3">
        <v>0</v>
      </c>
      <c r="G611" s="3">
        <v>5</v>
      </c>
      <c r="H611" s="3">
        <v>5</v>
      </c>
      <c r="I611" s="3">
        <v>1</v>
      </c>
      <c r="J611" s="3">
        <v>3</v>
      </c>
      <c r="K611" s="3">
        <v>2</v>
      </c>
      <c r="L611" s="3">
        <v>7</v>
      </c>
      <c r="M611" s="3">
        <v>3</v>
      </c>
      <c r="N611" s="3">
        <v>1</v>
      </c>
      <c r="O611" s="3">
        <v>2</v>
      </c>
      <c r="P611" s="3">
        <v>2</v>
      </c>
      <c r="Q611" s="3">
        <v>5</v>
      </c>
      <c r="R611" s="3">
        <v>0</v>
      </c>
      <c r="T611">
        <f>SUM(Table1[[#This Row],[DTP Received]:[LPO/ LOA/ SOA Issue Date]])</f>
        <v>39</v>
      </c>
    </row>
    <row r="612" spans="2:20" x14ac:dyDescent="0.25">
      <c r="B612" t="s">
        <v>1152</v>
      </c>
      <c r="C612" t="s">
        <v>1126</v>
      </c>
      <c r="D612" s="3">
        <v>2</v>
      </c>
      <c r="E612" s="3">
        <v>1</v>
      </c>
      <c r="F612" s="3">
        <v>0</v>
      </c>
      <c r="G612" s="3">
        <v>5</v>
      </c>
      <c r="H612" s="3">
        <v>5</v>
      </c>
      <c r="I612" s="3">
        <v>1</v>
      </c>
      <c r="J612" s="3">
        <v>3</v>
      </c>
      <c r="K612" s="3">
        <v>2</v>
      </c>
      <c r="L612" s="3">
        <v>7</v>
      </c>
      <c r="M612" s="3">
        <v>3</v>
      </c>
      <c r="N612" s="3">
        <v>1</v>
      </c>
      <c r="O612" s="3">
        <v>2</v>
      </c>
      <c r="P612" s="3">
        <v>2</v>
      </c>
      <c r="Q612" s="3">
        <v>5</v>
      </c>
      <c r="R612" s="3">
        <v>0</v>
      </c>
      <c r="T612">
        <f>SUM(Table1[[#This Row],[DTP Received]:[LPO/ LOA/ SOA Issue Date]])</f>
        <v>39</v>
      </c>
    </row>
    <row r="613" spans="2:20" x14ac:dyDescent="0.25">
      <c r="B613" t="s">
        <v>1153</v>
      </c>
      <c r="C613" t="s">
        <v>1130</v>
      </c>
      <c r="D613" s="3">
        <v>2</v>
      </c>
      <c r="E613" s="3">
        <v>1</v>
      </c>
      <c r="F613" s="3">
        <v>0</v>
      </c>
      <c r="G613" s="3">
        <v>5</v>
      </c>
      <c r="H613" s="3">
        <v>5</v>
      </c>
      <c r="I613" s="3">
        <v>1</v>
      </c>
      <c r="J613" s="3">
        <v>3</v>
      </c>
      <c r="K613" s="3">
        <v>2</v>
      </c>
      <c r="L613" s="3">
        <v>7</v>
      </c>
      <c r="M613" s="3">
        <v>3</v>
      </c>
      <c r="N613" s="3">
        <v>1</v>
      </c>
      <c r="O613" s="3">
        <v>2</v>
      </c>
      <c r="P613" s="3">
        <v>2</v>
      </c>
      <c r="Q613" s="3">
        <v>5</v>
      </c>
      <c r="R613" s="3">
        <v>0</v>
      </c>
      <c r="T613">
        <f>SUM(Table1[[#This Row],[DTP Received]:[LPO/ LOA/ SOA Issue Date]])</f>
        <v>39</v>
      </c>
    </row>
    <row r="614" spans="2:20" x14ac:dyDescent="0.25">
      <c r="B614" t="s">
        <v>1154</v>
      </c>
      <c r="C614" t="s">
        <v>1132</v>
      </c>
      <c r="D614" s="3">
        <v>2</v>
      </c>
      <c r="E614" s="3">
        <v>1</v>
      </c>
      <c r="F614" s="3">
        <v>0</v>
      </c>
      <c r="G614" s="3">
        <v>5</v>
      </c>
      <c r="H614" s="3">
        <v>5</v>
      </c>
      <c r="I614" s="3">
        <v>1</v>
      </c>
      <c r="J614" s="3">
        <v>3</v>
      </c>
      <c r="K614" s="3">
        <v>2</v>
      </c>
      <c r="L614" s="3">
        <v>7</v>
      </c>
      <c r="M614" s="3">
        <v>3</v>
      </c>
      <c r="N614" s="3">
        <v>1</v>
      </c>
      <c r="O614" s="3">
        <v>2</v>
      </c>
      <c r="P614" s="3">
        <v>2</v>
      </c>
      <c r="Q614" s="3">
        <v>5</v>
      </c>
      <c r="R614" s="3">
        <v>0</v>
      </c>
      <c r="T614">
        <f>SUM(Table1[[#This Row],[DTP Received]:[LPO/ LOA/ SOA Issue Date]])</f>
        <v>39</v>
      </c>
    </row>
    <row r="615" spans="2:20" x14ac:dyDescent="0.25">
      <c r="B615" t="s">
        <v>1155</v>
      </c>
      <c r="C615" t="s">
        <v>1156</v>
      </c>
      <c r="D615" s="3">
        <v>2</v>
      </c>
      <c r="E615" s="3">
        <v>1</v>
      </c>
      <c r="F615" s="3">
        <v>0</v>
      </c>
      <c r="G615" s="3">
        <v>5</v>
      </c>
      <c r="H615" s="3">
        <v>5</v>
      </c>
      <c r="I615" s="3">
        <v>1</v>
      </c>
      <c r="J615" s="3">
        <v>3</v>
      </c>
      <c r="K615" s="3">
        <v>2</v>
      </c>
      <c r="L615" s="3">
        <v>7</v>
      </c>
      <c r="M615" s="3">
        <v>3</v>
      </c>
      <c r="N615" s="3">
        <v>1</v>
      </c>
      <c r="O615" s="3">
        <v>2</v>
      </c>
      <c r="P615" s="3">
        <v>2</v>
      </c>
      <c r="Q615" s="3">
        <v>5</v>
      </c>
      <c r="R615" s="3">
        <v>0</v>
      </c>
      <c r="T615">
        <f>SUM(Table1[[#This Row],[DTP Received]:[LPO/ LOA/ SOA Issue Date]])</f>
        <v>39</v>
      </c>
    </row>
    <row r="616" spans="2:20" x14ac:dyDescent="0.25">
      <c r="B616" t="s">
        <v>1157</v>
      </c>
      <c r="C616" t="s">
        <v>1158</v>
      </c>
      <c r="D616" s="3">
        <v>2</v>
      </c>
      <c r="E616" s="3">
        <v>1</v>
      </c>
      <c r="F616" s="3">
        <v>0</v>
      </c>
      <c r="G616" s="3">
        <v>10</v>
      </c>
      <c r="H616" s="3">
        <v>5</v>
      </c>
      <c r="I616" s="3">
        <v>1</v>
      </c>
      <c r="J616" s="3">
        <v>3</v>
      </c>
      <c r="K616" s="3">
        <v>2</v>
      </c>
      <c r="L616" s="3">
        <v>3</v>
      </c>
      <c r="M616" s="3">
        <v>3</v>
      </c>
      <c r="N616" s="3">
        <v>1</v>
      </c>
      <c r="O616" s="3">
        <v>2</v>
      </c>
      <c r="P616" s="3">
        <v>2</v>
      </c>
      <c r="Q616" s="3">
        <v>5</v>
      </c>
      <c r="R616" s="3">
        <v>0</v>
      </c>
      <c r="T616">
        <f>SUM(Table1[[#This Row],[DTP Received]:[LPO/ LOA/ SOA Issue Date]])</f>
        <v>40</v>
      </c>
    </row>
    <row r="617" spans="2:20" x14ac:dyDescent="0.25">
      <c r="B617" t="s">
        <v>1159</v>
      </c>
      <c r="C617" t="s">
        <v>1160</v>
      </c>
      <c r="D617" s="3">
        <v>2</v>
      </c>
      <c r="E617" s="3">
        <v>1</v>
      </c>
      <c r="F617" s="3">
        <v>0</v>
      </c>
      <c r="G617" s="3">
        <v>5</v>
      </c>
      <c r="H617" s="3">
        <v>5</v>
      </c>
      <c r="I617" s="3">
        <v>1</v>
      </c>
      <c r="J617" s="3">
        <v>3</v>
      </c>
      <c r="K617" s="3">
        <v>2</v>
      </c>
      <c r="L617" s="3">
        <v>7</v>
      </c>
      <c r="M617" s="3">
        <v>3</v>
      </c>
      <c r="N617" s="3">
        <v>1</v>
      </c>
      <c r="O617" s="3">
        <v>2</v>
      </c>
      <c r="P617" s="3">
        <v>2</v>
      </c>
      <c r="Q617" s="3">
        <v>5</v>
      </c>
      <c r="R617" s="3">
        <v>0</v>
      </c>
      <c r="T617">
        <f>SUM(Table1[[#This Row],[DTP Received]:[LPO/ LOA/ SOA Issue Date]])</f>
        <v>39</v>
      </c>
    </row>
    <row r="618" spans="2:20" x14ac:dyDescent="0.25">
      <c r="B618" t="s">
        <v>1161</v>
      </c>
      <c r="C618" t="s">
        <v>1162</v>
      </c>
      <c r="D618" s="3">
        <v>2</v>
      </c>
      <c r="E618" s="3">
        <v>1</v>
      </c>
      <c r="F618" s="3">
        <v>0</v>
      </c>
      <c r="G618" s="3">
        <v>5</v>
      </c>
      <c r="H618" s="3">
        <v>5</v>
      </c>
      <c r="I618" s="3">
        <v>1</v>
      </c>
      <c r="J618" s="3">
        <v>3</v>
      </c>
      <c r="K618" s="3">
        <v>2</v>
      </c>
      <c r="L618" s="3">
        <v>7</v>
      </c>
      <c r="M618" s="3">
        <v>3</v>
      </c>
      <c r="N618" s="3">
        <v>1</v>
      </c>
      <c r="O618" s="3">
        <v>2</v>
      </c>
      <c r="P618" s="3">
        <v>2</v>
      </c>
      <c r="Q618" s="3">
        <v>5</v>
      </c>
      <c r="R618" s="3">
        <v>0</v>
      </c>
      <c r="T618">
        <f>SUM(Table1[[#This Row],[DTP Received]:[LPO/ LOA/ SOA Issue Date]])</f>
        <v>39</v>
      </c>
    </row>
    <row r="619" spans="2:20" x14ac:dyDescent="0.25">
      <c r="B619" t="s">
        <v>1163</v>
      </c>
      <c r="C619" t="s">
        <v>1164</v>
      </c>
      <c r="D619" s="3">
        <v>2</v>
      </c>
      <c r="E619" s="3">
        <v>1</v>
      </c>
      <c r="F619" s="3">
        <v>0</v>
      </c>
      <c r="G619" s="3">
        <v>5</v>
      </c>
      <c r="H619" s="3">
        <v>5</v>
      </c>
      <c r="I619" s="3">
        <v>1</v>
      </c>
      <c r="J619" s="3">
        <v>3</v>
      </c>
      <c r="K619" s="3">
        <v>2</v>
      </c>
      <c r="L619" s="3">
        <v>7</v>
      </c>
      <c r="M619" s="3">
        <v>3</v>
      </c>
      <c r="N619" s="3">
        <v>1</v>
      </c>
      <c r="O619" s="3">
        <v>2</v>
      </c>
      <c r="P619" s="3">
        <v>2</v>
      </c>
      <c r="Q619" s="3">
        <v>5</v>
      </c>
      <c r="R619" s="3">
        <v>0</v>
      </c>
      <c r="T619">
        <f>SUM(Table1[[#This Row],[DTP Received]:[LPO/ LOA/ SOA Issue Date]])</f>
        <v>39</v>
      </c>
    </row>
    <row r="620" spans="2:20" x14ac:dyDescent="0.25">
      <c r="B620" t="s">
        <v>1165</v>
      </c>
      <c r="C620" t="s">
        <v>371</v>
      </c>
      <c r="D620" s="3">
        <v>2</v>
      </c>
      <c r="E620" s="3">
        <v>1</v>
      </c>
      <c r="F620" s="3">
        <v>0</v>
      </c>
      <c r="G620" s="3">
        <v>5</v>
      </c>
      <c r="H620" s="3">
        <v>5</v>
      </c>
      <c r="I620" s="3">
        <v>1</v>
      </c>
      <c r="J620" s="3">
        <v>3</v>
      </c>
      <c r="K620" s="3">
        <v>2</v>
      </c>
      <c r="L620" s="3">
        <v>7</v>
      </c>
      <c r="M620" s="3">
        <v>3</v>
      </c>
      <c r="N620" s="3">
        <v>1</v>
      </c>
      <c r="O620" s="3">
        <v>2</v>
      </c>
      <c r="P620" s="3">
        <v>2</v>
      </c>
      <c r="Q620" s="3">
        <v>5</v>
      </c>
      <c r="R620" s="3">
        <v>0</v>
      </c>
      <c r="T620">
        <f>SUM(Table1[[#This Row],[DTP Received]:[LPO/ LOA/ SOA Issue Date]])</f>
        <v>39</v>
      </c>
    </row>
    <row r="621" spans="2:20" x14ac:dyDescent="0.25">
      <c r="B621" t="s">
        <v>1166</v>
      </c>
      <c r="C621" t="s">
        <v>371</v>
      </c>
      <c r="D621" s="3">
        <v>2</v>
      </c>
      <c r="E621" s="3">
        <v>1</v>
      </c>
      <c r="F621" s="3">
        <v>0</v>
      </c>
      <c r="G621" s="3">
        <v>5</v>
      </c>
      <c r="H621" s="3">
        <v>5</v>
      </c>
      <c r="I621" s="3">
        <v>1</v>
      </c>
      <c r="J621" s="3">
        <v>3</v>
      </c>
      <c r="K621" s="3">
        <v>2</v>
      </c>
      <c r="L621" s="3">
        <v>7</v>
      </c>
      <c r="M621" s="3">
        <v>3</v>
      </c>
      <c r="N621" s="3">
        <v>1</v>
      </c>
      <c r="O621" s="3">
        <v>2</v>
      </c>
      <c r="P621" s="3">
        <v>2</v>
      </c>
      <c r="Q621" s="3">
        <v>5</v>
      </c>
      <c r="R621" s="3">
        <v>0</v>
      </c>
      <c r="T621">
        <f>SUM(Table1[[#This Row],[DTP Received]:[LPO/ LOA/ SOA Issue Date]])</f>
        <v>39</v>
      </c>
    </row>
    <row r="622" spans="2:20" x14ac:dyDescent="0.25">
      <c r="B622" t="s">
        <v>1167</v>
      </c>
      <c r="C622" t="s">
        <v>371</v>
      </c>
      <c r="D622" s="3">
        <v>2</v>
      </c>
      <c r="E622" s="3">
        <v>1</v>
      </c>
      <c r="F622" s="3">
        <v>0</v>
      </c>
      <c r="G622" s="3">
        <v>5</v>
      </c>
      <c r="H622" s="3">
        <v>5</v>
      </c>
      <c r="I622" s="3">
        <v>1</v>
      </c>
      <c r="J622" s="3">
        <v>3</v>
      </c>
      <c r="K622" s="3">
        <v>2</v>
      </c>
      <c r="L622" s="3">
        <v>7</v>
      </c>
      <c r="M622" s="3">
        <v>3</v>
      </c>
      <c r="N622" s="3">
        <v>1</v>
      </c>
      <c r="O622" s="3">
        <v>2</v>
      </c>
      <c r="P622" s="3">
        <v>2</v>
      </c>
      <c r="Q622" s="3">
        <v>5</v>
      </c>
      <c r="R622" s="3">
        <v>0</v>
      </c>
      <c r="T622">
        <f>SUM(Table1[[#This Row],[DTP Received]:[LPO/ LOA/ SOA Issue Date]])</f>
        <v>39</v>
      </c>
    </row>
    <row r="623" spans="2:20" x14ac:dyDescent="0.25">
      <c r="B623" t="s">
        <v>1168</v>
      </c>
      <c r="C623" t="s">
        <v>371</v>
      </c>
      <c r="D623" s="3">
        <v>2</v>
      </c>
      <c r="E623" s="3">
        <v>1</v>
      </c>
      <c r="F623" s="3">
        <v>0</v>
      </c>
      <c r="G623" s="3">
        <v>5</v>
      </c>
      <c r="H623" s="3">
        <v>5</v>
      </c>
      <c r="I623" s="3">
        <v>1</v>
      </c>
      <c r="J623" s="3">
        <v>3</v>
      </c>
      <c r="K623" s="3">
        <v>2</v>
      </c>
      <c r="L623" s="3">
        <v>7</v>
      </c>
      <c r="M623" s="3">
        <v>3</v>
      </c>
      <c r="N623" s="3">
        <v>1</v>
      </c>
      <c r="O623" s="3">
        <v>2</v>
      </c>
      <c r="P623" s="3">
        <v>2</v>
      </c>
      <c r="Q623" s="3">
        <v>5</v>
      </c>
      <c r="R623" s="3">
        <v>0</v>
      </c>
      <c r="T623">
        <f>SUM(Table1[[#This Row],[DTP Received]:[LPO/ LOA/ SOA Issue Date]])</f>
        <v>39</v>
      </c>
    </row>
    <row r="624" spans="2:20" x14ac:dyDescent="0.25">
      <c r="B624" t="s">
        <v>1169</v>
      </c>
      <c r="C624" t="s">
        <v>371</v>
      </c>
      <c r="D624" s="3">
        <v>2</v>
      </c>
      <c r="E624" s="3">
        <v>1</v>
      </c>
      <c r="F624" s="3">
        <v>0</v>
      </c>
      <c r="G624" s="3">
        <v>5</v>
      </c>
      <c r="H624" s="3">
        <v>5</v>
      </c>
      <c r="I624" s="3">
        <v>1</v>
      </c>
      <c r="J624" s="3">
        <v>3</v>
      </c>
      <c r="K624" s="3">
        <v>2</v>
      </c>
      <c r="L624" s="3">
        <v>7</v>
      </c>
      <c r="M624" s="3">
        <v>3</v>
      </c>
      <c r="N624" s="3">
        <v>1</v>
      </c>
      <c r="O624" s="3">
        <v>2</v>
      </c>
      <c r="P624" s="3">
        <v>2</v>
      </c>
      <c r="Q624" s="3">
        <v>5</v>
      </c>
      <c r="R624" s="3">
        <v>0</v>
      </c>
      <c r="T624">
        <f>SUM(Table1[[#This Row],[DTP Received]:[LPO/ LOA/ SOA Issue Date]])</f>
        <v>39</v>
      </c>
    </row>
    <row r="625" spans="2:20" x14ac:dyDescent="0.25">
      <c r="B625" t="s">
        <v>1170</v>
      </c>
      <c r="C625" t="s">
        <v>1171</v>
      </c>
      <c r="D625" s="3">
        <v>2</v>
      </c>
      <c r="E625" s="3">
        <v>1</v>
      </c>
      <c r="F625" s="3">
        <v>0</v>
      </c>
      <c r="G625" s="3">
        <v>5</v>
      </c>
      <c r="H625" s="3">
        <v>5</v>
      </c>
      <c r="I625" s="3">
        <v>1</v>
      </c>
      <c r="J625" s="3">
        <v>3</v>
      </c>
      <c r="K625" s="3">
        <v>2</v>
      </c>
      <c r="L625" s="3">
        <v>7</v>
      </c>
      <c r="M625" s="3">
        <v>3</v>
      </c>
      <c r="N625" s="3">
        <v>1</v>
      </c>
      <c r="O625" s="3">
        <v>2</v>
      </c>
      <c r="P625" s="3">
        <v>2</v>
      </c>
      <c r="Q625" s="3">
        <v>5</v>
      </c>
      <c r="R625" s="3">
        <v>0</v>
      </c>
      <c r="T625">
        <f>SUM(Table1[[#This Row],[DTP Received]:[LPO/ LOA/ SOA Issue Date]])</f>
        <v>39</v>
      </c>
    </row>
    <row r="626" spans="2:20" x14ac:dyDescent="0.25">
      <c r="B626" t="s">
        <v>1172</v>
      </c>
      <c r="C626" t="s">
        <v>1173</v>
      </c>
      <c r="D626" s="3">
        <v>2</v>
      </c>
      <c r="E626" s="3">
        <v>1</v>
      </c>
      <c r="F626" s="3">
        <v>0</v>
      </c>
      <c r="G626" s="3">
        <v>5</v>
      </c>
      <c r="H626" s="3">
        <v>5</v>
      </c>
      <c r="I626" s="3">
        <v>1</v>
      </c>
      <c r="J626" s="3">
        <v>3</v>
      </c>
      <c r="K626" s="3">
        <v>2</v>
      </c>
      <c r="L626" s="3">
        <v>7</v>
      </c>
      <c r="M626" s="3">
        <v>3</v>
      </c>
      <c r="N626" s="3">
        <v>1</v>
      </c>
      <c r="O626" s="3">
        <v>2</v>
      </c>
      <c r="P626" s="3">
        <v>2</v>
      </c>
      <c r="Q626" s="3">
        <v>5</v>
      </c>
      <c r="R626" s="3">
        <v>0</v>
      </c>
      <c r="T626">
        <f>SUM(Table1[[#This Row],[DTP Received]:[LPO/ LOA/ SOA Issue Date]])</f>
        <v>39</v>
      </c>
    </row>
    <row r="627" spans="2:20" x14ac:dyDescent="0.25">
      <c r="B627" t="s">
        <v>1174</v>
      </c>
      <c r="C627" t="s">
        <v>1175</v>
      </c>
      <c r="D627" s="3">
        <v>2</v>
      </c>
      <c r="E627" s="3">
        <v>1</v>
      </c>
      <c r="F627" s="3">
        <v>0</v>
      </c>
      <c r="G627" s="3">
        <v>5</v>
      </c>
      <c r="H627" s="3">
        <v>5</v>
      </c>
      <c r="I627" s="3">
        <v>1</v>
      </c>
      <c r="J627" s="3">
        <v>3</v>
      </c>
      <c r="K627" s="3">
        <v>2</v>
      </c>
      <c r="L627" s="3">
        <v>7</v>
      </c>
      <c r="M627" s="3">
        <v>3</v>
      </c>
      <c r="N627" s="3">
        <v>1</v>
      </c>
      <c r="O627" s="3">
        <v>2</v>
      </c>
      <c r="P627" s="3">
        <v>2</v>
      </c>
      <c r="Q627" s="3">
        <v>5</v>
      </c>
      <c r="R627" s="3">
        <v>0</v>
      </c>
      <c r="T627">
        <f>SUM(Table1[[#This Row],[DTP Received]:[LPO/ LOA/ SOA Issue Date]])</f>
        <v>39</v>
      </c>
    </row>
    <row r="628" spans="2:20" x14ac:dyDescent="0.25">
      <c r="B628" t="s">
        <v>1176</v>
      </c>
      <c r="C628" t="s">
        <v>1177</v>
      </c>
      <c r="D628" s="3">
        <v>2</v>
      </c>
      <c r="E628" s="3">
        <v>1</v>
      </c>
      <c r="F628" s="3">
        <v>0</v>
      </c>
      <c r="G628" s="3">
        <v>5</v>
      </c>
      <c r="H628" s="3">
        <v>5</v>
      </c>
      <c r="I628" s="3">
        <v>1</v>
      </c>
      <c r="J628" s="3">
        <v>3</v>
      </c>
      <c r="K628" s="3">
        <v>2</v>
      </c>
      <c r="L628" s="3">
        <v>7</v>
      </c>
      <c r="M628" s="3">
        <v>3</v>
      </c>
      <c r="N628" s="3">
        <v>1</v>
      </c>
      <c r="O628" s="3">
        <v>2</v>
      </c>
      <c r="P628" s="3">
        <v>2</v>
      </c>
      <c r="Q628" s="3">
        <v>5</v>
      </c>
      <c r="R628" s="3">
        <v>0</v>
      </c>
      <c r="T628">
        <f>SUM(Table1[[#This Row],[DTP Received]:[LPO/ LOA/ SOA Issue Date]])</f>
        <v>39</v>
      </c>
    </row>
    <row r="629" spans="2:20" x14ac:dyDescent="0.25">
      <c r="B629" t="s">
        <v>1178</v>
      </c>
      <c r="C629" t="s">
        <v>1179</v>
      </c>
      <c r="D629" s="3">
        <v>2</v>
      </c>
      <c r="E629" s="3">
        <v>1</v>
      </c>
      <c r="F629" s="3">
        <v>0</v>
      </c>
      <c r="G629" s="3">
        <v>5</v>
      </c>
      <c r="H629" s="3">
        <v>5</v>
      </c>
      <c r="I629" s="3">
        <v>1</v>
      </c>
      <c r="J629" s="3">
        <v>3</v>
      </c>
      <c r="K629" s="3">
        <v>2</v>
      </c>
      <c r="L629" s="3">
        <v>7</v>
      </c>
      <c r="M629" s="3">
        <v>3</v>
      </c>
      <c r="N629" s="3">
        <v>1</v>
      </c>
      <c r="O629" s="3">
        <v>2</v>
      </c>
      <c r="P629" s="3">
        <v>2</v>
      </c>
      <c r="Q629" s="3">
        <v>5</v>
      </c>
      <c r="R629" s="3">
        <v>0</v>
      </c>
      <c r="T629">
        <f>SUM(Table1[[#This Row],[DTP Received]:[LPO/ LOA/ SOA Issue Date]])</f>
        <v>39</v>
      </c>
    </row>
    <row r="630" spans="2:20" x14ac:dyDescent="0.25">
      <c r="B630" t="s">
        <v>1180</v>
      </c>
      <c r="C630" t="s">
        <v>1181</v>
      </c>
      <c r="D630" s="3">
        <v>2</v>
      </c>
      <c r="E630" s="3">
        <v>1</v>
      </c>
      <c r="F630" s="3">
        <v>0</v>
      </c>
      <c r="G630" s="3">
        <v>5</v>
      </c>
      <c r="H630" s="3">
        <v>5</v>
      </c>
      <c r="I630" s="3">
        <v>1</v>
      </c>
      <c r="J630" s="3">
        <v>3</v>
      </c>
      <c r="K630" s="3">
        <v>2</v>
      </c>
      <c r="L630" s="3">
        <v>7</v>
      </c>
      <c r="M630" s="3">
        <v>3</v>
      </c>
      <c r="N630" s="3">
        <v>1</v>
      </c>
      <c r="O630" s="3">
        <v>2</v>
      </c>
      <c r="P630" s="3">
        <v>2</v>
      </c>
      <c r="Q630" s="3">
        <v>5</v>
      </c>
      <c r="R630" s="3">
        <v>0</v>
      </c>
      <c r="T630">
        <f>SUM(Table1[[#This Row],[DTP Received]:[LPO/ LOA/ SOA Issue Date]])</f>
        <v>39</v>
      </c>
    </row>
    <row r="631" spans="2:20" x14ac:dyDescent="0.25">
      <c r="B631" t="s">
        <v>1182</v>
      </c>
      <c r="C631" t="s">
        <v>1183</v>
      </c>
      <c r="D631" s="3">
        <v>2</v>
      </c>
      <c r="E631" s="3">
        <v>1</v>
      </c>
      <c r="F631" s="3">
        <v>0</v>
      </c>
      <c r="G631" s="3">
        <v>5</v>
      </c>
      <c r="H631" s="3">
        <v>5</v>
      </c>
      <c r="I631" s="3">
        <v>1</v>
      </c>
      <c r="J631" s="3">
        <v>3</v>
      </c>
      <c r="K631" s="3">
        <v>2</v>
      </c>
      <c r="L631" s="3">
        <v>7</v>
      </c>
      <c r="M631" s="3">
        <v>3</v>
      </c>
      <c r="N631" s="3">
        <v>1</v>
      </c>
      <c r="O631" s="3">
        <v>2</v>
      </c>
      <c r="P631" s="3">
        <v>2</v>
      </c>
      <c r="Q631" s="3">
        <v>5</v>
      </c>
      <c r="R631" s="3">
        <v>0</v>
      </c>
      <c r="T631">
        <f>SUM(Table1[[#This Row],[DTP Received]:[LPO/ LOA/ SOA Issue Date]])</f>
        <v>39</v>
      </c>
    </row>
    <row r="632" spans="2:20" x14ac:dyDescent="0.25">
      <c r="B632" t="s">
        <v>1184</v>
      </c>
      <c r="C632" t="s">
        <v>1185</v>
      </c>
      <c r="D632" s="3">
        <v>2</v>
      </c>
      <c r="E632" s="3">
        <v>1</v>
      </c>
      <c r="F632" s="3">
        <v>0</v>
      </c>
      <c r="G632" s="3">
        <v>5</v>
      </c>
      <c r="H632" s="3">
        <v>5</v>
      </c>
      <c r="I632" s="3">
        <v>1</v>
      </c>
      <c r="J632" s="3">
        <v>3</v>
      </c>
      <c r="K632" s="3">
        <v>2</v>
      </c>
      <c r="L632" s="3">
        <v>7</v>
      </c>
      <c r="M632" s="3">
        <v>3</v>
      </c>
      <c r="N632" s="3">
        <v>1</v>
      </c>
      <c r="O632" s="3">
        <v>2</v>
      </c>
      <c r="P632" s="3">
        <v>2</v>
      </c>
      <c r="Q632" s="3">
        <v>5</v>
      </c>
      <c r="R632" s="3">
        <v>0</v>
      </c>
      <c r="T632">
        <f>SUM(Table1[[#This Row],[DTP Received]:[LPO/ LOA/ SOA Issue Date]])</f>
        <v>39</v>
      </c>
    </row>
    <row r="633" spans="2:20" x14ac:dyDescent="0.25">
      <c r="B633" t="s">
        <v>1186</v>
      </c>
      <c r="C633" t="s">
        <v>1187</v>
      </c>
      <c r="D633" s="3">
        <v>2</v>
      </c>
      <c r="E633" s="3">
        <v>1</v>
      </c>
      <c r="F633" s="3">
        <v>0</v>
      </c>
      <c r="G633" s="3">
        <v>5</v>
      </c>
      <c r="H633" s="3">
        <v>5</v>
      </c>
      <c r="I633" s="3">
        <v>1</v>
      </c>
      <c r="J633" s="3">
        <v>3</v>
      </c>
      <c r="K633" s="3">
        <v>2</v>
      </c>
      <c r="L633" s="3">
        <v>7</v>
      </c>
      <c r="M633" s="3">
        <v>3</v>
      </c>
      <c r="N633" s="3">
        <v>1</v>
      </c>
      <c r="O633" s="3">
        <v>2</v>
      </c>
      <c r="P633" s="3">
        <v>2</v>
      </c>
      <c r="Q633" s="3">
        <v>5</v>
      </c>
      <c r="R633" s="3">
        <v>0</v>
      </c>
      <c r="T633">
        <f>SUM(Table1[[#This Row],[DTP Received]:[LPO/ LOA/ SOA Issue Date]])</f>
        <v>39</v>
      </c>
    </row>
    <row r="634" spans="2:20" x14ac:dyDescent="0.25">
      <c r="B634" t="s">
        <v>1188</v>
      </c>
      <c r="C634" t="s">
        <v>1189</v>
      </c>
      <c r="D634" s="3">
        <v>2</v>
      </c>
      <c r="E634" s="3">
        <v>1</v>
      </c>
      <c r="F634" s="3">
        <v>0</v>
      </c>
      <c r="G634" s="3">
        <v>5</v>
      </c>
      <c r="H634" s="3">
        <v>5</v>
      </c>
      <c r="I634" s="3">
        <v>1</v>
      </c>
      <c r="J634" s="3">
        <v>3</v>
      </c>
      <c r="K634" s="3">
        <v>2</v>
      </c>
      <c r="L634" s="3">
        <v>7</v>
      </c>
      <c r="M634" s="3">
        <v>3</v>
      </c>
      <c r="N634" s="3">
        <v>1</v>
      </c>
      <c r="O634" s="3">
        <v>2</v>
      </c>
      <c r="P634" s="3">
        <v>2</v>
      </c>
      <c r="Q634" s="3">
        <v>5</v>
      </c>
      <c r="R634" s="3">
        <v>0</v>
      </c>
      <c r="T634">
        <f>SUM(Table1[[#This Row],[DTP Received]:[LPO/ LOA/ SOA Issue Date]])</f>
        <v>39</v>
      </c>
    </row>
    <row r="635" spans="2:20" x14ac:dyDescent="0.25">
      <c r="B635" t="s">
        <v>1190</v>
      </c>
      <c r="C635" t="s">
        <v>1191</v>
      </c>
      <c r="D635" s="3">
        <v>2</v>
      </c>
      <c r="E635" s="3">
        <v>1</v>
      </c>
      <c r="F635" s="3">
        <v>0</v>
      </c>
      <c r="G635" s="3">
        <v>5</v>
      </c>
      <c r="H635" s="3">
        <v>5</v>
      </c>
      <c r="I635" s="3">
        <v>1</v>
      </c>
      <c r="J635" s="3">
        <v>3</v>
      </c>
      <c r="K635" s="3">
        <v>2</v>
      </c>
      <c r="L635" s="3">
        <v>7</v>
      </c>
      <c r="M635" s="3">
        <v>3</v>
      </c>
      <c r="N635" s="3">
        <v>1</v>
      </c>
      <c r="O635" s="3">
        <v>2</v>
      </c>
      <c r="P635" s="3">
        <v>2</v>
      </c>
      <c r="Q635" s="3">
        <v>5</v>
      </c>
      <c r="R635" s="3">
        <v>0</v>
      </c>
      <c r="T635">
        <f>SUM(Table1[[#This Row],[DTP Received]:[LPO/ LOA/ SOA Issue Date]])</f>
        <v>39</v>
      </c>
    </row>
    <row r="636" spans="2:20" x14ac:dyDescent="0.25">
      <c r="B636" t="s">
        <v>1192</v>
      </c>
      <c r="C636" t="s">
        <v>1193</v>
      </c>
      <c r="D636" s="3">
        <v>2</v>
      </c>
      <c r="E636" s="3">
        <v>1</v>
      </c>
      <c r="F636" s="3">
        <v>0</v>
      </c>
      <c r="G636" s="3">
        <v>5</v>
      </c>
      <c r="H636" s="3">
        <v>5</v>
      </c>
      <c r="I636" s="3">
        <v>1</v>
      </c>
      <c r="J636" s="3">
        <v>3</v>
      </c>
      <c r="K636" s="3">
        <v>2</v>
      </c>
      <c r="L636" s="3">
        <v>7</v>
      </c>
      <c r="M636" s="3">
        <v>3</v>
      </c>
      <c r="N636" s="3">
        <v>1</v>
      </c>
      <c r="O636" s="3">
        <v>2</v>
      </c>
      <c r="P636" s="3">
        <v>2</v>
      </c>
      <c r="Q636" s="3">
        <v>5</v>
      </c>
      <c r="R636" s="3">
        <v>0</v>
      </c>
      <c r="T636">
        <f>SUM(Table1[[#This Row],[DTP Received]:[LPO/ LOA/ SOA Issue Date]])</f>
        <v>39</v>
      </c>
    </row>
    <row r="637" spans="2:20" x14ac:dyDescent="0.25">
      <c r="B637" t="s">
        <v>1194</v>
      </c>
      <c r="C637" t="s">
        <v>1195</v>
      </c>
      <c r="D637" s="3">
        <v>2</v>
      </c>
      <c r="E637" s="3">
        <v>1</v>
      </c>
      <c r="F637" s="3">
        <v>0</v>
      </c>
      <c r="G637" s="3">
        <v>5</v>
      </c>
      <c r="H637" s="3">
        <v>5</v>
      </c>
      <c r="I637" s="3">
        <v>1</v>
      </c>
      <c r="J637" s="3">
        <v>3</v>
      </c>
      <c r="K637" s="3">
        <v>2</v>
      </c>
      <c r="L637" s="3">
        <v>7</v>
      </c>
      <c r="M637" s="3">
        <v>3</v>
      </c>
      <c r="N637" s="3">
        <v>1</v>
      </c>
      <c r="O637" s="3">
        <v>2</v>
      </c>
      <c r="P637" s="3">
        <v>2</v>
      </c>
      <c r="Q637" s="3">
        <v>5</v>
      </c>
      <c r="R637" s="3">
        <v>0</v>
      </c>
      <c r="T637">
        <f>SUM(Table1[[#This Row],[DTP Received]:[LPO/ LOA/ SOA Issue Date]])</f>
        <v>39</v>
      </c>
    </row>
    <row r="638" spans="2:20" x14ac:dyDescent="0.25">
      <c r="B638" t="s">
        <v>1196</v>
      </c>
      <c r="C638" t="s">
        <v>1197</v>
      </c>
      <c r="D638" s="3">
        <v>2</v>
      </c>
      <c r="E638" s="3">
        <v>1</v>
      </c>
      <c r="F638" s="3">
        <v>0</v>
      </c>
      <c r="G638" s="3">
        <v>5</v>
      </c>
      <c r="H638" s="3">
        <v>5</v>
      </c>
      <c r="I638" s="3">
        <v>1</v>
      </c>
      <c r="J638" s="3">
        <v>3</v>
      </c>
      <c r="K638" s="3">
        <v>2</v>
      </c>
      <c r="L638" s="3">
        <v>7</v>
      </c>
      <c r="M638" s="3">
        <v>3</v>
      </c>
      <c r="N638" s="3">
        <v>1</v>
      </c>
      <c r="O638" s="3">
        <v>2</v>
      </c>
      <c r="P638" s="3">
        <v>2</v>
      </c>
      <c r="Q638" s="3">
        <v>5</v>
      </c>
      <c r="R638" s="3">
        <v>0</v>
      </c>
      <c r="T638">
        <f>SUM(Table1[[#This Row],[DTP Received]:[LPO/ LOA/ SOA Issue Date]])</f>
        <v>39</v>
      </c>
    </row>
    <row r="639" spans="2:20" x14ac:dyDescent="0.25">
      <c r="B639" t="s">
        <v>1198</v>
      </c>
      <c r="C639" t="s">
        <v>1199</v>
      </c>
      <c r="D639" s="3">
        <v>2</v>
      </c>
      <c r="E639" s="3">
        <v>1</v>
      </c>
      <c r="F639" s="3">
        <v>0</v>
      </c>
      <c r="G639" s="3">
        <v>5</v>
      </c>
      <c r="H639" s="3">
        <v>5</v>
      </c>
      <c r="I639" s="3">
        <v>1</v>
      </c>
      <c r="J639" s="3">
        <v>3</v>
      </c>
      <c r="K639" s="3">
        <v>2</v>
      </c>
      <c r="L639" s="3">
        <v>7</v>
      </c>
      <c r="M639" s="3">
        <v>3</v>
      </c>
      <c r="N639" s="3">
        <v>1</v>
      </c>
      <c r="O639" s="3">
        <v>2</v>
      </c>
      <c r="P639" s="3">
        <v>2</v>
      </c>
      <c r="Q639" s="3">
        <v>5</v>
      </c>
      <c r="R639" s="3">
        <v>0</v>
      </c>
      <c r="T639">
        <f>SUM(Table1[[#This Row],[DTP Received]:[LPO/ LOA/ SOA Issue Date]])</f>
        <v>39</v>
      </c>
    </row>
    <row r="640" spans="2:20" x14ac:dyDescent="0.25">
      <c r="B640" t="s">
        <v>1200</v>
      </c>
      <c r="C640" t="s">
        <v>1201</v>
      </c>
      <c r="D640" s="3">
        <v>2</v>
      </c>
      <c r="E640" s="3">
        <v>1</v>
      </c>
      <c r="F640" s="3">
        <v>0</v>
      </c>
      <c r="G640" s="3">
        <v>5</v>
      </c>
      <c r="H640" s="3">
        <v>5</v>
      </c>
      <c r="I640" s="3">
        <v>1</v>
      </c>
      <c r="J640" s="3">
        <v>3</v>
      </c>
      <c r="K640" s="3">
        <v>2</v>
      </c>
      <c r="L640" s="3">
        <v>7</v>
      </c>
      <c r="M640" s="3">
        <v>3</v>
      </c>
      <c r="N640" s="3">
        <v>1</v>
      </c>
      <c r="O640" s="3">
        <v>2</v>
      </c>
      <c r="P640" s="3">
        <v>2</v>
      </c>
      <c r="Q640" s="3">
        <v>5</v>
      </c>
      <c r="R640" s="3">
        <v>0</v>
      </c>
      <c r="T640">
        <f>SUM(Table1[[#This Row],[DTP Received]:[LPO/ LOA/ SOA Issue Date]])</f>
        <v>39</v>
      </c>
    </row>
    <row r="641" spans="2:20" x14ac:dyDescent="0.25">
      <c r="B641" t="s">
        <v>1202</v>
      </c>
      <c r="C641" t="s">
        <v>1203</v>
      </c>
      <c r="D641" s="3">
        <v>2</v>
      </c>
      <c r="E641" s="3">
        <v>1</v>
      </c>
      <c r="F641" s="3">
        <v>0</v>
      </c>
      <c r="G641" s="3">
        <v>5</v>
      </c>
      <c r="H641" s="3">
        <v>5</v>
      </c>
      <c r="I641" s="3">
        <v>1</v>
      </c>
      <c r="J641" s="3">
        <v>3</v>
      </c>
      <c r="K641" s="3">
        <v>2</v>
      </c>
      <c r="L641" s="3">
        <v>7</v>
      </c>
      <c r="M641" s="3">
        <v>3</v>
      </c>
      <c r="N641" s="3">
        <v>1</v>
      </c>
      <c r="O641" s="3">
        <v>2</v>
      </c>
      <c r="P641" s="3">
        <v>2</v>
      </c>
      <c r="Q641" s="3">
        <v>5</v>
      </c>
      <c r="R641" s="3">
        <v>0</v>
      </c>
      <c r="T641">
        <f>SUM(Table1[[#This Row],[DTP Received]:[LPO/ LOA/ SOA Issue Date]])</f>
        <v>39</v>
      </c>
    </row>
    <row r="642" spans="2:20" x14ac:dyDescent="0.25">
      <c r="B642" t="s">
        <v>1204</v>
      </c>
      <c r="C642" t="s">
        <v>1205</v>
      </c>
      <c r="D642" s="3">
        <v>2</v>
      </c>
      <c r="E642" s="3">
        <v>1</v>
      </c>
      <c r="F642" s="3">
        <v>0</v>
      </c>
      <c r="G642" s="3">
        <v>5</v>
      </c>
      <c r="H642" s="3">
        <v>5</v>
      </c>
      <c r="I642" s="3">
        <v>1</v>
      </c>
      <c r="J642" s="3">
        <v>3</v>
      </c>
      <c r="K642" s="3">
        <v>2</v>
      </c>
      <c r="L642" s="3">
        <v>7</v>
      </c>
      <c r="M642" s="3">
        <v>3</v>
      </c>
      <c r="N642" s="3">
        <v>1</v>
      </c>
      <c r="O642" s="3">
        <v>2</v>
      </c>
      <c r="P642" s="3">
        <v>2</v>
      </c>
      <c r="Q642" s="3">
        <v>5</v>
      </c>
      <c r="R642" s="3">
        <v>0</v>
      </c>
      <c r="T642">
        <f>SUM(Table1[[#This Row],[DTP Received]:[LPO/ LOA/ SOA Issue Date]])</f>
        <v>39</v>
      </c>
    </row>
    <row r="643" spans="2:20" x14ac:dyDescent="0.25">
      <c r="B643" t="s">
        <v>1206</v>
      </c>
      <c r="C643" t="s">
        <v>1207</v>
      </c>
      <c r="D643" s="3">
        <v>2</v>
      </c>
      <c r="E643" s="3">
        <v>1</v>
      </c>
      <c r="F643" s="3">
        <v>0</v>
      </c>
      <c r="G643" s="3">
        <v>5</v>
      </c>
      <c r="H643" s="3">
        <v>5</v>
      </c>
      <c r="I643" s="3">
        <v>1</v>
      </c>
      <c r="J643" s="3">
        <v>3</v>
      </c>
      <c r="K643" s="3">
        <v>2</v>
      </c>
      <c r="L643" s="3">
        <v>7</v>
      </c>
      <c r="M643" s="3">
        <v>3</v>
      </c>
      <c r="N643" s="3">
        <v>1</v>
      </c>
      <c r="O643" s="3">
        <v>2</v>
      </c>
      <c r="P643" s="3">
        <v>2</v>
      </c>
      <c r="Q643" s="3">
        <v>5</v>
      </c>
      <c r="R643" s="3">
        <v>0</v>
      </c>
      <c r="T643">
        <f>SUM(Table1[[#This Row],[DTP Received]:[LPO/ LOA/ SOA Issue Date]])</f>
        <v>39</v>
      </c>
    </row>
    <row r="644" spans="2:20" x14ac:dyDescent="0.25">
      <c r="B644" t="s">
        <v>1208</v>
      </c>
      <c r="C644" t="s">
        <v>1209</v>
      </c>
      <c r="D644" s="3">
        <v>2</v>
      </c>
      <c r="E644" s="3">
        <v>1</v>
      </c>
      <c r="F644" s="3">
        <v>0</v>
      </c>
      <c r="G644" s="3">
        <v>5</v>
      </c>
      <c r="H644" s="3">
        <v>5</v>
      </c>
      <c r="I644" s="3">
        <v>1</v>
      </c>
      <c r="J644" s="3">
        <v>3</v>
      </c>
      <c r="K644" s="3">
        <v>2</v>
      </c>
      <c r="L644" s="3">
        <v>7</v>
      </c>
      <c r="M644" s="3">
        <v>3</v>
      </c>
      <c r="N644" s="3">
        <v>1</v>
      </c>
      <c r="O644" s="3">
        <v>2</v>
      </c>
      <c r="P644" s="3">
        <v>2</v>
      </c>
      <c r="Q644" s="3">
        <v>5</v>
      </c>
      <c r="R644" s="3">
        <v>0</v>
      </c>
      <c r="T644">
        <f>SUM(Table1[[#This Row],[DTP Received]:[LPO/ LOA/ SOA Issue Date]])</f>
        <v>39</v>
      </c>
    </row>
    <row r="645" spans="2:20" x14ac:dyDescent="0.25">
      <c r="B645" t="s">
        <v>1210</v>
      </c>
      <c r="C645" t="s">
        <v>1211</v>
      </c>
      <c r="D645" s="3">
        <v>2</v>
      </c>
      <c r="E645" s="3">
        <v>1</v>
      </c>
      <c r="F645" s="3">
        <v>0</v>
      </c>
      <c r="G645" s="3">
        <v>5</v>
      </c>
      <c r="H645" s="3">
        <v>5</v>
      </c>
      <c r="I645" s="3">
        <v>1</v>
      </c>
      <c r="J645" s="3">
        <v>3</v>
      </c>
      <c r="K645" s="3">
        <v>2</v>
      </c>
      <c r="L645" s="3">
        <v>7</v>
      </c>
      <c r="M645" s="3">
        <v>3</v>
      </c>
      <c r="N645" s="3">
        <v>1</v>
      </c>
      <c r="O645" s="3">
        <v>2</v>
      </c>
      <c r="P645" s="3">
        <v>2</v>
      </c>
      <c r="Q645" s="3">
        <v>5</v>
      </c>
      <c r="R645" s="3">
        <v>0</v>
      </c>
      <c r="T645">
        <f>SUM(Table1[[#This Row],[DTP Received]:[LPO/ LOA/ SOA Issue Date]])</f>
        <v>39</v>
      </c>
    </row>
    <row r="646" spans="2:20" x14ac:dyDescent="0.25">
      <c r="B646" t="s">
        <v>1212</v>
      </c>
      <c r="C646" t="s">
        <v>1213</v>
      </c>
      <c r="D646" s="3">
        <v>2</v>
      </c>
      <c r="E646" s="3">
        <v>1</v>
      </c>
      <c r="F646" s="3">
        <v>0</v>
      </c>
      <c r="G646" s="3">
        <v>5</v>
      </c>
      <c r="H646" s="3">
        <v>5</v>
      </c>
      <c r="I646" s="3">
        <v>1</v>
      </c>
      <c r="J646" s="3">
        <v>3</v>
      </c>
      <c r="K646" s="3">
        <v>2</v>
      </c>
      <c r="L646" s="3">
        <v>7</v>
      </c>
      <c r="M646" s="3">
        <v>3</v>
      </c>
      <c r="N646" s="3">
        <v>1</v>
      </c>
      <c r="O646" s="3">
        <v>2</v>
      </c>
      <c r="P646" s="3">
        <v>2</v>
      </c>
      <c r="Q646" s="3">
        <v>5</v>
      </c>
      <c r="R646" s="3">
        <v>0</v>
      </c>
      <c r="T646">
        <f>SUM(Table1[[#This Row],[DTP Received]:[LPO/ LOA/ SOA Issue Date]])</f>
        <v>39</v>
      </c>
    </row>
    <row r="647" spans="2:20" x14ac:dyDescent="0.25">
      <c r="B647" t="s">
        <v>1214</v>
      </c>
      <c r="C647" t="s">
        <v>1215</v>
      </c>
      <c r="D647" s="3">
        <v>2</v>
      </c>
      <c r="E647" s="3">
        <v>1</v>
      </c>
      <c r="F647" s="3">
        <v>0</v>
      </c>
      <c r="G647" s="3">
        <v>5</v>
      </c>
      <c r="H647" s="3">
        <v>5</v>
      </c>
      <c r="I647" s="3">
        <v>1</v>
      </c>
      <c r="J647" s="3">
        <v>3</v>
      </c>
      <c r="K647" s="3">
        <v>2</v>
      </c>
      <c r="L647" s="3">
        <v>7</v>
      </c>
      <c r="M647" s="3">
        <v>3</v>
      </c>
      <c r="N647" s="3">
        <v>1</v>
      </c>
      <c r="O647" s="3">
        <v>2</v>
      </c>
      <c r="P647" s="3">
        <v>2</v>
      </c>
      <c r="Q647" s="3">
        <v>5</v>
      </c>
      <c r="R647" s="3">
        <v>0</v>
      </c>
      <c r="T647">
        <f>SUM(Table1[[#This Row],[DTP Received]:[LPO/ LOA/ SOA Issue Date]])</f>
        <v>39</v>
      </c>
    </row>
    <row r="648" spans="2:20" x14ac:dyDescent="0.25">
      <c r="B648" t="s">
        <v>1216</v>
      </c>
      <c r="C648" t="s">
        <v>1217</v>
      </c>
      <c r="D648" s="3">
        <v>2</v>
      </c>
      <c r="E648" s="3">
        <v>1</v>
      </c>
      <c r="F648" s="3">
        <v>0</v>
      </c>
      <c r="G648" s="3">
        <v>5</v>
      </c>
      <c r="H648" s="3">
        <v>5</v>
      </c>
      <c r="I648" s="3">
        <v>1</v>
      </c>
      <c r="J648" s="3">
        <v>3</v>
      </c>
      <c r="K648" s="3">
        <v>2</v>
      </c>
      <c r="L648" s="3">
        <v>7</v>
      </c>
      <c r="M648" s="3">
        <v>3</v>
      </c>
      <c r="N648" s="3">
        <v>1</v>
      </c>
      <c r="O648" s="3">
        <v>2</v>
      </c>
      <c r="P648" s="3">
        <v>2</v>
      </c>
      <c r="Q648" s="3">
        <v>5</v>
      </c>
      <c r="R648" s="3">
        <v>0</v>
      </c>
      <c r="T648">
        <f>SUM(Table1[[#This Row],[DTP Received]:[LPO/ LOA/ SOA Issue Date]])</f>
        <v>39</v>
      </c>
    </row>
    <row r="649" spans="2:20" x14ac:dyDescent="0.25">
      <c r="B649" t="s">
        <v>1218</v>
      </c>
      <c r="C649" t="s">
        <v>1219</v>
      </c>
      <c r="D649" s="3">
        <v>2</v>
      </c>
      <c r="E649" s="3">
        <v>1</v>
      </c>
      <c r="F649" s="3">
        <v>0</v>
      </c>
      <c r="G649" s="3">
        <v>5</v>
      </c>
      <c r="H649" s="3">
        <v>5</v>
      </c>
      <c r="I649" s="3">
        <v>1</v>
      </c>
      <c r="J649" s="3">
        <v>3</v>
      </c>
      <c r="K649" s="3">
        <v>2</v>
      </c>
      <c r="L649" s="3">
        <v>7</v>
      </c>
      <c r="M649" s="3">
        <v>3</v>
      </c>
      <c r="N649" s="3">
        <v>1</v>
      </c>
      <c r="O649" s="3">
        <v>2</v>
      </c>
      <c r="P649" s="3">
        <v>2</v>
      </c>
      <c r="Q649" s="3">
        <v>5</v>
      </c>
      <c r="R649" s="3">
        <v>0</v>
      </c>
      <c r="T649">
        <f>SUM(Table1[[#This Row],[DTP Received]:[LPO/ LOA/ SOA Issue Date]])</f>
        <v>39</v>
      </c>
    </row>
    <row r="650" spans="2:20" x14ac:dyDescent="0.25">
      <c r="B650" t="s">
        <v>1220</v>
      </c>
      <c r="C650" t="s">
        <v>1221</v>
      </c>
      <c r="D650" s="3">
        <v>2</v>
      </c>
      <c r="E650" s="3">
        <v>1</v>
      </c>
      <c r="F650" s="3">
        <v>0</v>
      </c>
      <c r="G650" s="3">
        <v>5</v>
      </c>
      <c r="H650" s="3">
        <v>5</v>
      </c>
      <c r="I650" s="3">
        <v>1</v>
      </c>
      <c r="J650" s="3">
        <v>3</v>
      </c>
      <c r="K650" s="3">
        <v>2</v>
      </c>
      <c r="L650" s="3">
        <v>7</v>
      </c>
      <c r="M650" s="3">
        <v>3</v>
      </c>
      <c r="N650" s="3">
        <v>1</v>
      </c>
      <c r="O650" s="3">
        <v>2</v>
      </c>
      <c r="P650" s="3">
        <v>2</v>
      </c>
      <c r="Q650" s="3">
        <v>5</v>
      </c>
      <c r="R650" s="3">
        <v>0</v>
      </c>
      <c r="T650">
        <f>SUM(Table1[[#This Row],[DTP Received]:[LPO/ LOA/ SOA Issue Date]])</f>
        <v>39</v>
      </c>
    </row>
    <row r="651" spans="2:20" x14ac:dyDescent="0.25">
      <c r="B651" t="s">
        <v>1222</v>
      </c>
      <c r="C651" t="s">
        <v>1223</v>
      </c>
      <c r="D651" s="3">
        <v>2</v>
      </c>
      <c r="E651" s="3">
        <v>1</v>
      </c>
      <c r="F651" s="3">
        <v>0</v>
      </c>
      <c r="G651" s="3">
        <v>5</v>
      </c>
      <c r="H651" s="3">
        <v>5</v>
      </c>
      <c r="I651" s="3">
        <v>1</v>
      </c>
      <c r="J651" s="3">
        <v>3</v>
      </c>
      <c r="K651" s="3">
        <v>2</v>
      </c>
      <c r="L651" s="3">
        <v>7</v>
      </c>
      <c r="M651" s="3">
        <v>3</v>
      </c>
      <c r="N651" s="3">
        <v>1</v>
      </c>
      <c r="O651" s="3">
        <v>2</v>
      </c>
      <c r="P651" s="3">
        <v>2</v>
      </c>
      <c r="Q651" s="3">
        <v>5</v>
      </c>
      <c r="R651" s="3">
        <v>0</v>
      </c>
      <c r="T651">
        <f>SUM(Table1[[#This Row],[DTP Received]:[LPO/ LOA/ SOA Issue Date]])</f>
        <v>39</v>
      </c>
    </row>
    <row r="652" spans="2:20" x14ac:dyDescent="0.25">
      <c r="B652" t="s">
        <v>1224</v>
      </c>
      <c r="C652" t="s">
        <v>1225</v>
      </c>
      <c r="D652" s="3">
        <v>2</v>
      </c>
      <c r="E652" s="3">
        <v>1</v>
      </c>
      <c r="F652" s="3">
        <v>0</v>
      </c>
      <c r="G652" s="3">
        <v>5</v>
      </c>
      <c r="H652" s="3">
        <v>5</v>
      </c>
      <c r="I652" s="3">
        <v>1</v>
      </c>
      <c r="J652" s="3">
        <v>3</v>
      </c>
      <c r="K652" s="3">
        <v>2</v>
      </c>
      <c r="L652" s="3">
        <v>7</v>
      </c>
      <c r="M652" s="3">
        <v>3</v>
      </c>
      <c r="N652" s="3">
        <v>1</v>
      </c>
      <c r="O652" s="3">
        <v>2</v>
      </c>
      <c r="P652" s="3">
        <v>2</v>
      </c>
      <c r="Q652" s="3">
        <v>5</v>
      </c>
      <c r="R652" s="3">
        <v>0</v>
      </c>
      <c r="T652">
        <f>SUM(Table1[[#This Row],[DTP Received]:[LPO/ LOA/ SOA Issue Date]])</f>
        <v>39</v>
      </c>
    </row>
    <row r="653" spans="2:20" x14ac:dyDescent="0.25">
      <c r="B653" t="s">
        <v>1226</v>
      </c>
      <c r="C653" t="s">
        <v>1227</v>
      </c>
      <c r="D653" s="3">
        <v>2</v>
      </c>
      <c r="E653" s="3">
        <v>1</v>
      </c>
      <c r="F653" s="3">
        <v>0</v>
      </c>
      <c r="G653" s="3">
        <v>5</v>
      </c>
      <c r="H653" s="3">
        <v>5</v>
      </c>
      <c r="I653" s="3">
        <v>1</v>
      </c>
      <c r="J653" s="3">
        <v>3</v>
      </c>
      <c r="K653" s="3">
        <v>2</v>
      </c>
      <c r="L653" s="3">
        <v>7</v>
      </c>
      <c r="M653" s="3">
        <v>3</v>
      </c>
      <c r="N653" s="3">
        <v>1</v>
      </c>
      <c r="O653" s="3">
        <v>2</v>
      </c>
      <c r="P653" s="3">
        <v>2</v>
      </c>
      <c r="Q653" s="3">
        <v>5</v>
      </c>
      <c r="R653" s="3">
        <v>0</v>
      </c>
      <c r="T653">
        <f>SUM(Table1[[#This Row],[DTP Received]:[LPO/ LOA/ SOA Issue Date]])</f>
        <v>39</v>
      </c>
    </row>
    <row r="654" spans="2:20" x14ac:dyDescent="0.25">
      <c r="B654" t="s">
        <v>1228</v>
      </c>
      <c r="C654" t="s">
        <v>1229</v>
      </c>
      <c r="D654" s="3">
        <v>2</v>
      </c>
      <c r="E654" s="3">
        <v>1</v>
      </c>
      <c r="F654" s="3">
        <v>0</v>
      </c>
      <c r="G654" s="3">
        <v>5</v>
      </c>
      <c r="H654" s="3">
        <v>5</v>
      </c>
      <c r="I654" s="3">
        <v>1</v>
      </c>
      <c r="J654" s="3">
        <v>3</v>
      </c>
      <c r="K654" s="3">
        <v>2</v>
      </c>
      <c r="L654" s="3">
        <v>7</v>
      </c>
      <c r="M654" s="3">
        <v>3</v>
      </c>
      <c r="N654" s="3">
        <v>1</v>
      </c>
      <c r="O654" s="3">
        <v>2</v>
      </c>
      <c r="P654" s="3">
        <v>2</v>
      </c>
      <c r="Q654" s="3">
        <v>5</v>
      </c>
      <c r="R654" s="3">
        <v>0</v>
      </c>
      <c r="T654">
        <f>SUM(Table1[[#This Row],[DTP Received]:[LPO/ LOA/ SOA Issue Date]])</f>
        <v>39</v>
      </c>
    </row>
    <row r="655" spans="2:20" x14ac:dyDescent="0.25">
      <c r="B655" t="s">
        <v>1230</v>
      </c>
      <c r="C655" t="s">
        <v>1231</v>
      </c>
      <c r="D655" s="3">
        <v>2</v>
      </c>
      <c r="E655" s="3">
        <v>1</v>
      </c>
      <c r="F655" s="3">
        <v>0</v>
      </c>
      <c r="G655" s="3">
        <v>5</v>
      </c>
      <c r="H655" s="3">
        <v>5</v>
      </c>
      <c r="I655" s="3">
        <v>1</v>
      </c>
      <c r="J655" s="3">
        <v>3</v>
      </c>
      <c r="K655" s="3">
        <v>2</v>
      </c>
      <c r="L655" s="3">
        <v>7</v>
      </c>
      <c r="M655" s="3">
        <v>3</v>
      </c>
      <c r="N655" s="3">
        <v>1</v>
      </c>
      <c r="O655" s="3">
        <v>2</v>
      </c>
      <c r="P655" s="3">
        <v>2</v>
      </c>
      <c r="Q655" s="3">
        <v>5</v>
      </c>
      <c r="R655" s="3">
        <v>0</v>
      </c>
      <c r="T655">
        <f>SUM(Table1[[#This Row],[DTP Received]:[LPO/ LOA/ SOA Issue Date]])</f>
        <v>39</v>
      </c>
    </row>
    <row r="656" spans="2:20" x14ac:dyDescent="0.25">
      <c r="B656" t="s">
        <v>1232</v>
      </c>
      <c r="C656" t="s">
        <v>1233</v>
      </c>
      <c r="D656" s="3">
        <v>2</v>
      </c>
      <c r="E656" s="3">
        <v>1</v>
      </c>
      <c r="F656" s="3">
        <v>0</v>
      </c>
      <c r="G656" s="3">
        <v>5</v>
      </c>
      <c r="H656" s="3">
        <v>5</v>
      </c>
      <c r="I656" s="3">
        <v>1</v>
      </c>
      <c r="J656" s="3">
        <v>3</v>
      </c>
      <c r="K656" s="3">
        <v>2</v>
      </c>
      <c r="L656" s="3">
        <v>7</v>
      </c>
      <c r="M656" s="3">
        <v>3</v>
      </c>
      <c r="N656" s="3">
        <v>1</v>
      </c>
      <c r="O656" s="3">
        <v>2</v>
      </c>
      <c r="P656" s="3">
        <v>2</v>
      </c>
      <c r="Q656" s="3">
        <v>5</v>
      </c>
      <c r="R656" s="3">
        <v>0</v>
      </c>
      <c r="T656">
        <f>SUM(Table1[[#This Row],[DTP Received]:[LPO/ LOA/ SOA Issue Date]])</f>
        <v>39</v>
      </c>
    </row>
    <row r="657" spans="2:20" x14ac:dyDescent="0.25">
      <c r="B657" t="s">
        <v>1234</v>
      </c>
      <c r="C657" t="s">
        <v>1235</v>
      </c>
      <c r="D657" s="3">
        <v>2</v>
      </c>
      <c r="E657" s="3">
        <v>1</v>
      </c>
      <c r="F657" s="3">
        <v>0</v>
      </c>
      <c r="G657" s="3">
        <v>5</v>
      </c>
      <c r="H657" s="3">
        <v>5</v>
      </c>
      <c r="I657" s="3">
        <v>1</v>
      </c>
      <c r="J657" s="3">
        <v>3</v>
      </c>
      <c r="K657" s="3">
        <v>2</v>
      </c>
      <c r="L657" s="3">
        <v>7</v>
      </c>
      <c r="M657" s="3">
        <v>3</v>
      </c>
      <c r="N657" s="3">
        <v>1</v>
      </c>
      <c r="O657" s="3">
        <v>2</v>
      </c>
      <c r="P657" s="3">
        <v>2</v>
      </c>
      <c r="Q657" s="3">
        <v>5</v>
      </c>
      <c r="R657" s="3">
        <v>0</v>
      </c>
      <c r="T657">
        <f>SUM(Table1[[#This Row],[DTP Received]:[LPO/ LOA/ SOA Issue Date]])</f>
        <v>39</v>
      </c>
    </row>
    <row r="658" spans="2:20" x14ac:dyDescent="0.25">
      <c r="B658" t="s">
        <v>1236</v>
      </c>
      <c r="C658" t="s">
        <v>1237</v>
      </c>
      <c r="D658" s="3">
        <v>2</v>
      </c>
      <c r="E658" s="3">
        <v>1</v>
      </c>
      <c r="F658" s="3">
        <v>0</v>
      </c>
      <c r="G658" s="3">
        <v>5</v>
      </c>
      <c r="H658" s="3">
        <v>5</v>
      </c>
      <c r="I658" s="3">
        <v>1</v>
      </c>
      <c r="J658" s="3">
        <v>3</v>
      </c>
      <c r="K658" s="3">
        <v>2</v>
      </c>
      <c r="L658" s="3">
        <v>7</v>
      </c>
      <c r="M658" s="3">
        <v>3</v>
      </c>
      <c r="N658" s="3">
        <v>1</v>
      </c>
      <c r="O658" s="3">
        <v>2</v>
      </c>
      <c r="P658" s="3">
        <v>2</v>
      </c>
      <c r="Q658" s="3">
        <v>5</v>
      </c>
      <c r="R658" s="3">
        <v>0</v>
      </c>
      <c r="T658">
        <f>SUM(Table1[[#This Row],[DTP Received]:[LPO/ LOA/ SOA Issue Date]])</f>
        <v>39</v>
      </c>
    </row>
    <row r="659" spans="2:20" x14ac:dyDescent="0.25">
      <c r="B659" t="s">
        <v>1238</v>
      </c>
      <c r="C659" t="s">
        <v>1239</v>
      </c>
      <c r="D659" s="3">
        <v>2</v>
      </c>
      <c r="E659" s="3">
        <v>1</v>
      </c>
      <c r="F659" s="3">
        <v>0</v>
      </c>
      <c r="G659" s="3">
        <v>5</v>
      </c>
      <c r="H659" s="3">
        <v>5</v>
      </c>
      <c r="I659" s="3">
        <v>1</v>
      </c>
      <c r="J659" s="3">
        <v>3</v>
      </c>
      <c r="K659" s="3">
        <v>2</v>
      </c>
      <c r="L659" s="3">
        <v>7</v>
      </c>
      <c r="M659" s="3">
        <v>3</v>
      </c>
      <c r="N659" s="3">
        <v>1</v>
      </c>
      <c r="O659" s="3">
        <v>2</v>
      </c>
      <c r="P659" s="3">
        <v>2</v>
      </c>
      <c r="Q659" s="3">
        <v>5</v>
      </c>
      <c r="R659" s="3">
        <v>0</v>
      </c>
      <c r="T659">
        <f>SUM(Table1[[#This Row],[DTP Received]:[LPO/ LOA/ SOA Issue Date]])</f>
        <v>39</v>
      </c>
    </row>
    <row r="660" spans="2:20" x14ac:dyDescent="0.25">
      <c r="B660" t="s">
        <v>1240</v>
      </c>
      <c r="C660" t="s">
        <v>1241</v>
      </c>
      <c r="D660" s="3">
        <v>2</v>
      </c>
      <c r="E660" s="3">
        <v>1</v>
      </c>
      <c r="F660" s="3">
        <v>0</v>
      </c>
      <c r="G660" s="3">
        <v>5</v>
      </c>
      <c r="H660" s="3">
        <v>5</v>
      </c>
      <c r="I660" s="3">
        <v>1</v>
      </c>
      <c r="J660" s="3">
        <v>3</v>
      </c>
      <c r="K660" s="3">
        <v>2</v>
      </c>
      <c r="L660" s="3">
        <v>7</v>
      </c>
      <c r="M660" s="3">
        <v>3</v>
      </c>
      <c r="N660" s="3">
        <v>1</v>
      </c>
      <c r="O660" s="3">
        <v>2</v>
      </c>
      <c r="P660" s="3">
        <v>2</v>
      </c>
      <c r="Q660" s="3">
        <v>5</v>
      </c>
      <c r="R660" s="3">
        <v>0</v>
      </c>
      <c r="T660">
        <f>SUM(Table1[[#This Row],[DTP Received]:[LPO/ LOA/ SOA Issue Date]])</f>
        <v>39</v>
      </c>
    </row>
    <row r="661" spans="2:20" x14ac:dyDescent="0.25">
      <c r="B661" t="s">
        <v>1242</v>
      </c>
      <c r="C661" t="s">
        <v>1243</v>
      </c>
      <c r="D661" s="3">
        <v>2</v>
      </c>
      <c r="E661" s="3">
        <v>1</v>
      </c>
      <c r="F661" s="3">
        <v>0</v>
      </c>
      <c r="G661" s="3">
        <v>5</v>
      </c>
      <c r="H661" s="3">
        <v>5</v>
      </c>
      <c r="I661" s="3">
        <v>1</v>
      </c>
      <c r="J661" s="3">
        <v>3</v>
      </c>
      <c r="K661" s="3">
        <v>2</v>
      </c>
      <c r="L661" s="3">
        <v>7</v>
      </c>
      <c r="M661" s="3">
        <v>3</v>
      </c>
      <c r="N661" s="3">
        <v>1</v>
      </c>
      <c r="O661" s="3">
        <v>2</v>
      </c>
      <c r="P661" s="3">
        <v>2</v>
      </c>
      <c r="Q661" s="3">
        <v>5</v>
      </c>
      <c r="R661" s="3">
        <v>0</v>
      </c>
      <c r="T661">
        <f>SUM(Table1[[#This Row],[DTP Received]:[LPO/ LOA/ SOA Issue Date]])</f>
        <v>39</v>
      </c>
    </row>
    <row r="662" spans="2:20" x14ac:dyDescent="0.25">
      <c r="B662" t="s">
        <v>1244</v>
      </c>
      <c r="C662" t="s">
        <v>1245</v>
      </c>
      <c r="D662" s="3">
        <v>2</v>
      </c>
      <c r="E662" s="3">
        <v>1</v>
      </c>
      <c r="F662" s="3">
        <v>0</v>
      </c>
      <c r="G662" s="3">
        <v>5</v>
      </c>
      <c r="H662" s="3">
        <v>5</v>
      </c>
      <c r="I662" s="3">
        <v>1</v>
      </c>
      <c r="J662" s="3">
        <v>3</v>
      </c>
      <c r="K662" s="3">
        <v>2</v>
      </c>
      <c r="L662" s="3">
        <v>7</v>
      </c>
      <c r="M662" s="3">
        <v>3</v>
      </c>
      <c r="N662" s="3">
        <v>1</v>
      </c>
      <c r="O662" s="3">
        <v>2</v>
      </c>
      <c r="P662" s="3">
        <v>2</v>
      </c>
      <c r="Q662" s="3">
        <v>5</v>
      </c>
      <c r="R662" s="3">
        <v>0</v>
      </c>
      <c r="T662">
        <f>SUM(Table1[[#This Row],[DTP Received]:[LPO/ LOA/ SOA Issue Date]])</f>
        <v>39</v>
      </c>
    </row>
    <row r="663" spans="2:20" x14ac:dyDescent="0.25">
      <c r="B663" t="s">
        <v>1246</v>
      </c>
      <c r="C663" t="s">
        <v>1247</v>
      </c>
      <c r="D663" s="3">
        <v>2</v>
      </c>
      <c r="E663" s="3">
        <v>1</v>
      </c>
      <c r="F663" s="3">
        <v>0</v>
      </c>
      <c r="G663" s="3">
        <v>5</v>
      </c>
      <c r="H663" s="3">
        <v>5</v>
      </c>
      <c r="I663" s="3">
        <v>1</v>
      </c>
      <c r="J663" s="3">
        <v>3</v>
      </c>
      <c r="K663" s="3">
        <v>2</v>
      </c>
      <c r="L663" s="3">
        <v>7</v>
      </c>
      <c r="M663" s="3">
        <v>3</v>
      </c>
      <c r="N663" s="3">
        <v>1</v>
      </c>
      <c r="O663" s="3">
        <v>2</v>
      </c>
      <c r="P663" s="3">
        <v>2</v>
      </c>
      <c r="Q663" s="3">
        <v>5</v>
      </c>
      <c r="R663" s="3">
        <v>0</v>
      </c>
      <c r="T663">
        <f>SUM(Table1[[#This Row],[DTP Received]:[LPO/ LOA/ SOA Issue Date]])</f>
        <v>39</v>
      </c>
    </row>
    <row r="664" spans="2:20" x14ac:dyDescent="0.25">
      <c r="B664" t="s">
        <v>1248</v>
      </c>
      <c r="C664" t="s">
        <v>1249</v>
      </c>
      <c r="D664" s="3">
        <v>2</v>
      </c>
      <c r="E664" s="3">
        <v>1</v>
      </c>
      <c r="F664" s="3">
        <v>0</v>
      </c>
      <c r="G664" s="3">
        <v>5</v>
      </c>
      <c r="H664" s="3">
        <v>5</v>
      </c>
      <c r="I664" s="3">
        <v>1</v>
      </c>
      <c r="J664" s="3">
        <v>3</v>
      </c>
      <c r="K664" s="3">
        <v>2</v>
      </c>
      <c r="L664" s="3">
        <v>7</v>
      </c>
      <c r="M664" s="3">
        <v>3</v>
      </c>
      <c r="N664" s="3">
        <v>1</v>
      </c>
      <c r="O664" s="3">
        <v>2</v>
      </c>
      <c r="P664" s="3">
        <v>2</v>
      </c>
      <c r="Q664" s="3">
        <v>5</v>
      </c>
      <c r="R664" s="3">
        <v>0</v>
      </c>
      <c r="T664">
        <f>SUM(Table1[[#This Row],[DTP Received]:[LPO/ LOA/ SOA Issue Date]])</f>
        <v>39</v>
      </c>
    </row>
    <row r="665" spans="2:20" x14ac:dyDescent="0.25">
      <c r="B665" t="s">
        <v>1250</v>
      </c>
      <c r="C665" t="s">
        <v>1251</v>
      </c>
      <c r="D665" s="3">
        <v>2</v>
      </c>
      <c r="E665" s="3">
        <v>1</v>
      </c>
      <c r="F665" s="3">
        <v>0</v>
      </c>
      <c r="G665" s="3">
        <v>5</v>
      </c>
      <c r="H665" s="3">
        <v>5</v>
      </c>
      <c r="I665" s="3">
        <v>1</v>
      </c>
      <c r="J665" s="3">
        <v>3</v>
      </c>
      <c r="K665" s="3">
        <v>2</v>
      </c>
      <c r="L665" s="3">
        <v>7</v>
      </c>
      <c r="M665" s="3">
        <v>3</v>
      </c>
      <c r="N665" s="3">
        <v>1</v>
      </c>
      <c r="O665" s="3">
        <v>2</v>
      </c>
      <c r="P665" s="3">
        <v>2</v>
      </c>
      <c r="Q665" s="3">
        <v>5</v>
      </c>
      <c r="R665" s="3">
        <v>0</v>
      </c>
      <c r="T665">
        <f>SUM(Table1[[#This Row],[DTP Received]:[LPO/ LOA/ SOA Issue Date]])</f>
        <v>39</v>
      </c>
    </row>
    <row r="666" spans="2:20" x14ac:dyDescent="0.25">
      <c r="B666" t="s">
        <v>1252</v>
      </c>
      <c r="C666" t="s">
        <v>1253</v>
      </c>
      <c r="D666" s="3">
        <v>2</v>
      </c>
      <c r="E666" s="3">
        <v>1</v>
      </c>
      <c r="F666" s="3">
        <v>0</v>
      </c>
      <c r="G666" s="3">
        <v>5</v>
      </c>
      <c r="H666" s="3">
        <v>5</v>
      </c>
      <c r="I666" s="3">
        <v>1</v>
      </c>
      <c r="J666" s="3">
        <v>3</v>
      </c>
      <c r="K666" s="3">
        <v>2</v>
      </c>
      <c r="L666" s="3">
        <v>7</v>
      </c>
      <c r="M666" s="3">
        <v>3</v>
      </c>
      <c r="N666" s="3">
        <v>1</v>
      </c>
      <c r="O666" s="3">
        <v>2</v>
      </c>
      <c r="P666" s="3">
        <v>2</v>
      </c>
      <c r="Q666" s="3">
        <v>5</v>
      </c>
      <c r="R666" s="3">
        <v>0</v>
      </c>
      <c r="T666">
        <f>SUM(Table1[[#This Row],[DTP Received]:[LPO/ LOA/ SOA Issue Date]])</f>
        <v>39</v>
      </c>
    </row>
    <row r="667" spans="2:20" x14ac:dyDescent="0.25">
      <c r="B667" t="s">
        <v>1254</v>
      </c>
      <c r="C667" t="s">
        <v>1255</v>
      </c>
      <c r="D667" s="3">
        <v>2</v>
      </c>
      <c r="E667" s="3">
        <v>1</v>
      </c>
      <c r="F667" s="3">
        <v>0</v>
      </c>
      <c r="G667" s="3">
        <v>5</v>
      </c>
      <c r="H667" s="3">
        <v>5</v>
      </c>
      <c r="I667" s="3">
        <v>1</v>
      </c>
      <c r="J667" s="3">
        <v>3</v>
      </c>
      <c r="K667" s="3">
        <v>2</v>
      </c>
      <c r="L667" s="3">
        <v>7</v>
      </c>
      <c r="M667" s="3">
        <v>3</v>
      </c>
      <c r="N667" s="3">
        <v>1</v>
      </c>
      <c r="O667" s="3">
        <v>2</v>
      </c>
      <c r="P667" s="3">
        <v>2</v>
      </c>
      <c r="Q667" s="3">
        <v>5</v>
      </c>
      <c r="R667" s="3">
        <v>0</v>
      </c>
      <c r="T667">
        <f>SUM(Table1[[#This Row],[DTP Received]:[LPO/ LOA/ SOA Issue Date]])</f>
        <v>39</v>
      </c>
    </row>
    <row r="668" spans="2:20" x14ac:dyDescent="0.25">
      <c r="B668" t="s">
        <v>1256</v>
      </c>
      <c r="C668" t="s">
        <v>1257</v>
      </c>
      <c r="D668" s="3">
        <v>2</v>
      </c>
      <c r="E668" s="3">
        <v>1</v>
      </c>
      <c r="F668" s="3">
        <v>0</v>
      </c>
      <c r="G668" s="3">
        <v>5</v>
      </c>
      <c r="H668" s="3">
        <v>5</v>
      </c>
      <c r="I668" s="3">
        <v>1</v>
      </c>
      <c r="J668" s="3">
        <v>3</v>
      </c>
      <c r="K668" s="3">
        <v>2</v>
      </c>
      <c r="L668" s="3">
        <v>7</v>
      </c>
      <c r="M668" s="3">
        <v>3</v>
      </c>
      <c r="N668" s="3">
        <v>1</v>
      </c>
      <c r="O668" s="3">
        <v>2</v>
      </c>
      <c r="P668" s="3">
        <v>2</v>
      </c>
      <c r="Q668" s="3">
        <v>5</v>
      </c>
      <c r="R668" s="3">
        <v>0</v>
      </c>
      <c r="T668">
        <f>SUM(Table1[[#This Row],[DTP Received]:[LPO/ LOA/ SOA Issue Date]])</f>
        <v>39</v>
      </c>
    </row>
    <row r="669" spans="2:20" x14ac:dyDescent="0.25">
      <c r="B669" t="s">
        <v>1258</v>
      </c>
      <c r="C669" t="s">
        <v>1259</v>
      </c>
      <c r="D669" s="3">
        <v>2</v>
      </c>
      <c r="E669" s="3">
        <v>1</v>
      </c>
      <c r="F669" s="3">
        <v>0</v>
      </c>
      <c r="G669" s="3">
        <v>5</v>
      </c>
      <c r="H669" s="3">
        <v>5</v>
      </c>
      <c r="I669" s="3">
        <v>1</v>
      </c>
      <c r="J669" s="3">
        <v>3</v>
      </c>
      <c r="K669" s="3">
        <v>2</v>
      </c>
      <c r="L669" s="3">
        <v>7</v>
      </c>
      <c r="M669" s="3">
        <v>3</v>
      </c>
      <c r="N669" s="3">
        <v>1</v>
      </c>
      <c r="O669" s="3">
        <v>2</v>
      </c>
      <c r="P669" s="3">
        <v>2</v>
      </c>
      <c r="Q669" s="3">
        <v>5</v>
      </c>
      <c r="R669" s="3">
        <v>0</v>
      </c>
      <c r="T669">
        <f>SUM(Table1[[#This Row],[DTP Received]:[LPO/ LOA/ SOA Issue Date]])</f>
        <v>39</v>
      </c>
    </row>
    <row r="670" spans="2:20" x14ac:dyDescent="0.25">
      <c r="B670" t="s">
        <v>1260</v>
      </c>
      <c r="C670" t="s">
        <v>1261</v>
      </c>
      <c r="D670" s="3">
        <v>2</v>
      </c>
      <c r="E670" s="3">
        <v>1</v>
      </c>
      <c r="F670" s="3">
        <v>0</v>
      </c>
      <c r="G670" s="3">
        <v>5</v>
      </c>
      <c r="H670" s="3">
        <v>5</v>
      </c>
      <c r="I670" s="3">
        <v>1</v>
      </c>
      <c r="J670" s="3">
        <v>3</v>
      </c>
      <c r="K670" s="3">
        <v>2</v>
      </c>
      <c r="L670" s="3">
        <v>7</v>
      </c>
      <c r="M670" s="3">
        <v>3</v>
      </c>
      <c r="N670" s="3">
        <v>1</v>
      </c>
      <c r="O670" s="3">
        <v>2</v>
      </c>
      <c r="P670" s="3">
        <v>2</v>
      </c>
      <c r="Q670" s="3">
        <v>5</v>
      </c>
      <c r="R670" s="3">
        <v>0</v>
      </c>
      <c r="T670">
        <f>SUM(Table1[[#This Row],[DTP Received]:[LPO/ LOA/ SOA Issue Date]])</f>
        <v>39</v>
      </c>
    </row>
    <row r="671" spans="2:20" x14ac:dyDescent="0.25">
      <c r="B671" t="s">
        <v>1262</v>
      </c>
      <c r="C671" t="s">
        <v>1263</v>
      </c>
      <c r="D671" s="3">
        <v>2</v>
      </c>
      <c r="E671" s="3">
        <v>1</v>
      </c>
      <c r="F671" s="3">
        <v>0</v>
      </c>
      <c r="G671" s="3">
        <v>5</v>
      </c>
      <c r="H671" s="3">
        <v>5</v>
      </c>
      <c r="I671" s="3">
        <v>1</v>
      </c>
      <c r="J671" s="3">
        <v>3</v>
      </c>
      <c r="K671" s="3">
        <v>2</v>
      </c>
      <c r="L671" s="3">
        <v>7</v>
      </c>
      <c r="M671" s="3">
        <v>3</v>
      </c>
      <c r="N671" s="3">
        <v>1</v>
      </c>
      <c r="O671" s="3">
        <v>2</v>
      </c>
      <c r="P671" s="3">
        <v>2</v>
      </c>
      <c r="Q671" s="3">
        <v>5</v>
      </c>
      <c r="R671" s="3">
        <v>0</v>
      </c>
      <c r="T671">
        <f>SUM(Table1[[#This Row],[DTP Received]:[LPO/ LOA/ SOA Issue Date]])</f>
        <v>39</v>
      </c>
    </row>
    <row r="672" spans="2:20" x14ac:dyDescent="0.25">
      <c r="B672" t="s">
        <v>1264</v>
      </c>
      <c r="C672" t="s">
        <v>1265</v>
      </c>
      <c r="D672" s="3">
        <v>2</v>
      </c>
      <c r="E672" s="3">
        <v>1</v>
      </c>
      <c r="F672" s="3">
        <v>0</v>
      </c>
      <c r="G672" s="3">
        <v>5</v>
      </c>
      <c r="H672" s="3">
        <v>5</v>
      </c>
      <c r="I672" s="3">
        <v>1</v>
      </c>
      <c r="J672" s="3">
        <v>3</v>
      </c>
      <c r="K672" s="3">
        <v>2</v>
      </c>
      <c r="L672" s="3">
        <v>7</v>
      </c>
      <c r="M672" s="3">
        <v>3</v>
      </c>
      <c r="N672" s="3">
        <v>1</v>
      </c>
      <c r="O672" s="3">
        <v>2</v>
      </c>
      <c r="P672" s="3">
        <v>2</v>
      </c>
      <c r="Q672" s="3">
        <v>5</v>
      </c>
      <c r="R672" s="3">
        <v>0</v>
      </c>
      <c r="T672">
        <f>SUM(Table1[[#This Row],[DTP Received]:[LPO/ LOA/ SOA Issue Date]])</f>
        <v>39</v>
      </c>
    </row>
    <row r="673" spans="2:20" x14ac:dyDescent="0.25">
      <c r="B673" t="s">
        <v>1266</v>
      </c>
      <c r="C673" t="s">
        <v>1267</v>
      </c>
      <c r="D673" s="3">
        <v>2</v>
      </c>
      <c r="E673" s="3">
        <v>1</v>
      </c>
      <c r="F673" s="3">
        <v>0</v>
      </c>
      <c r="G673" s="3">
        <v>5</v>
      </c>
      <c r="H673" s="3">
        <v>5</v>
      </c>
      <c r="I673" s="3">
        <v>1</v>
      </c>
      <c r="J673" s="3">
        <v>3</v>
      </c>
      <c r="K673" s="3">
        <v>2</v>
      </c>
      <c r="L673" s="3">
        <v>7</v>
      </c>
      <c r="M673" s="3">
        <v>3</v>
      </c>
      <c r="N673" s="3">
        <v>1</v>
      </c>
      <c r="O673" s="3">
        <v>2</v>
      </c>
      <c r="P673" s="3">
        <v>2</v>
      </c>
      <c r="Q673" s="3">
        <v>5</v>
      </c>
      <c r="R673" s="3">
        <v>0</v>
      </c>
      <c r="T673">
        <f>SUM(Table1[[#This Row],[DTP Received]:[LPO/ LOA/ SOA Issue Date]])</f>
        <v>39</v>
      </c>
    </row>
    <row r="674" spans="2:20" x14ac:dyDescent="0.25">
      <c r="B674" t="s">
        <v>1268</v>
      </c>
      <c r="C674" t="s">
        <v>1269</v>
      </c>
      <c r="D674" s="3">
        <v>2</v>
      </c>
      <c r="E674" s="3">
        <v>1</v>
      </c>
      <c r="F674" s="3">
        <v>0</v>
      </c>
      <c r="G674" s="3">
        <v>5</v>
      </c>
      <c r="H674" s="3">
        <v>5</v>
      </c>
      <c r="I674" s="3">
        <v>1</v>
      </c>
      <c r="J674" s="3">
        <v>3</v>
      </c>
      <c r="K674" s="3">
        <v>2</v>
      </c>
      <c r="L674" s="3">
        <v>7</v>
      </c>
      <c r="M674" s="3">
        <v>3</v>
      </c>
      <c r="N674" s="3">
        <v>1</v>
      </c>
      <c r="O674" s="3">
        <v>2</v>
      </c>
      <c r="P674" s="3">
        <v>2</v>
      </c>
      <c r="Q674" s="3">
        <v>5</v>
      </c>
      <c r="R674" s="3">
        <v>0</v>
      </c>
      <c r="T674">
        <f>SUM(Table1[[#This Row],[DTP Received]:[LPO/ LOA/ SOA Issue Date]])</f>
        <v>39</v>
      </c>
    </row>
    <row r="675" spans="2:20" x14ac:dyDescent="0.25">
      <c r="B675" t="s">
        <v>1270</v>
      </c>
      <c r="C675" t="s">
        <v>1271</v>
      </c>
      <c r="D675" s="3">
        <v>2</v>
      </c>
      <c r="E675" s="3">
        <v>1</v>
      </c>
      <c r="F675" s="3">
        <v>0</v>
      </c>
      <c r="G675" s="3">
        <v>5</v>
      </c>
      <c r="H675" s="3">
        <v>5</v>
      </c>
      <c r="I675" s="3">
        <v>1</v>
      </c>
      <c r="J675" s="3">
        <v>3</v>
      </c>
      <c r="K675" s="3">
        <v>2</v>
      </c>
      <c r="L675" s="3">
        <v>7</v>
      </c>
      <c r="M675" s="3">
        <v>3</v>
      </c>
      <c r="N675" s="3">
        <v>1</v>
      </c>
      <c r="O675" s="3">
        <v>2</v>
      </c>
      <c r="P675" s="3">
        <v>2</v>
      </c>
      <c r="Q675" s="3">
        <v>5</v>
      </c>
      <c r="R675" s="3">
        <v>0</v>
      </c>
      <c r="T675">
        <f>SUM(Table1[[#This Row],[DTP Received]:[LPO/ LOA/ SOA Issue Date]])</f>
        <v>39</v>
      </c>
    </row>
    <row r="676" spans="2:20" x14ac:dyDescent="0.25">
      <c r="B676" t="s">
        <v>1272</v>
      </c>
      <c r="C676" t="s">
        <v>1273</v>
      </c>
      <c r="D676" s="3">
        <v>2</v>
      </c>
      <c r="E676" s="3">
        <v>1</v>
      </c>
      <c r="F676" s="3">
        <v>0</v>
      </c>
      <c r="G676" s="3">
        <v>5</v>
      </c>
      <c r="H676" s="3">
        <v>5</v>
      </c>
      <c r="I676" s="3">
        <v>1</v>
      </c>
      <c r="J676" s="3">
        <v>3</v>
      </c>
      <c r="K676" s="3">
        <v>2</v>
      </c>
      <c r="L676" s="3">
        <v>7</v>
      </c>
      <c r="M676" s="3">
        <v>3</v>
      </c>
      <c r="N676" s="3">
        <v>1</v>
      </c>
      <c r="O676" s="3">
        <v>2</v>
      </c>
      <c r="P676" s="3">
        <v>2</v>
      </c>
      <c r="Q676" s="3">
        <v>5</v>
      </c>
      <c r="R676" s="3">
        <v>0</v>
      </c>
      <c r="T676">
        <f>SUM(Table1[[#This Row],[DTP Received]:[LPO/ LOA/ SOA Issue Date]])</f>
        <v>39</v>
      </c>
    </row>
    <row r="677" spans="2:20" x14ac:dyDescent="0.25">
      <c r="B677" t="s">
        <v>1274</v>
      </c>
      <c r="C677" t="s">
        <v>1275</v>
      </c>
      <c r="D677" s="3">
        <v>2</v>
      </c>
      <c r="E677" s="3">
        <v>1</v>
      </c>
      <c r="F677" s="3">
        <v>0</v>
      </c>
      <c r="G677" s="3">
        <v>5</v>
      </c>
      <c r="H677" s="3">
        <v>5</v>
      </c>
      <c r="I677" s="3">
        <v>1</v>
      </c>
      <c r="J677" s="3">
        <v>3</v>
      </c>
      <c r="K677" s="3">
        <v>2</v>
      </c>
      <c r="L677" s="3">
        <v>7</v>
      </c>
      <c r="M677" s="3">
        <v>3</v>
      </c>
      <c r="N677" s="3">
        <v>1</v>
      </c>
      <c r="O677" s="3">
        <v>2</v>
      </c>
      <c r="P677" s="3">
        <v>2</v>
      </c>
      <c r="Q677" s="3">
        <v>5</v>
      </c>
      <c r="R677" s="3">
        <v>0</v>
      </c>
      <c r="T677">
        <f>SUM(Table1[[#This Row],[DTP Received]:[LPO/ LOA/ SOA Issue Date]])</f>
        <v>39</v>
      </c>
    </row>
    <row r="678" spans="2:20" x14ac:dyDescent="0.25">
      <c r="B678" t="s">
        <v>1276</v>
      </c>
      <c r="C678" t="s">
        <v>1277</v>
      </c>
      <c r="D678" s="3">
        <v>2</v>
      </c>
      <c r="E678" s="3">
        <v>1</v>
      </c>
      <c r="F678" s="3">
        <v>0</v>
      </c>
      <c r="G678" s="3">
        <v>5</v>
      </c>
      <c r="H678" s="3">
        <v>5</v>
      </c>
      <c r="I678" s="3">
        <v>1</v>
      </c>
      <c r="J678" s="3">
        <v>3</v>
      </c>
      <c r="K678" s="3">
        <v>2</v>
      </c>
      <c r="L678" s="3">
        <v>7</v>
      </c>
      <c r="M678" s="3">
        <v>3</v>
      </c>
      <c r="N678" s="3">
        <v>1</v>
      </c>
      <c r="O678" s="3">
        <v>2</v>
      </c>
      <c r="P678" s="3">
        <v>2</v>
      </c>
      <c r="Q678" s="3">
        <v>5</v>
      </c>
      <c r="R678" s="3">
        <v>0</v>
      </c>
      <c r="T678">
        <f>SUM(Table1[[#This Row],[DTP Received]:[LPO/ LOA/ SOA Issue Date]])</f>
        <v>39</v>
      </c>
    </row>
    <row r="679" spans="2:20" x14ac:dyDescent="0.25">
      <c r="B679" t="s">
        <v>1278</v>
      </c>
      <c r="C679" t="s">
        <v>1279</v>
      </c>
      <c r="D679" s="3">
        <v>2</v>
      </c>
      <c r="E679" s="3">
        <v>1</v>
      </c>
      <c r="F679" s="3">
        <v>0</v>
      </c>
      <c r="G679" s="3">
        <v>5</v>
      </c>
      <c r="H679" s="3">
        <v>5</v>
      </c>
      <c r="I679" s="3">
        <v>1</v>
      </c>
      <c r="J679" s="3">
        <v>3</v>
      </c>
      <c r="K679" s="3">
        <v>2</v>
      </c>
      <c r="L679" s="3">
        <v>7</v>
      </c>
      <c r="M679" s="3">
        <v>3</v>
      </c>
      <c r="N679" s="3">
        <v>1</v>
      </c>
      <c r="O679" s="3">
        <v>2</v>
      </c>
      <c r="P679" s="3">
        <v>2</v>
      </c>
      <c r="Q679" s="3">
        <v>5</v>
      </c>
      <c r="R679" s="3">
        <v>0</v>
      </c>
      <c r="T679">
        <f>SUM(Table1[[#This Row],[DTP Received]:[LPO/ LOA/ SOA Issue Date]])</f>
        <v>39</v>
      </c>
    </row>
    <row r="680" spans="2:20" x14ac:dyDescent="0.25">
      <c r="B680" t="s">
        <v>1280</v>
      </c>
      <c r="C680" t="s">
        <v>1281</v>
      </c>
      <c r="D680" s="3">
        <v>2</v>
      </c>
      <c r="E680" s="3">
        <v>1</v>
      </c>
      <c r="F680" s="3">
        <v>0</v>
      </c>
      <c r="G680" s="3">
        <v>5</v>
      </c>
      <c r="H680" s="3">
        <v>5</v>
      </c>
      <c r="I680" s="3">
        <v>1</v>
      </c>
      <c r="J680" s="3">
        <v>3</v>
      </c>
      <c r="K680" s="3">
        <v>2</v>
      </c>
      <c r="L680" s="3">
        <v>7</v>
      </c>
      <c r="M680" s="3">
        <v>3</v>
      </c>
      <c r="N680" s="3">
        <v>1</v>
      </c>
      <c r="O680" s="3">
        <v>2</v>
      </c>
      <c r="P680" s="3">
        <v>2</v>
      </c>
      <c r="Q680" s="3">
        <v>5</v>
      </c>
      <c r="R680" s="3">
        <v>0</v>
      </c>
      <c r="T680">
        <f>SUM(Table1[[#This Row],[DTP Received]:[LPO/ LOA/ SOA Issue Date]])</f>
        <v>39</v>
      </c>
    </row>
    <row r="681" spans="2:20" x14ac:dyDescent="0.25">
      <c r="B681" t="s">
        <v>1282</v>
      </c>
      <c r="C681" t="s">
        <v>1283</v>
      </c>
      <c r="D681" s="3">
        <v>2</v>
      </c>
      <c r="E681" s="3">
        <v>1</v>
      </c>
      <c r="F681" s="3">
        <v>0</v>
      </c>
      <c r="G681" s="3">
        <v>5</v>
      </c>
      <c r="H681" s="3">
        <v>5</v>
      </c>
      <c r="I681" s="3">
        <v>1</v>
      </c>
      <c r="J681" s="3">
        <v>3</v>
      </c>
      <c r="K681" s="3">
        <v>2</v>
      </c>
      <c r="L681" s="3">
        <v>7</v>
      </c>
      <c r="M681" s="3">
        <v>3</v>
      </c>
      <c r="N681" s="3">
        <v>1</v>
      </c>
      <c r="O681" s="3">
        <v>2</v>
      </c>
      <c r="P681" s="3">
        <v>2</v>
      </c>
      <c r="Q681" s="3">
        <v>5</v>
      </c>
      <c r="R681" s="3">
        <v>0</v>
      </c>
      <c r="T681">
        <f>SUM(Table1[[#This Row],[DTP Received]:[LPO/ LOA/ SOA Issue Date]])</f>
        <v>39</v>
      </c>
    </row>
    <row r="682" spans="2:20" x14ac:dyDescent="0.25">
      <c r="B682" t="s">
        <v>1284</v>
      </c>
      <c r="C682" t="s">
        <v>1285</v>
      </c>
      <c r="D682" s="3">
        <v>2</v>
      </c>
      <c r="E682" s="3">
        <v>1</v>
      </c>
      <c r="F682" s="3">
        <v>0</v>
      </c>
      <c r="G682" s="3">
        <v>5</v>
      </c>
      <c r="H682" s="3">
        <v>5</v>
      </c>
      <c r="I682" s="3">
        <v>1</v>
      </c>
      <c r="J682" s="3">
        <v>3</v>
      </c>
      <c r="K682" s="3">
        <v>2</v>
      </c>
      <c r="L682" s="3">
        <v>7</v>
      </c>
      <c r="M682" s="3">
        <v>3</v>
      </c>
      <c r="N682" s="3">
        <v>1</v>
      </c>
      <c r="O682" s="3">
        <v>2</v>
      </c>
      <c r="P682" s="3">
        <v>2</v>
      </c>
      <c r="Q682" s="3">
        <v>5</v>
      </c>
      <c r="R682" s="3">
        <v>0</v>
      </c>
      <c r="T682">
        <f>SUM(Table1[[#This Row],[DTP Received]:[LPO/ LOA/ SOA Issue Date]])</f>
        <v>39</v>
      </c>
    </row>
    <row r="683" spans="2:20" x14ac:dyDescent="0.25">
      <c r="B683" t="s">
        <v>1286</v>
      </c>
      <c r="C683" t="s">
        <v>1287</v>
      </c>
      <c r="D683" s="3">
        <v>2</v>
      </c>
      <c r="E683" s="3">
        <v>1</v>
      </c>
      <c r="F683" s="3">
        <v>0</v>
      </c>
      <c r="G683" s="3">
        <v>5</v>
      </c>
      <c r="H683" s="3">
        <v>5</v>
      </c>
      <c r="I683" s="3">
        <v>1</v>
      </c>
      <c r="J683" s="3">
        <v>3</v>
      </c>
      <c r="K683" s="3">
        <v>2</v>
      </c>
      <c r="L683" s="3">
        <v>7</v>
      </c>
      <c r="M683" s="3">
        <v>3</v>
      </c>
      <c r="N683" s="3">
        <v>1</v>
      </c>
      <c r="O683" s="3">
        <v>2</v>
      </c>
      <c r="P683" s="3">
        <v>2</v>
      </c>
      <c r="Q683" s="3">
        <v>5</v>
      </c>
      <c r="R683" s="3">
        <v>0</v>
      </c>
      <c r="T683">
        <f>SUM(Table1[[#This Row],[DTP Received]:[LPO/ LOA/ SOA Issue Date]])</f>
        <v>39</v>
      </c>
    </row>
    <row r="684" spans="2:20" x14ac:dyDescent="0.25">
      <c r="B684" t="s">
        <v>1288</v>
      </c>
      <c r="C684" t="s">
        <v>1289</v>
      </c>
      <c r="D684" s="3">
        <v>2</v>
      </c>
      <c r="E684" s="3">
        <v>1</v>
      </c>
      <c r="F684" s="3">
        <v>0</v>
      </c>
      <c r="G684" s="3">
        <v>5</v>
      </c>
      <c r="H684" s="3">
        <v>5</v>
      </c>
      <c r="I684" s="3">
        <v>1</v>
      </c>
      <c r="J684" s="3">
        <v>3</v>
      </c>
      <c r="K684" s="3">
        <v>2</v>
      </c>
      <c r="L684" s="3">
        <v>7</v>
      </c>
      <c r="M684" s="3">
        <v>3</v>
      </c>
      <c r="N684" s="3">
        <v>1</v>
      </c>
      <c r="O684" s="3">
        <v>2</v>
      </c>
      <c r="P684" s="3">
        <v>2</v>
      </c>
      <c r="Q684" s="3">
        <v>5</v>
      </c>
      <c r="R684" s="3">
        <v>0</v>
      </c>
      <c r="T684">
        <f>SUM(Table1[[#This Row],[DTP Received]:[LPO/ LOA/ SOA Issue Date]])</f>
        <v>39</v>
      </c>
    </row>
    <row r="685" spans="2:20" x14ac:dyDescent="0.25">
      <c r="B685" t="s">
        <v>1290</v>
      </c>
      <c r="C685" t="s">
        <v>1291</v>
      </c>
      <c r="D685" s="3">
        <v>2</v>
      </c>
      <c r="E685" s="3">
        <v>1</v>
      </c>
      <c r="F685" s="3">
        <v>0</v>
      </c>
      <c r="G685" s="3">
        <v>5</v>
      </c>
      <c r="H685" s="3">
        <v>5</v>
      </c>
      <c r="I685" s="3">
        <v>1</v>
      </c>
      <c r="J685" s="3">
        <v>3</v>
      </c>
      <c r="K685" s="3">
        <v>2</v>
      </c>
      <c r="L685" s="3">
        <v>7</v>
      </c>
      <c r="M685" s="3">
        <v>3</v>
      </c>
      <c r="N685" s="3">
        <v>1</v>
      </c>
      <c r="O685" s="3">
        <v>2</v>
      </c>
      <c r="P685" s="3">
        <v>2</v>
      </c>
      <c r="Q685" s="3">
        <v>5</v>
      </c>
      <c r="R685" s="3">
        <v>0</v>
      </c>
      <c r="T685">
        <f>SUM(Table1[[#This Row],[DTP Received]:[LPO/ LOA/ SOA Issue Date]])</f>
        <v>39</v>
      </c>
    </row>
    <row r="686" spans="2:20" x14ac:dyDescent="0.25">
      <c r="B686" t="s">
        <v>1292</v>
      </c>
      <c r="C686" t="s">
        <v>1293</v>
      </c>
      <c r="D686" s="3">
        <v>2</v>
      </c>
      <c r="E686" s="3">
        <v>1</v>
      </c>
      <c r="F686" s="3">
        <v>0</v>
      </c>
      <c r="G686" s="3">
        <v>5</v>
      </c>
      <c r="H686" s="3">
        <v>5</v>
      </c>
      <c r="I686" s="3">
        <v>1</v>
      </c>
      <c r="J686" s="3">
        <v>3</v>
      </c>
      <c r="K686" s="3">
        <v>2</v>
      </c>
      <c r="L686" s="3">
        <v>7</v>
      </c>
      <c r="M686" s="3">
        <v>3</v>
      </c>
      <c r="N686" s="3">
        <v>1</v>
      </c>
      <c r="O686" s="3">
        <v>2</v>
      </c>
      <c r="P686" s="3">
        <v>2</v>
      </c>
      <c r="Q686" s="3">
        <v>5</v>
      </c>
      <c r="R686" s="3">
        <v>0</v>
      </c>
      <c r="T686">
        <f>SUM(Table1[[#This Row],[DTP Received]:[LPO/ LOA/ SOA Issue Date]])</f>
        <v>39</v>
      </c>
    </row>
    <row r="687" spans="2:20" x14ac:dyDescent="0.25">
      <c r="B687" t="s">
        <v>1294</v>
      </c>
      <c r="C687" t="s">
        <v>1295</v>
      </c>
      <c r="D687" s="3">
        <v>2</v>
      </c>
      <c r="E687" s="3">
        <v>1</v>
      </c>
      <c r="F687" s="3">
        <v>0</v>
      </c>
      <c r="G687" s="3">
        <v>5</v>
      </c>
      <c r="H687" s="3">
        <v>5</v>
      </c>
      <c r="I687" s="3">
        <v>1</v>
      </c>
      <c r="J687" s="3">
        <v>3</v>
      </c>
      <c r="K687" s="3">
        <v>2</v>
      </c>
      <c r="L687" s="3">
        <v>7</v>
      </c>
      <c r="M687" s="3">
        <v>3</v>
      </c>
      <c r="N687" s="3">
        <v>1</v>
      </c>
      <c r="O687" s="3">
        <v>2</v>
      </c>
      <c r="P687" s="3">
        <v>2</v>
      </c>
      <c r="Q687" s="3">
        <v>5</v>
      </c>
      <c r="R687" s="3">
        <v>0</v>
      </c>
      <c r="T687">
        <f>SUM(Table1[[#This Row],[DTP Received]:[LPO/ LOA/ SOA Issue Date]])</f>
        <v>39</v>
      </c>
    </row>
    <row r="688" spans="2:20" x14ac:dyDescent="0.25">
      <c r="B688" t="s">
        <v>1296</v>
      </c>
      <c r="C688" t="s">
        <v>1297</v>
      </c>
      <c r="D688" s="3">
        <v>2</v>
      </c>
      <c r="E688" s="3">
        <v>1</v>
      </c>
      <c r="F688" s="3">
        <v>0</v>
      </c>
      <c r="G688" s="3">
        <v>5</v>
      </c>
      <c r="H688" s="3">
        <v>5</v>
      </c>
      <c r="I688" s="3">
        <v>1</v>
      </c>
      <c r="J688" s="3">
        <v>3</v>
      </c>
      <c r="K688" s="3">
        <v>2</v>
      </c>
      <c r="L688" s="3">
        <v>7</v>
      </c>
      <c r="M688" s="3">
        <v>3</v>
      </c>
      <c r="N688" s="3">
        <v>1</v>
      </c>
      <c r="O688" s="3">
        <v>2</v>
      </c>
      <c r="P688" s="3">
        <v>2</v>
      </c>
      <c r="Q688" s="3">
        <v>5</v>
      </c>
      <c r="R688" s="3">
        <v>0</v>
      </c>
      <c r="T688">
        <f>SUM(Table1[[#This Row],[DTP Received]:[LPO/ LOA/ SOA Issue Date]])</f>
        <v>39</v>
      </c>
    </row>
    <row r="689" spans="2:20" x14ac:dyDescent="0.25">
      <c r="B689" t="s">
        <v>1298</v>
      </c>
      <c r="C689" t="s">
        <v>1299</v>
      </c>
      <c r="D689" s="3">
        <v>2</v>
      </c>
      <c r="E689" s="3">
        <v>1</v>
      </c>
      <c r="F689" s="3">
        <v>0</v>
      </c>
      <c r="G689" s="3">
        <v>5</v>
      </c>
      <c r="H689" s="3">
        <v>5</v>
      </c>
      <c r="I689" s="3">
        <v>1</v>
      </c>
      <c r="J689" s="3">
        <v>3</v>
      </c>
      <c r="K689" s="3">
        <v>2</v>
      </c>
      <c r="L689" s="3">
        <v>7</v>
      </c>
      <c r="M689" s="3">
        <v>3</v>
      </c>
      <c r="N689" s="3">
        <v>1</v>
      </c>
      <c r="O689" s="3">
        <v>2</v>
      </c>
      <c r="P689" s="3">
        <v>2</v>
      </c>
      <c r="Q689" s="3">
        <v>5</v>
      </c>
      <c r="R689" s="3">
        <v>0</v>
      </c>
      <c r="T689">
        <f>SUM(Table1[[#This Row],[DTP Received]:[LPO/ LOA/ SOA Issue Date]])</f>
        <v>39</v>
      </c>
    </row>
    <row r="690" spans="2:20" x14ac:dyDescent="0.25">
      <c r="B690" t="s">
        <v>1300</v>
      </c>
      <c r="C690" t="s">
        <v>1301</v>
      </c>
      <c r="D690" s="3">
        <v>2</v>
      </c>
      <c r="E690" s="3">
        <v>1</v>
      </c>
      <c r="F690" s="3">
        <v>0</v>
      </c>
      <c r="G690" s="3">
        <v>5</v>
      </c>
      <c r="H690" s="3">
        <v>5</v>
      </c>
      <c r="I690" s="3">
        <v>1</v>
      </c>
      <c r="J690" s="3">
        <v>3</v>
      </c>
      <c r="K690" s="3">
        <v>2</v>
      </c>
      <c r="L690" s="3">
        <v>7</v>
      </c>
      <c r="M690" s="3">
        <v>3</v>
      </c>
      <c r="N690" s="3">
        <v>1</v>
      </c>
      <c r="O690" s="3">
        <v>2</v>
      </c>
      <c r="P690" s="3">
        <v>2</v>
      </c>
      <c r="Q690" s="3">
        <v>5</v>
      </c>
      <c r="R690" s="3">
        <v>0</v>
      </c>
      <c r="T690">
        <f>SUM(Table1[[#This Row],[DTP Received]:[LPO/ LOA/ SOA Issue Date]])</f>
        <v>39</v>
      </c>
    </row>
    <row r="691" spans="2:20" x14ac:dyDescent="0.25">
      <c r="B691" t="s">
        <v>1302</v>
      </c>
      <c r="C691" t="s">
        <v>1303</v>
      </c>
      <c r="D691" s="3">
        <v>2</v>
      </c>
      <c r="E691" s="3">
        <v>1</v>
      </c>
      <c r="F691" s="3">
        <v>0</v>
      </c>
      <c r="G691" s="3">
        <v>5</v>
      </c>
      <c r="H691" s="3">
        <v>5</v>
      </c>
      <c r="I691" s="3">
        <v>1</v>
      </c>
      <c r="J691" s="3">
        <v>3</v>
      </c>
      <c r="K691" s="3">
        <v>2</v>
      </c>
      <c r="L691" s="3">
        <v>7</v>
      </c>
      <c r="M691" s="3">
        <v>3</v>
      </c>
      <c r="N691" s="3">
        <v>1</v>
      </c>
      <c r="O691" s="3">
        <v>2</v>
      </c>
      <c r="P691" s="3">
        <v>2</v>
      </c>
      <c r="Q691" s="3">
        <v>5</v>
      </c>
      <c r="R691" s="3">
        <v>0</v>
      </c>
      <c r="T691">
        <f>SUM(Table1[[#This Row],[DTP Received]:[LPO/ LOA/ SOA Issue Date]])</f>
        <v>39</v>
      </c>
    </row>
    <row r="692" spans="2:20" x14ac:dyDescent="0.25">
      <c r="B692" t="s">
        <v>1304</v>
      </c>
      <c r="C692" t="s">
        <v>1305</v>
      </c>
      <c r="D692" s="3">
        <v>2</v>
      </c>
      <c r="E692" s="3">
        <v>1</v>
      </c>
      <c r="F692" s="3">
        <v>0</v>
      </c>
      <c r="G692" s="3">
        <v>5</v>
      </c>
      <c r="H692" s="3">
        <v>5</v>
      </c>
      <c r="I692" s="3">
        <v>1</v>
      </c>
      <c r="J692" s="3">
        <v>3</v>
      </c>
      <c r="K692" s="3">
        <v>2</v>
      </c>
      <c r="L692" s="3">
        <v>7</v>
      </c>
      <c r="M692" s="3">
        <v>3</v>
      </c>
      <c r="N692" s="3">
        <v>1</v>
      </c>
      <c r="O692" s="3">
        <v>2</v>
      </c>
      <c r="P692" s="3">
        <v>2</v>
      </c>
      <c r="Q692" s="3">
        <v>5</v>
      </c>
      <c r="R692" s="3">
        <v>0</v>
      </c>
      <c r="T692">
        <f>SUM(Table1[[#This Row],[DTP Received]:[LPO/ LOA/ SOA Issue Date]])</f>
        <v>39</v>
      </c>
    </row>
    <row r="693" spans="2:20" x14ac:dyDescent="0.25">
      <c r="B693" t="s">
        <v>1306</v>
      </c>
      <c r="C693" t="s">
        <v>1307</v>
      </c>
      <c r="D693" s="3">
        <v>2</v>
      </c>
      <c r="E693" s="3">
        <v>1</v>
      </c>
      <c r="F693" s="3">
        <v>0</v>
      </c>
      <c r="G693" s="3">
        <v>5</v>
      </c>
      <c r="H693" s="3">
        <v>5</v>
      </c>
      <c r="I693" s="3">
        <v>1</v>
      </c>
      <c r="J693" s="3">
        <v>3</v>
      </c>
      <c r="K693" s="3">
        <v>2</v>
      </c>
      <c r="L693" s="3">
        <v>7</v>
      </c>
      <c r="M693" s="3">
        <v>3</v>
      </c>
      <c r="N693" s="3">
        <v>1</v>
      </c>
      <c r="O693" s="3">
        <v>2</v>
      </c>
      <c r="P693" s="3">
        <v>2</v>
      </c>
      <c r="Q693" s="3">
        <v>5</v>
      </c>
      <c r="R693" s="3">
        <v>0</v>
      </c>
      <c r="T693">
        <f>SUM(Table1[[#This Row],[DTP Received]:[LPO/ LOA/ SOA Issue Date]])</f>
        <v>39</v>
      </c>
    </row>
    <row r="694" spans="2:20" x14ac:dyDescent="0.25">
      <c r="B694" t="s">
        <v>1308</v>
      </c>
      <c r="C694" t="s">
        <v>1309</v>
      </c>
      <c r="D694" s="3">
        <v>2</v>
      </c>
      <c r="E694" s="3">
        <v>1</v>
      </c>
      <c r="F694" s="3">
        <v>0</v>
      </c>
      <c r="G694" s="3">
        <v>5</v>
      </c>
      <c r="H694" s="3">
        <v>5</v>
      </c>
      <c r="I694" s="3">
        <v>1</v>
      </c>
      <c r="J694" s="3">
        <v>3</v>
      </c>
      <c r="K694" s="3">
        <v>2</v>
      </c>
      <c r="L694" s="3">
        <v>7</v>
      </c>
      <c r="M694" s="3">
        <v>3</v>
      </c>
      <c r="N694" s="3">
        <v>1</v>
      </c>
      <c r="O694" s="3">
        <v>2</v>
      </c>
      <c r="P694" s="3">
        <v>2</v>
      </c>
      <c r="Q694" s="3">
        <v>5</v>
      </c>
      <c r="R694" s="3">
        <v>0</v>
      </c>
      <c r="T694">
        <f>SUM(Table1[[#This Row],[DTP Received]:[LPO/ LOA/ SOA Issue Date]])</f>
        <v>39</v>
      </c>
    </row>
    <row r="695" spans="2:20" x14ac:dyDescent="0.25">
      <c r="B695" t="s">
        <v>1310</v>
      </c>
      <c r="C695" t="s">
        <v>1311</v>
      </c>
      <c r="D695" s="3">
        <v>2</v>
      </c>
      <c r="E695" s="3">
        <v>1</v>
      </c>
      <c r="F695" s="3">
        <v>0</v>
      </c>
      <c r="G695" s="3">
        <v>5</v>
      </c>
      <c r="H695" s="3">
        <v>5</v>
      </c>
      <c r="I695" s="3">
        <v>1</v>
      </c>
      <c r="J695" s="3">
        <v>3</v>
      </c>
      <c r="K695" s="3">
        <v>2</v>
      </c>
      <c r="L695" s="3">
        <v>7</v>
      </c>
      <c r="M695" s="3">
        <v>3</v>
      </c>
      <c r="N695" s="3">
        <v>1</v>
      </c>
      <c r="O695" s="3">
        <v>2</v>
      </c>
      <c r="P695" s="3">
        <v>2</v>
      </c>
      <c r="Q695" s="3">
        <v>5</v>
      </c>
      <c r="R695" s="3">
        <v>0</v>
      </c>
      <c r="T695">
        <f>SUM(Table1[[#This Row],[DTP Received]:[LPO/ LOA/ SOA Issue Date]])</f>
        <v>39</v>
      </c>
    </row>
    <row r="696" spans="2:20" x14ac:dyDescent="0.25">
      <c r="B696" t="s">
        <v>1312</v>
      </c>
      <c r="C696" t="s">
        <v>1313</v>
      </c>
      <c r="D696" s="3">
        <v>2</v>
      </c>
      <c r="E696" s="3">
        <v>1</v>
      </c>
      <c r="F696" s="3">
        <v>0</v>
      </c>
      <c r="G696" s="3">
        <v>5</v>
      </c>
      <c r="H696" s="3">
        <v>5</v>
      </c>
      <c r="I696" s="3">
        <v>1</v>
      </c>
      <c r="J696" s="3">
        <v>3</v>
      </c>
      <c r="K696" s="3">
        <v>2</v>
      </c>
      <c r="L696" s="3">
        <v>7</v>
      </c>
      <c r="M696" s="3">
        <v>3</v>
      </c>
      <c r="N696" s="3">
        <v>1</v>
      </c>
      <c r="O696" s="3">
        <v>2</v>
      </c>
      <c r="P696" s="3">
        <v>2</v>
      </c>
      <c r="Q696" s="3">
        <v>5</v>
      </c>
      <c r="R696" s="3">
        <v>0</v>
      </c>
      <c r="T696">
        <f>SUM(Table1[[#This Row],[DTP Received]:[LPO/ LOA/ SOA Issue Date]])</f>
        <v>39</v>
      </c>
    </row>
    <row r="697" spans="2:20" x14ac:dyDescent="0.25">
      <c r="E697"/>
      <c r="F697"/>
      <c r="G697"/>
      <c r="H697"/>
      <c r="I697"/>
      <c r="J697"/>
      <c r="K697"/>
      <c r="L697"/>
      <c r="M697"/>
      <c r="N697"/>
      <c r="O697"/>
      <c r="P697"/>
      <c r="Q697"/>
      <c r="R697"/>
    </row>
    <row r="698" spans="2:20" x14ac:dyDescent="0.25">
      <c r="E698"/>
      <c r="F698"/>
      <c r="G698"/>
      <c r="H698"/>
      <c r="I698"/>
      <c r="J698"/>
      <c r="K698"/>
      <c r="L698"/>
      <c r="M698"/>
      <c r="N698"/>
      <c r="O698"/>
      <c r="P698"/>
      <c r="Q698"/>
      <c r="R698"/>
    </row>
    <row r="699" spans="2:20" x14ac:dyDescent="0.25">
      <c r="E699"/>
      <c r="F699"/>
      <c r="G699"/>
      <c r="H699"/>
      <c r="I699"/>
      <c r="J699"/>
      <c r="K699"/>
      <c r="L699"/>
      <c r="M699"/>
      <c r="N699"/>
      <c r="O699"/>
      <c r="P699"/>
      <c r="Q699"/>
      <c r="R699"/>
    </row>
    <row r="700" spans="2:20" x14ac:dyDescent="0.25">
      <c r="E700"/>
      <c r="F700"/>
      <c r="G700"/>
      <c r="H700"/>
      <c r="I700"/>
      <c r="J700"/>
      <c r="K700"/>
      <c r="L700"/>
      <c r="M700"/>
      <c r="N700"/>
      <c r="O700"/>
      <c r="P700"/>
      <c r="Q700"/>
      <c r="R700"/>
    </row>
    <row r="701" spans="2:20" x14ac:dyDescent="0.25">
      <c r="E701"/>
      <c r="F701"/>
      <c r="G701"/>
      <c r="H701"/>
      <c r="I701"/>
      <c r="J701"/>
      <c r="K701"/>
      <c r="L701"/>
      <c r="M701"/>
      <c r="N701"/>
      <c r="O701"/>
      <c r="P701"/>
      <c r="Q701"/>
      <c r="R701"/>
    </row>
    <row r="702" spans="2:20" x14ac:dyDescent="0.25">
      <c r="E702"/>
      <c r="F702"/>
      <c r="G702"/>
      <c r="H702"/>
      <c r="I702"/>
      <c r="J702"/>
      <c r="K702"/>
      <c r="L702"/>
      <c r="M702"/>
      <c r="N702"/>
      <c r="O702"/>
      <c r="P702"/>
      <c r="Q702"/>
      <c r="R702"/>
    </row>
    <row r="703" spans="2:20" x14ac:dyDescent="0.25">
      <c r="E703"/>
      <c r="F703"/>
      <c r="G703"/>
      <c r="H703"/>
      <c r="I703"/>
      <c r="J703"/>
      <c r="K703"/>
      <c r="L703"/>
      <c r="M703"/>
      <c r="N703"/>
      <c r="O703"/>
      <c r="P703"/>
      <c r="Q703"/>
      <c r="R703"/>
    </row>
  </sheetData>
  <sheetProtection algorithmName="SHA-512" hashValue="6XKEZ+y00xrIDwOVCA0I6bn8tmDUJCiMbu7jRSWDHxGflLEPwvbmyyJUmhQR34cB4ViGPV3oExM+77WwXk7IYw==" saltValue="1e2qf2U4PK4FG9UbdQgsZQ==" spinCount="100000" sheet="1" objects="1" scenarios="1"/>
  <mergeCells count="12">
    <mergeCell ref="G10:J10"/>
    <mergeCell ref="K10:Q10"/>
    <mergeCell ref="D12:F12"/>
    <mergeCell ref="G12:I12"/>
    <mergeCell ref="J12:K12"/>
    <mergeCell ref="L12:M12"/>
    <mergeCell ref="N12:P12"/>
    <mergeCell ref="A1:D3"/>
    <mergeCell ref="C5:E5"/>
    <mergeCell ref="C7:E7"/>
    <mergeCell ref="C8:E8"/>
    <mergeCell ref="D10:F10"/>
  </mergeCells>
  <phoneticPr fontId="14" type="noConversion"/>
  <pageMargins left="0.7" right="0.7" top="0.75" bottom="0.75" header="0.3" footer="0.3"/>
  <pageSetup paperSize="8" scale="80"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a18c7c0-078c-405a-9d42-3202cfd4b7e0" xsi:nil="true"/>
    <lcf76f155ced4ddcb4097134ff3c332f xmlns="e6dccd0d-366d-4223-9373-479f413ea7f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43C19831C4D994D9F28510E35F69DDF" ma:contentTypeVersion="14" ma:contentTypeDescription="Create a new document." ma:contentTypeScope="" ma:versionID="902bbcdd6ac404eaf4c1d786dddd6654">
  <xsd:schema xmlns:xsd="http://www.w3.org/2001/XMLSchema" xmlns:xs="http://www.w3.org/2001/XMLSchema" xmlns:p="http://schemas.microsoft.com/office/2006/metadata/properties" xmlns:ns2="e6dccd0d-366d-4223-9373-479f413ea7f4" xmlns:ns3="8a18c7c0-078c-405a-9d42-3202cfd4b7e0" targetNamespace="http://schemas.microsoft.com/office/2006/metadata/properties" ma:root="true" ma:fieldsID="b7b991d8c94e6b583cb91018c11e8149" ns2:_="" ns3:_="">
    <xsd:import namespace="e6dccd0d-366d-4223-9373-479f413ea7f4"/>
    <xsd:import namespace="8a18c7c0-078c-405a-9d42-3202cfd4b7e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dccd0d-366d-4223-9373-479f413ea7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36bbd4e-558e-4b8d-a018-55d799ed2c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descrip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a18c7c0-078c-405a-9d42-3202cfd4b7e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1ed5134-e055-4b7e-bf69-8ee9bf4d8e30}" ma:internalName="TaxCatchAll" ma:showField="CatchAllData" ma:web="8a18c7c0-078c-405a-9d42-3202cfd4b7e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49F2EB-4CDF-466F-8AA5-D8A4CB7A8A25}">
  <ds:schemaRefs>
    <ds:schemaRef ds:uri="e6dccd0d-366d-4223-9373-479f413ea7f4"/>
    <ds:schemaRef ds:uri="http://schemas.microsoft.com/office/2006/documentManagement/types"/>
    <ds:schemaRef ds:uri="http://purl.org/dc/terms/"/>
    <ds:schemaRef ds:uri="http://schemas.openxmlformats.org/package/2006/metadata/core-properties"/>
    <ds:schemaRef ds:uri="8a18c7c0-078c-405a-9d42-3202cfd4b7e0"/>
    <ds:schemaRef ds:uri="http://purl.org/dc/elements/1.1/"/>
    <ds:schemaRef ds:uri="http://purl.org/dc/dcmitype/"/>
    <ds:schemaRef ds:uri="http://schemas.microsoft.com/office/2006/metadata/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05C478FE-8785-49FE-A8EF-8A3DF4E9BB0D}">
  <ds:schemaRefs>
    <ds:schemaRef ds:uri="http://schemas.microsoft.com/sharepoint/v3/contenttype/forms"/>
  </ds:schemaRefs>
</ds:datastoreItem>
</file>

<file path=customXml/itemProps3.xml><?xml version="1.0" encoding="utf-8"?>
<ds:datastoreItem xmlns:ds="http://schemas.openxmlformats.org/officeDocument/2006/customXml" ds:itemID="{36BC9578-BD30-4675-92EF-0CF680FE90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dccd0d-366d-4223-9373-479f413ea7f4"/>
    <ds:schemaRef ds:uri="8a18c7c0-078c-405a-9d42-3202cfd4b7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Project Information</vt:lpstr>
      <vt:lpstr>Procurement Status Summary</vt:lpstr>
      <vt:lpstr>Procurement Schedule</vt:lpstr>
      <vt:lpstr>Procurement Strategy</vt:lpstr>
      <vt:lpstr>Work Package Input</vt:lpstr>
      <vt:lpstr>Work Package Master List</vt:lpstr>
      <vt:lpstr>'Procurement Schedule'!Print_Area</vt:lpstr>
      <vt:lpstr>'Procurement Status Summary'!Print_Area</vt:lpstr>
      <vt:lpstr>'Procurement Strategy'!Print_Area</vt:lpstr>
      <vt:lpstr>'Project Information'!Print_Area</vt:lpstr>
      <vt:lpstr>'Work Package Input'!Print_Area</vt:lpstr>
      <vt:lpstr>'Work Package Master List'!Print_Area</vt:lpstr>
      <vt:lpstr>Standard_Package_Name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Giridher Subramani;Zuhair Abdulla</dc:creator>
  <cp:keywords/>
  <dc:description/>
  <cp:lastModifiedBy>Jassim Alampara Mammy</cp:lastModifiedBy>
  <cp:revision/>
  <dcterms:created xsi:type="dcterms:W3CDTF">2025-05-16T03:49:05Z</dcterms:created>
  <dcterms:modified xsi:type="dcterms:W3CDTF">2026-10-20T12:25:39Z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0x010100043C19831C4D994D9F28510E35F69DDF</vt:lpwstr>
  </property>
  <property fmtid="{D5CDD505-2E9C-101B-9397-08002B2CF9AE}" pid="3" name="MediaServiceImageTags">
    <vt:lpwstr/>
  </property>
</Properties>
</file>